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0BB28DE1-958B-4082-B79A-B3AE6D94924E}" xr6:coauthVersionLast="47" xr6:coauthVersionMax="47" xr10:uidLastSave="{00000000-0000-0000-0000-000000000000}"/>
  <bookViews>
    <workbookView xWindow="45972" yWindow="-120" windowWidth="46296" windowHeight="25416" activeTab="4" xr2:uid="{00000000-000D-0000-FFFF-FFFF00000000}"/>
  </bookViews>
  <sheets>
    <sheet name="Cover" sheetId="1" r:id="rId1"/>
    <sheet name="Sheet1" sheetId="2" r:id="rId2"/>
    <sheet name="Sheet1 (2)" sheetId="3" r:id="rId3"/>
    <sheet name="Sheet3" sheetId="4" r:id="rId4"/>
    <sheet name="Shareab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Xoga3fAAlmfQvt5n81FDL4CZ1vnXd3Z7iUE8mhE8K3c="/>
    </ext>
  </extLst>
</workbook>
</file>

<file path=xl/calcChain.xml><?xml version="1.0" encoding="utf-8"?>
<calcChain xmlns="http://schemas.openxmlformats.org/spreadsheetml/2006/main">
  <c r="F60" i="5" l="1"/>
  <c r="E60" i="5"/>
  <c r="D60" i="5"/>
  <c r="I59" i="5"/>
  <c r="H59" i="5"/>
  <c r="G59" i="5"/>
  <c r="F59" i="5"/>
  <c r="E59" i="5"/>
  <c r="D59" i="5"/>
  <c r="E57" i="5"/>
  <c r="D57" i="5"/>
  <c r="D56" i="5"/>
  <c r="E55" i="5"/>
  <c r="D55" i="5"/>
  <c r="N54" i="5"/>
  <c r="M54" i="5"/>
  <c r="L54" i="5"/>
  <c r="K54" i="5"/>
  <c r="J54" i="5"/>
  <c r="I54" i="5"/>
  <c r="H54" i="5"/>
  <c r="G54" i="5"/>
  <c r="E47" i="5"/>
  <c r="D47" i="5"/>
  <c r="D63" i="5" s="1"/>
  <c r="F46" i="5"/>
  <c r="E46" i="5"/>
  <c r="D46" i="5"/>
  <c r="D62" i="5" s="1"/>
  <c r="G45" i="5"/>
  <c r="F45" i="5"/>
  <c r="E45" i="5"/>
  <c r="D45" i="5"/>
  <c r="D61" i="5" s="1"/>
  <c r="H44" i="5"/>
  <c r="H60" i="5" s="1"/>
  <c r="G44" i="5"/>
  <c r="G60" i="5" s="1"/>
  <c r="F44" i="5"/>
  <c r="E44" i="5"/>
  <c r="D44" i="5"/>
  <c r="I43" i="5"/>
  <c r="H43" i="5"/>
  <c r="G43" i="5"/>
  <c r="F43" i="5"/>
  <c r="E43" i="5"/>
  <c r="D43" i="5"/>
  <c r="J42" i="5"/>
  <c r="I42" i="5"/>
  <c r="H42" i="5"/>
  <c r="G42" i="5"/>
  <c r="F42" i="5"/>
  <c r="E42" i="5"/>
  <c r="D42" i="5"/>
  <c r="D58" i="5" s="1"/>
  <c r="K41" i="5"/>
  <c r="K57" i="5" s="1"/>
  <c r="J41" i="5"/>
  <c r="J57" i="5" s="1"/>
  <c r="I41" i="5"/>
  <c r="I57" i="5" s="1"/>
  <c r="H41" i="5"/>
  <c r="H57" i="5" s="1"/>
  <c r="G41" i="5"/>
  <c r="G57" i="5" s="1"/>
  <c r="F41" i="5"/>
  <c r="F57" i="5" s="1"/>
  <c r="E41" i="5"/>
  <c r="D41" i="5"/>
  <c r="L40" i="5"/>
  <c r="K40" i="5"/>
  <c r="J40" i="5"/>
  <c r="I40" i="5"/>
  <c r="H40" i="5"/>
  <c r="H56" i="5" s="1"/>
  <c r="G40" i="5"/>
  <c r="F40" i="5"/>
  <c r="E40" i="5"/>
  <c r="D40" i="5"/>
  <c r="L56" i="5" s="1"/>
  <c r="M39" i="5"/>
  <c r="L39" i="5"/>
  <c r="K39" i="5"/>
  <c r="J39" i="5"/>
  <c r="I39" i="5"/>
  <c r="H39" i="5"/>
  <c r="G39" i="5"/>
  <c r="F39" i="5"/>
  <c r="E39" i="5"/>
  <c r="D39" i="5"/>
  <c r="N38" i="5"/>
  <c r="M38" i="5"/>
  <c r="L38" i="5"/>
  <c r="K38" i="5"/>
  <c r="J38" i="5"/>
  <c r="I38" i="5"/>
  <c r="H38" i="5"/>
  <c r="G38" i="5"/>
  <c r="F38" i="5"/>
  <c r="F54" i="5" s="1"/>
  <c r="E38" i="5"/>
  <c r="E54" i="5" s="1"/>
  <c r="D38" i="5"/>
  <c r="D54" i="5" s="1"/>
  <c r="O37" i="5"/>
  <c r="N37" i="5"/>
  <c r="M37" i="5"/>
  <c r="L37" i="5"/>
  <c r="K37" i="5"/>
  <c r="J37" i="5"/>
  <c r="I37" i="5"/>
  <c r="H37" i="5"/>
  <c r="G37" i="5"/>
  <c r="F37" i="5"/>
  <c r="E37" i="5"/>
  <c r="D37" i="5"/>
  <c r="D53" i="5" s="1"/>
  <c r="D30" i="5"/>
  <c r="C30" i="5"/>
  <c r="E30" i="5" s="1"/>
  <c r="D29" i="5"/>
  <c r="C29" i="5"/>
  <c r="E29" i="5" s="1"/>
  <c r="D28" i="5"/>
  <c r="C28" i="5"/>
  <c r="E28" i="5" s="1"/>
  <c r="D27" i="5"/>
  <c r="C27" i="5"/>
  <c r="E27" i="5" s="1"/>
  <c r="D26" i="5"/>
  <c r="C26" i="5"/>
  <c r="E26" i="5" s="1"/>
  <c r="D25" i="5"/>
  <c r="C25" i="5"/>
  <c r="E25" i="5" s="1"/>
  <c r="D24" i="5"/>
  <c r="C24" i="5"/>
  <c r="E24" i="5" s="1"/>
  <c r="E23" i="5"/>
  <c r="D23" i="5"/>
  <c r="C23" i="5"/>
  <c r="D22" i="5"/>
  <c r="C22" i="5"/>
  <c r="E22" i="5" s="1"/>
  <c r="D21" i="5"/>
  <c r="C21" i="5"/>
  <c r="E21" i="5" s="1"/>
  <c r="D20" i="5"/>
  <c r="C20" i="5"/>
  <c r="E20" i="5" s="1"/>
  <c r="D19" i="5"/>
  <c r="C19" i="5"/>
  <c r="E19" i="5" s="1"/>
  <c r="F85" i="3"/>
  <c r="E85" i="3"/>
  <c r="G84" i="3"/>
  <c r="F84" i="3"/>
  <c r="E84" i="3"/>
  <c r="H83" i="3"/>
  <c r="G83" i="3"/>
  <c r="F83" i="3"/>
  <c r="J81" i="3"/>
  <c r="H81" i="3"/>
  <c r="G81" i="3"/>
  <c r="F81" i="3"/>
  <c r="E81" i="3"/>
  <c r="G80" i="3"/>
  <c r="E80" i="3"/>
  <c r="H78" i="3"/>
  <c r="G78" i="3"/>
  <c r="F78" i="3"/>
  <c r="E78" i="3"/>
  <c r="F76" i="3"/>
  <c r="E76" i="3"/>
  <c r="R70" i="3"/>
  <c r="R69" i="3"/>
  <c r="E69" i="3"/>
  <c r="F69" i="3" s="1"/>
  <c r="R68" i="3"/>
  <c r="E68" i="3"/>
  <c r="R67" i="3"/>
  <c r="R66" i="3"/>
  <c r="R65" i="3"/>
  <c r="E65" i="3"/>
  <c r="F65" i="3" s="1"/>
  <c r="R64" i="3"/>
  <c r="R63" i="3"/>
  <c r="R62" i="3"/>
  <c r="E62" i="3"/>
  <c r="F62" i="3" s="1"/>
  <c r="G62" i="3" s="1"/>
  <c r="H62" i="3" s="1"/>
  <c r="R61" i="3"/>
  <c r="R60" i="3"/>
  <c r="E60" i="3"/>
  <c r="F60" i="3" s="1"/>
  <c r="R59" i="3"/>
  <c r="F49" i="3"/>
  <c r="E49" i="3"/>
  <c r="G48" i="3"/>
  <c r="F48" i="3"/>
  <c r="F68" i="3" s="1"/>
  <c r="E48" i="3"/>
  <c r="H47" i="3"/>
  <c r="G47" i="3"/>
  <c r="F47" i="3"/>
  <c r="E47" i="3"/>
  <c r="E83" i="3" s="1"/>
  <c r="G46" i="3"/>
  <c r="F46" i="3"/>
  <c r="E46" i="3"/>
  <c r="J45" i="3"/>
  <c r="H45" i="3"/>
  <c r="G45" i="3"/>
  <c r="F45" i="3"/>
  <c r="E45" i="3"/>
  <c r="K44" i="3"/>
  <c r="J44" i="3"/>
  <c r="I44" i="3"/>
  <c r="H44" i="3"/>
  <c r="G44" i="3"/>
  <c r="F44" i="3"/>
  <c r="E44" i="3"/>
  <c r="K80" i="3" s="1"/>
  <c r="J43" i="3"/>
  <c r="I43" i="3"/>
  <c r="H43" i="3"/>
  <c r="G43" i="3"/>
  <c r="F43" i="3"/>
  <c r="E43" i="3"/>
  <c r="H42" i="3"/>
  <c r="F42" i="3"/>
  <c r="E42" i="3"/>
  <c r="F41" i="3"/>
  <c r="E41" i="3"/>
  <c r="L40" i="3"/>
  <c r="K40" i="3"/>
  <c r="K76" i="3" s="1"/>
  <c r="J40" i="3"/>
  <c r="I40" i="3"/>
  <c r="H40" i="3"/>
  <c r="G40" i="3"/>
  <c r="F40" i="3"/>
  <c r="E40" i="3"/>
  <c r="E39" i="3"/>
  <c r="P28" i="3"/>
  <c r="O28" i="3"/>
  <c r="N27" i="3"/>
  <c r="O27" i="3" s="1"/>
  <c r="M26" i="3"/>
  <c r="N26" i="3" s="1"/>
  <c r="O26" i="3" s="1"/>
  <c r="I45" i="3" s="1"/>
  <c r="O25" i="3"/>
  <c r="M25" i="3"/>
  <c r="N24" i="3"/>
  <c r="O24" i="3" s="1"/>
  <c r="L23" i="3"/>
  <c r="I42" i="3" s="1"/>
  <c r="J23" i="3"/>
  <c r="G42" i="3" s="1"/>
  <c r="J22" i="3"/>
  <c r="K22" i="3" s="1"/>
  <c r="I22" i="3"/>
  <c r="H21" i="3"/>
  <c r="I21" i="3" s="1"/>
  <c r="J21" i="3" s="1"/>
  <c r="K21" i="3" s="1"/>
  <c r="L21" i="3" s="1"/>
  <c r="M21" i="3" s="1"/>
  <c r="N21" i="3" s="1"/>
  <c r="F20" i="3"/>
  <c r="F39" i="3" s="1"/>
  <c r="N14" i="3"/>
  <c r="N13" i="3"/>
  <c r="N12" i="3"/>
  <c r="N11" i="3"/>
  <c r="N10" i="3"/>
  <c r="N9" i="3"/>
  <c r="N8" i="3"/>
  <c r="E84" i="2"/>
  <c r="F83" i="2"/>
  <c r="E83" i="2"/>
  <c r="H82" i="2"/>
  <c r="G82" i="2"/>
  <c r="F82" i="2"/>
  <c r="E82" i="2"/>
  <c r="F80" i="2"/>
  <c r="E80" i="2"/>
  <c r="G78" i="2"/>
  <c r="F78" i="2"/>
  <c r="E78" i="2"/>
  <c r="L77" i="2"/>
  <c r="K77" i="2"/>
  <c r="J77" i="2"/>
  <c r="F77" i="2"/>
  <c r="G76" i="2"/>
  <c r="F76" i="2"/>
  <c r="E76" i="2"/>
  <c r="R71" i="2"/>
  <c r="R70" i="2"/>
  <c r="E70" i="2"/>
  <c r="F70" i="2" s="1"/>
  <c r="R69" i="2"/>
  <c r="R68" i="2"/>
  <c r="E68" i="2"/>
  <c r="R67" i="2"/>
  <c r="R66" i="2"/>
  <c r="E66" i="2"/>
  <c r="F66" i="2" s="1"/>
  <c r="G66" i="2" s="1"/>
  <c r="H66" i="2" s="1"/>
  <c r="R65" i="2"/>
  <c r="R64" i="2"/>
  <c r="E64" i="2"/>
  <c r="F64" i="2" s="1"/>
  <c r="R63" i="2"/>
  <c r="R62" i="2"/>
  <c r="R61" i="2"/>
  <c r="R60" i="2"/>
  <c r="F50" i="2"/>
  <c r="F86" i="2" s="1"/>
  <c r="E50" i="2"/>
  <c r="E86" i="2" s="1"/>
  <c r="F49" i="2"/>
  <c r="E49" i="2"/>
  <c r="E69" i="2" s="1"/>
  <c r="F48" i="2"/>
  <c r="E48" i="2"/>
  <c r="F47" i="2"/>
  <c r="E47" i="2"/>
  <c r="E67" i="2" s="1"/>
  <c r="F67" i="2" s="1"/>
  <c r="H46" i="2"/>
  <c r="G46" i="2"/>
  <c r="F46" i="2"/>
  <c r="E46" i="2"/>
  <c r="K45" i="2"/>
  <c r="K81" i="2" s="1"/>
  <c r="F45" i="2"/>
  <c r="E45" i="2"/>
  <c r="E65" i="2" s="1"/>
  <c r="F44" i="2"/>
  <c r="E44" i="2"/>
  <c r="G43" i="2"/>
  <c r="F43" i="2"/>
  <c r="E43" i="2"/>
  <c r="H42" i="2"/>
  <c r="H78" i="2" s="1"/>
  <c r="F42" i="2"/>
  <c r="E42" i="2"/>
  <c r="F41" i="2"/>
  <c r="E41" i="2"/>
  <c r="E77" i="2" s="1"/>
  <c r="G40" i="2"/>
  <c r="F40" i="2"/>
  <c r="E40" i="2"/>
  <c r="E60" i="2" s="1"/>
  <c r="P30" i="2"/>
  <c r="G49" i="2" s="1"/>
  <c r="O29" i="2"/>
  <c r="G48" i="2" s="1"/>
  <c r="N28" i="2"/>
  <c r="G47" i="2" s="1"/>
  <c r="G67" i="2" s="1"/>
  <c r="N27" i="2"/>
  <c r="O27" i="2" s="1"/>
  <c r="I46" i="2" s="1"/>
  <c r="M27" i="2"/>
  <c r="L26" i="2"/>
  <c r="M26" i="2" s="1"/>
  <c r="N26" i="2" s="1"/>
  <c r="O26" i="2" s="1"/>
  <c r="P26" i="2" s="1"/>
  <c r="K25" i="2"/>
  <c r="G44" i="2" s="1"/>
  <c r="G80" i="2" s="1"/>
  <c r="J24" i="2"/>
  <c r="K24" i="2" s="1"/>
  <c r="J23" i="2"/>
  <c r="K23" i="2" s="1"/>
  <c r="L23" i="2" s="1"/>
  <c r="M23" i="2" s="1"/>
  <c r="N23" i="2" s="1"/>
  <c r="O23" i="2" s="1"/>
  <c r="P23" i="2" s="1"/>
  <c r="H22" i="2"/>
  <c r="G41" i="2" s="1"/>
  <c r="G77" i="2" s="1"/>
  <c r="H21" i="2"/>
  <c r="H40" i="2" s="1"/>
  <c r="G21" i="2"/>
  <c r="N15" i="2"/>
  <c r="N14" i="2"/>
  <c r="N13" i="2"/>
  <c r="N12" i="2"/>
  <c r="N11" i="2"/>
  <c r="N10" i="2"/>
  <c r="N9" i="2"/>
  <c r="I62" i="3" l="1"/>
  <c r="I78" i="3"/>
  <c r="F79" i="2"/>
  <c r="E82" i="3"/>
  <c r="E66" i="3"/>
  <c r="H76" i="2"/>
  <c r="L24" i="2"/>
  <c r="H43" i="2"/>
  <c r="I81" i="3"/>
  <c r="I82" i="2"/>
  <c r="I66" i="2"/>
  <c r="E79" i="2"/>
  <c r="M79" i="2"/>
  <c r="L79" i="2"/>
  <c r="K79" i="2"/>
  <c r="J79" i="2"/>
  <c r="E63" i="2"/>
  <c r="F63" i="2" s="1"/>
  <c r="G63" i="2" s="1"/>
  <c r="O21" i="3"/>
  <c r="M40" i="3"/>
  <c r="G53" i="5"/>
  <c r="G68" i="3"/>
  <c r="H76" i="3"/>
  <c r="I76" i="3"/>
  <c r="E62" i="5"/>
  <c r="J76" i="3"/>
  <c r="M23" i="3"/>
  <c r="O53" i="5"/>
  <c r="F82" i="3"/>
  <c r="G82" i="3"/>
  <c r="P27" i="2"/>
  <c r="J46" i="2" s="1"/>
  <c r="E79" i="3"/>
  <c r="E63" i="3"/>
  <c r="J79" i="3"/>
  <c r="F63" i="3"/>
  <c r="G63" i="3" s="1"/>
  <c r="H63" i="3" s="1"/>
  <c r="I63" i="3" s="1"/>
  <c r="J63" i="3" s="1"/>
  <c r="F79" i="3"/>
  <c r="I21" i="2"/>
  <c r="O28" i="2"/>
  <c r="E53" i="5"/>
  <c r="F53" i="5"/>
  <c r="E61" i="5"/>
  <c r="G85" i="2"/>
  <c r="G61" i="2"/>
  <c r="G76" i="3"/>
  <c r="G60" i="3"/>
  <c r="H60" i="3" s="1"/>
  <c r="I60" i="3" s="1"/>
  <c r="J60" i="3" s="1"/>
  <c r="K60" i="3" s="1"/>
  <c r="L60" i="3" s="1"/>
  <c r="I53" i="5"/>
  <c r="H55" i="5"/>
  <c r="G61" i="5"/>
  <c r="G83" i="2"/>
  <c r="F64" i="3"/>
  <c r="G64" i="3" s="1"/>
  <c r="H64" i="3" s="1"/>
  <c r="I64" i="3" s="1"/>
  <c r="J64" i="3" s="1"/>
  <c r="K64" i="3" s="1"/>
  <c r="J53" i="5"/>
  <c r="I55" i="5"/>
  <c r="J55" i="5"/>
  <c r="I58" i="5"/>
  <c r="J58" i="5"/>
  <c r="M78" i="2"/>
  <c r="L78" i="2"/>
  <c r="K78" i="2"/>
  <c r="N78" i="2"/>
  <c r="E62" i="2"/>
  <c r="G79" i="2"/>
  <c r="P24" i="3"/>
  <c r="L43" i="3" s="1"/>
  <c r="K43" i="3"/>
  <c r="F62" i="2"/>
  <c r="G62" i="2" s="1"/>
  <c r="H62" i="2" s="1"/>
  <c r="G65" i="3"/>
  <c r="H65" i="3" s="1"/>
  <c r="I65" i="3" s="1"/>
  <c r="J65" i="3" s="1"/>
  <c r="G68" i="2"/>
  <c r="G84" i="2"/>
  <c r="F55" i="5"/>
  <c r="P29" i="2"/>
  <c r="H48" i="2" s="1"/>
  <c r="H53" i="5"/>
  <c r="G55" i="5"/>
  <c r="F61" i="5"/>
  <c r="L22" i="3"/>
  <c r="I41" i="3"/>
  <c r="F60" i="2"/>
  <c r="G60" i="2" s="1"/>
  <c r="H60" i="2" s="1"/>
  <c r="K53" i="5"/>
  <c r="E58" i="5"/>
  <c r="F68" i="2"/>
  <c r="F84" i="2"/>
  <c r="I42" i="2"/>
  <c r="F75" i="3"/>
  <c r="F66" i="3"/>
  <c r="J42" i="2"/>
  <c r="G20" i="3"/>
  <c r="P27" i="3"/>
  <c r="I46" i="3" s="1"/>
  <c r="H46" i="3"/>
  <c r="G66" i="3"/>
  <c r="F62" i="5"/>
  <c r="L76" i="3"/>
  <c r="E56" i="5"/>
  <c r="G64" i="2"/>
  <c r="F56" i="5"/>
  <c r="E61" i="3"/>
  <c r="F61" i="3" s="1"/>
  <c r="G61" i="3" s="1"/>
  <c r="E77" i="3"/>
  <c r="I22" i="2"/>
  <c r="F77" i="3"/>
  <c r="F80" i="3"/>
  <c r="L53" i="5"/>
  <c r="F58" i="5"/>
  <c r="E63" i="5"/>
  <c r="G79" i="3"/>
  <c r="K55" i="5"/>
  <c r="H79" i="3"/>
  <c r="M53" i="5"/>
  <c r="L55" i="5"/>
  <c r="G58" i="5"/>
  <c r="I79" i="3"/>
  <c r="E67" i="3"/>
  <c r="F67" i="3" s="1"/>
  <c r="G67" i="3" s="1"/>
  <c r="H67" i="3" s="1"/>
  <c r="N53" i="5"/>
  <c r="M55" i="5"/>
  <c r="H58" i="5"/>
  <c r="L25" i="2"/>
  <c r="F85" i="2"/>
  <c r="E85" i="2"/>
  <c r="G56" i="5"/>
  <c r="F81" i="2"/>
  <c r="F65" i="2"/>
  <c r="H41" i="3"/>
  <c r="I56" i="5"/>
  <c r="G45" i="2"/>
  <c r="E75" i="3"/>
  <c r="E59" i="3"/>
  <c r="F59" i="3" s="1"/>
  <c r="E64" i="3"/>
  <c r="G77" i="3"/>
  <c r="H80" i="3"/>
  <c r="J56" i="5"/>
  <c r="H45" i="2"/>
  <c r="F69" i="2"/>
  <c r="G69" i="2" s="1"/>
  <c r="I80" i="3"/>
  <c r="K56" i="5"/>
  <c r="I45" i="2"/>
  <c r="J80" i="3"/>
  <c r="J45" i="2"/>
  <c r="E81" i="2"/>
  <c r="E61" i="2"/>
  <c r="F61" i="2" s="1"/>
  <c r="I81" i="2" l="1"/>
  <c r="H82" i="3"/>
  <c r="H66" i="3"/>
  <c r="H68" i="2"/>
  <c r="H84" i="2"/>
  <c r="I82" i="3"/>
  <c r="I66" i="3"/>
  <c r="H81" i="2"/>
  <c r="J82" i="2"/>
  <c r="J66" i="2"/>
  <c r="G39" i="3"/>
  <c r="H20" i="3"/>
  <c r="J42" i="3"/>
  <c r="N23" i="3"/>
  <c r="J62" i="2"/>
  <c r="K62" i="2" s="1"/>
  <c r="L62" i="2" s="1"/>
  <c r="M62" i="2" s="1"/>
  <c r="N62" i="2" s="1"/>
  <c r="J78" i="2"/>
  <c r="I77" i="3"/>
  <c r="I61" i="3"/>
  <c r="G65" i="2"/>
  <c r="H65" i="2" s="1"/>
  <c r="I65" i="2" s="1"/>
  <c r="J65" i="2" s="1"/>
  <c r="K65" i="2" s="1"/>
  <c r="G81" i="2"/>
  <c r="H63" i="2"/>
  <c r="H79" i="2"/>
  <c r="M22" i="3"/>
  <c r="J41" i="3"/>
  <c r="M24" i="2"/>
  <c r="N24" i="2" s="1"/>
  <c r="O24" i="2" s="1"/>
  <c r="P24" i="2" s="1"/>
  <c r="I43" i="2"/>
  <c r="H77" i="3"/>
  <c r="H61" i="3"/>
  <c r="K63" i="3"/>
  <c r="K79" i="3"/>
  <c r="I62" i="2"/>
  <c r="I78" i="2"/>
  <c r="L79" i="3"/>
  <c r="L63" i="3"/>
  <c r="H41" i="2"/>
  <c r="J22" i="2"/>
  <c r="H47" i="2"/>
  <c r="P28" i="2"/>
  <c r="I47" i="2" s="1"/>
  <c r="J81" i="2"/>
  <c r="I40" i="2"/>
  <c r="J21" i="2"/>
  <c r="M76" i="3"/>
  <c r="M60" i="3"/>
  <c r="H44" i="2"/>
  <c r="M25" i="2"/>
  <c r="P21" i="3"/>
  <c r="O40" i="3" s="1"/>
  <c r="N40" i="3"/>
  <c r="H67" i="2" l="1"/>
  <c r="H83" i="2"/>
  <c r="I76" i="2"/>
  <c r="I60" i="2"/>
  <c r="I67" i="2"/>
  <c r="I83" i="2"/>
  <c r="H77" i="2"/>
  <c r="H61" i="2"/>
  <c r="O76" i="3"/>
  <c r="O60" i="3"/>
  <c r="O23" i="3"/>
  <c r="K42" i="3"/>
  <c r="G75" i="3"/>
  <c r="G59" i="3"/>
  <c r="I44" i="2"/>
  <c r="N25" i="2"/>
  <c r="J77" i="3"/>
  <c r="J61" i="3"/>
  <c r="J40" i="2"/>
  <c r="K21" i="2"/>
  <c r="I41" i="2"/>
  <c r="K22" i="2"/>
  <c r="L22" i="2" s="1"/>
  <c r="M22" i="2" s="1"/>
  <c r="N22" i="2" s="1"/>
  <c r="J62" i="3"/>
  <c r="J78" i="3"/>
  <c r="H39" i="3"/>
  <c r="I20" i="3"/>
  <c r="N76" i="3"/>
  <c r="N60" i="3"/>
  <c r="I63" i="2"/>
  <c r="J63" i="2" s="1"/>
  <c r="K63" i="2" s="1"/>
  <c r="L63" i="2" s="1"/>
  <c r="M63" i="2" s="1"/>
  <c r="I79" i="2"/>
  <c r="H64" i="2"/>
  <c r="H80" i="2"/>
  <c r="N22" i="3"/>
  <c r="K41" i="3"/>
  <c r="K40" i="2" l="1"/>
  <c r="L21" i="2"/>
  <c r="O25" i="2"/>
  <c r="J44" i="2"/>
  <c r="I80" i="2"/>
  <c r="I64" i="2"/>
  <c r="K61" i="3"/>
  <c r="K77" i="3"/>
  <c r="P23" i="3"/>
  <c r="M42" i="3" s="1"/>
  <c r="L42" i="3"/>
  <c r="M41" i="2"/>
  <c r="O22" i="2"/>
  <c r="I77" i="2"/>
  <c r="I61" i="2"/>
  <c r="J61" i="2" s="1"/>
  <c r="K61" i="2" s="1"/>
  <c r="L61" i="2" s="1"/>
  <c r="J60" i="2"/>
  <c r="J76" i="2"/>
  <c r="K62" i="3"/>
  <c r="K78" i="3"/>
  <c r="L41" i="3"/>
  <c r="O22" i="3"/>
  <c r="I39" i="3"/>
  <c r="J20" i="3"/>
  <c r="H59" i="3"/>
  <c r="H75" i="3"/>
  <c r="L40" i="2" l="1"/>
  <c r="M21" i="2"/>
  <c r="J39" i="3"/>
  <c r="K20" i="3"/>
  <c r="I59" i="3"/>
  <c r="I75" i="3"/>
  <c r="L77" i="3"/>
  <c r="L61" i="3"/>
  <c r="L62" i="3"/>
  <c r="L78" i="3"/>
  <c r="K76" i="2"/>
  <c r="K60" i="2"/>
  <c r="P25" i="2"/>
  <c r="L44" i="2" s="1"/>
  <c r="K44" i="2"/>
  <c r="M41" i="3"/>
  <c r="P22" i="3"/>
  <c r="N41" i="3" s="1"/>
  <c r="P22" i="2"/>
  <c r="O41" i="2" s="1"/>
  <c r="N41" i="2"/>
  <c r="M77" i="2"/>
  <c r="M61" i="2"/>
  <c r="M62" i="3"/>
  <c r="M78" i="3"/>
  <c r="J80" i="2"/>
  <c r="J64" i="2"/>
  <c r="M77" i="3" l="1"/>
  <c r="M61" i="3"/>
  <c r="M40" i="2"/>
  <c r="N21" i="2"/>
  <c r="N77" i="3"/>
  <c r="N61" i="3"/>
  <c r="K80" i="2"/>
  <c r="K64" i="2"/>
  <c r="J75" i="3"/>
  <c r="J59" i="3"/>
  <c r="L76" i="2"/>
  <c r="L60" i="2"/>
  <c r="N77" i="2"/>
  <c r="N61" i="2"/>
  <c r="O77" i="2"/>
  <c r="O61" i="2"/>
  <c r="L64" i="2"/>
  <c r="L80" i="2"/>
  <c r="K39" i="3"/>
  <c r="L20" i="3"/>
  <c r="N40" i="2" l="1"/>
  <c r="O21" i="2"/>
  <c r="L39" i="3"/>
  <c r="M20" i="3"/>
  <c r="K75" i="3"/>
  <c r="K59" i="3"/>
  <c r="M76" i="2"/>
  <c r="M60" i="2"/>
  <c r="L59" i="3" l="1"/>
  <c r="L75" i="3"/>
  <c r="O40" i="2"/>
  <c r="P21" i="2"/>
  <c r="P40" i="2" s="1"/>
  <c r="N76" i="2"/>
  <c r="N60" i="2"/>
  <c r="M39" i="3"/>
  <c r="N20" i="3"/>
  <c r="O76" i="2" l="1"/>
  <c r="O60" i="2"/>
  <c r="N39" i="3"/>
  <c r="O20" i="3"/>
  <c r="M75" i="3"/>
  <c r="M59" i="3"/>
  <c r="P60" i="2"/>
  <c r="P76" i="2"/>
  <c r="O39" i="3" l="1"/>
  <c r="P20" i="3"/>
  <c r="P39" i="3" s="1"/>
  <c r="N75" i="3"/>
  <c r="N59" i="3"/>
  <c r="P75" i="3" l="1"/>
  <c r="O59" i="3"/>
  <c r="P59" i="3" s="1"/>
  <c r="O75" i="3"/>
</calcChain>
</file>

<file path=xl/sharedStrings.xml><?xml version="1.0" encoding="utf-8"?>
<sst xmlns="http://schemas.openxmlformats.org/spreadsheetml/2006/main" count="586" uniqueCount="57">
  <si>
    <t>Type @ to insert</t>
  </si>
  <si>
    <t>THIS ONE</t>
  </si>
  <si>
    <t>Cohort</t>
  </si>
  <si>
    <t>CCAC</t>
  </si>
  <si>
    <t>Jan</t>
  </si>
  <si>
    <t>Feb</t>
  </si>
  <si>
    <t>March</t>
  </si>
  <si>
    <t>Logos Acquired</t>
  </si>
  <si>
    <t>April</t>
  </si>
  <si>
    <t>May</t>
  </si>
  <si>
    <t>June</t>
  </si>
  <si>
    <t>July</t>
  </si>
  <si>
    <t>August</t>
  </si>
  <si>
    <t>CCAC going down</t>
  </si>
  <si>
    <t>September</t>
  </si>
  <si>
    <t>October</t>
  </si>
  <si>
    <t>November</t>
  </si>
  <si>
    <t>December</t>
  </si>
  <si>
    <t>Apr</t>
  </si>
  <si>
    <t>Aug</t>
  </si>
  <si>
    <t>Sep</t>
  </si>
  <si>
    <t>Oct</t>
  </si>
  <si>
    <t>Nov</t>
  </si>
  <si>
    <t>Dec</t>
  </si>
  <si>
    <t>*All Dollars MRR Assumes GP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</si>
  <si>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</si>
  <si>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</si>
  <si>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</si>
  <si>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</si>
  <si>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</si>
  <si>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</si>
  <si>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</si>
  <si>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</si>
  <si>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</si>
  <si>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</si>
  <si>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</si>
  <si>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</si>
  <si>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Sept</t>
  </si>
  <si>
    <t>Improving Cohorts over 100% / seeing consistency of cohort expansion</t>
  </si>
  <si>
    <t>Payback hit in months</t>
  </si>
  <si>
    <t>Each Cohort getting larger</t>
  </si>
  <si>
    <t>Month T</t>
  </si>
  <si>
    <t>Jan Cohort</t>
  </si>
  <si>
    <t>X%</t>
  </si>
  <si>
    <t>Feb Cohort</t>
  </si>
  <si>
    <t>Mar Cohort</t>
  </si>
  <si>
    <t>Apr Cohort</t>
  </si>
  <si>
    <t>Time T</t>
  </si>
  <si>
    <t>$Y</t>
  </si>
  <si>
    <t>$X</t>
  </si>
  <si>
    <t>Fully loaded S&amp;M spend</t>
  </si>
  <si>
    <t>Y</t>
  </si>
  <si>
    <t>X</t>
  </si>
  <si>
    <t>ENTER:</t>
  </si>
  <si>
    <t>Mar</t>
  </si>
  <si>
    <t>CAC / Logo</t>
  </si>
  <si>
    <t>*MRR Assumes 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</si>
</sst>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_(&quot;$&quot;* #,##0_);_(&quot;$&quot;* \(#,##0\);_(&quot;$&quot;* &quot;-&quot;??_);_(@_)"/>
  </numFmts>
  <fonts count="6">
    <font>
      <sz val="12"/>
      <color theme="1"/>
      <name val="Calibri"/>
      <scheme val="minor"/>
    </font>
    <font>
      <i/>
      <sz val="9"/>
      <color rgb="FF5F6368"/>
      <name val="Arial"/>
    </font>
    <font>
      <sz val="11"/>
      <color theme="1"/>
      <name val="Arial"/>
    </font>
    <font>
      <sz val="12"/>
      <color theme="1"/>
      <name val="Inter"/>
    </font>
    <font>
      <sz val="12"/>
      <color theme="1"/>
      <name val="Inter"/>
    </font>
    <font>
      <b/>
      <sz val="12"/>
      <color theme="1"/>
      <name val="Inter"/>
    </font>
  </fonts>
  <fills count="10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1FBFC5"/>
        <bgColor rgb="FF1FBFC5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3" borderId="1" xfId="0" applyFont="1" applyFill="1" applyBorder="1"/>
    <xf numFmtId="0" fontId="4" fillId="0" borderId="2" xfId="0" applyFont="1" applyBorder="1" applyAlignment="1">
      <alignment horizontal="center"/>
    </xf>
    <xf numFmtId="0" fontId="4" fillId="0" borderId="2" xfId="0" applyFont="1" applyBorder="1"/>
    <xf numFmtId="6" fontId="4" fillId="0" borderId="2" xfId="0" applyNumberFormat="1" applyFont="1" applyBorder="1"/>
    <xf numFmtId="3" fontId="4" fillId="0" borderId="2" xfId="0" applyNumberFormat="1" applyFont="1" applyBorder="1"/>
    <xf numFmtId="164" fontId="4" fillId="0" borderId="2" xfId="0" applyNumberFormat="1" applyFont="1" applyBorder="1"/>
    <xf numFmtId="164" fontId="4" fillId="0" borderId="0" xfId="0" applyNumberFormat="1" applyFont="1"/>
    <xf numFmtId="164" fontId="4" fillId="4" borderId="2" xfId="0" applyNumberFormat="1" applyFont="1" applyFill="1" applyBorder="1"/>
    <xf numFmtId="9" fontId="4" fillId="0" borderId="2" xfId="0" applyNumberFormat="1" applyFont="1" applyBorder="1"/>
    <xf numFmtId="9" fontId="4" fillId="5" borderId="2" xfId="0" applyNumberFormat="1" applyFont="1" applyFill="1" applyBorder="1"/>
    <xf numFmtId="9" fontId="4" fillId="6" borderId="2" xfId="0" applyNumberFormat="1" applyFont="1" applyFill="1" applyBorder="1"/>
    <xf numFmtId="9" fontId="4" fillId="7" borderId="2" xfId="0" applyNumberFormat="1" applyFont="1" applyFill="1" applyBorder="1"/>
    <xf numFmtId="164" fontId="4" fillId="5" borderId="2" xfId="0" applyNumberFormat="1" applyFont="1" applyFill="1" applyBorder="1"/>
    <xf numFmtId="164" fontId="4" fillId="8" borderId="2" xfId="0" applyNumberFormat="1" applyFont="1" applyFill="1" applyBorder="1"/>
    <xf numFmtId="164" fontId="4" fillId="6" borderId="2" xfId="0" applyNumberFormat="1" applyFont="1" applyFill="1" applyBorder="1"/>
    <xf numFmtId="164" fontId="4" fillId="7" borderId="2" xfId="0" applyNumberFormat="1" applyFont="1" applyFill="1" applyBorder="1"/>
    <xf numFmtId="0" fontId="4" fillId="8" borderId="1" xfId="0" applyFont="1" applyFill="1" applyBorder="1"/>
    <xf numFmtId="0" fontId="4" fillId="0" borderId="0" xfId="0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6" fontId="4" fillId="0" borderId="0" xfId="0" applyNumberFormat="1" applyFont="1"/>
    <xf numFmtId="0" fontId="5" fillId="9" borderId="2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8</xdr:row>
      <xdr:rowOff>182880</xdr:rowOff>
    </xdr:from>
    <xdr:ext cx="9296400" cy="330327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32000"/>
        <a:stretch>
          <a:fillRect/>
        </a:stretch>
      </xdr:blipFill>
      <xdr:spPr>
        <a:xfrm>
          <a:off x="152400" y="1706880"/>
          <a:ext cx="9296400" cy="330327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619125</xdr:colOff>
      <xdr:row>15</xdr:row>
      <xdr:rowOff>76200</xdr:rowOff>
    </xdr:from>
    <xdr:ext cx="981075" cy="885825"/>
    <xdr:pic>
      <xdr:nvPicPr>
        <xdr:cNvPr id="2" name="image2.jpg" descr="Summation Notation Sign, Rules &amp; Examples | What is Summation Notation? -  Video &amp; Lesson Transcript | Study.com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workbookViewId="0">
      <selection activeCell="P15" sqref="P15"/>
    </sheetView>
  </sheetViews>
  <sheetFormatPr defaultColWidth="11.19921875" defaultRowHeight="15" customHeight="1"/>
  <sheetData>
    <row r="1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showGridLines="0" workbookViewId="0"/>
  </sheetViews>
  <sheetFormatPr defaultColWidth="11.19921875" defaultRowHeight="15" customHeight="1"/>
  <cols>
    <col min="1" max="2" width="10.59765625" customWidth="1"/>
    <col min="3" max="3" width="23.09765625" customWidth="1"/>
    <col min="4" max="4" width="10.59765625" customWidth="1"/>
    <col min="5" max="5" width="11" customWidth="1"/>
    <col min="6" max="6" width="13.3984375" customWidth="1"/>
    <col min="7" max="7" width="11" customWidth="1"/>
    <col min="8" max="15" width="11.69921875" customWidth="1"/>
    <col min="16" max="26" width="10.59765625" customWidth="1"/>
  </cols>
  <sheetData>
    <row r="1" spans="1:26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4" t="s">
        <v>1</v>
      </c>
      <c r="D2" s="5" t="s">
        <v>2</v>
      </c>
      <c r="E2" s="5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3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/>
      <c r="B4" s="3"/>
      <c r="C4" s="3"/>
      <c r="D4" s="6" t="s">
        <v>4</v>
      </c>
      <c r="E4" s="7">
        <v>60000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3"/>
      <c r="C5" s="3"/>
      <c r="D5" s="6" t="s">
        <v>5</v>
      </c>
      <c r="E5" s="7">
        <v>63000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3"/>
      <c r="C6" s="3"/>
      <c r="D6" s="6" t="s">
        <v>6</v>
      </c>
      <c r="E6" s="7">
        <v>65000</v>
      </c>
      <c r="F6" s="3"/>
      <c r="G6" s="3"/>
      <c r="H6" s="3"/>
      <c r="I6" s="3"/>
      <c r="J6" s="3"/>
      <c r="K6" s="3"/>
      <c r="L6" s="3"/>
      <c r="M6" s="5" t="s">
        <v>7</v>
      </c>
      <c r="N6" s="5" t="s">
        <v>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3"/>
      <c r="D7" s="6" t="s">
        <v>8</v>
      </c>
      <c r="E7" s="7">
        <v>63000</v>
      </c>
      <c r="F7" s="3"/>
      <c r="G7" s="3"/>
      <c r="H7" s="3"/>
      <c r="I7" s="3"/>
      <c r="J7" s="3"/>
      <c r="K7" s="3"/>
      <c r="L7" s="3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6" t="s">
        <v>9</v>
      </c>
      <c r="E8" s="7">
        <v>63000</v>
      </c>
      <c r="F8" s="3"/>
      <c r="G8" s="3"/>
      <c r="H8" s="3"/>
      <c r="I8" s="3"/>
      <c r="J8" s="3"/>
      <c r="K8" s="3"/>
      <c r="L8" s="3"/>
      <c r="M8" s="6"/>
      <c r="N8" s="6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3"/>
      <c r="D9" s="6" t="s">
        <v>10</v>
      </c>
      <c r="E9" s="7">
        <v>61000</v>
      </c>
      <c r="F9" s="3"/>
      <c r="G9" s="3"/>
      <c r="H9" s="3"/>
      <c r="I9" s="3"/>
      <c r="J9" s="3"/>
      <c r="K9" s="3"/>
      <c r="L9" s="3"/>
      <c r="M9" s="8">
        <v>80</v>
      </c>
      <c r="N9" s="7">
        <f t="shared" ref="N9:N15" si="0">E4/M9</f>
        <v>750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6" t="s">
        <v>11</v>
      </c>
      <c r="E10" s="7">
        <v>60000</v>
      </c>
      <c r="F10" s="3"/>
      <c r="G10" s="3"/>
      <c r="H10" s="3"/>
      <c r="I10" s="3"/>
      <c r="J10" s="3"/>
      <c r="K10" s="3"/>
      <c r="L10" s="3"/>
      <c r="M10" s="8">
        <v>85</v>
      </c>
      <c r="N10" s="7">
        <f t="shared" si="0"/>
        <v>741.17647058823525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3"/>
      <c r="D11" s="6" t="s">
        <v>12</v>
      </c>
      <c r="E11" s="7">
        <v>62000</v>
      </c>
      <c r="F11" s="3"/>
      <c r="G11" s="3"/>
      <c r="H11" s="3"/>
      <c r="I11" s="3"/>
      <c r="J11" s="3"/>
      <c r="K11" s="3"/>
      <c r="L11" s="3"/>
      <c r="M11" s="8">
        <v>97</v>
      </c>
      <c r="N11" s="7">
        <f t="shared" si="0"/>
        <v>670.10309278350519</v>
      </c>
      <c r="O11" s="3" t="s">
        <v>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3"/>
      <c r="D12" s="6" t="s">
        <v>14</v>
      </c>
      <c r="E12" s="7">
        <v>62000</v>
      </c>
      <c r="F12" s="3"/>
      <c r="G12" s="3"/>
      <c r="H12" s="3"/>
      <c r="I12" s="3"/>
      <c r="J12" s="3"/>
      <c r="K12" s="3"/>
      <c r="L12" s="3"/>
      <c r="M12" s="8">
        <v>100</v>
      </c>
      <c r="N12" s="7">
        <f t="shared" si="0"/>
        <v>630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3"/>
      <c r="D13" s="6" t="s">
        <v>15</v>
      </c>
      <c r="E13" s="7">
        <v>62500</v>
      </c>
      <c r="F13" s="3"/>
      <c r="G13" s="3"/>
      <c r="H13" s="3"/>
      <c r="I13" s="3"/>
      <c r="J13" s="3"/>
      <c r="K13" s="3"/>
      <c r="L13" s="3"/>
      <c r="M13" s="8">
        <v>105</v>
      </c>
      <c r="N13" s="7">
        <f t="shared" si="0"/>
        <v>600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3"/>
      <c r="D14" s="6" t="s">
        <v>16</v>
      </c>
      <c r="E14" s="7">
        <v>63000</v>
      </c>
      <c r="F14" s="3"/>
      <c r="G14" s="3"/>
      <c r="H14" s="3"/>
      <c r="I14" s="3"/>
      <c r="J14" s="3"/>
      <c r="K14" s="3"/>
      <c r="L14" s="3"/>
      <c r="M14" s="8">
        <v>110</v>
      </c>
      <c r="N14" s="7">
        <f t="shared" si="0"/>
        <v>554.5454545454545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6" t="s">
        <v>17</v>
      </c>
      <c r="E15" s="7">
        <v>64000</v>
      </c>
      <c r="F15" s="3"/>
      <c r="G15" s="3"/>
      <c r="H15" s="3"/>
      <c r="I15" s="3"/>
      <c r="J15" s="3"/>
      <c r="K15" s="3"/>
      <c r="L15" s="3"/>
      <c r="M15" s="8">
        <v>120</v>
      </c>
      <c r="N15" s="7">
        <f t="shared" si="0"/>
        <v>500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5" t="s">
        <v>2</v>
      </c>
      <c r="E18" s="5" t="s">
        <v>4</v>
      </c>
      <c r="F18" s="5" t="s">
        <v>5</v>
      </c>
      <c r="G18" s="5" t="s">
        <v>6</v>
      </c>
      <c r="H18" s="5" t="s">
        <v>18</v>
      </c>
      <c r="I18" s="5" t="s">
        <v>9</v>
      </c>
      <c r="J18" s="5" t="s">
        <v>10</v>
      </c>
      <c r="K18" s="5" t="s">
        <v>11</v>
      </c>
      <c r="L18" s="5" t="s">
        <v>19</v>
      </c>
      <c r="M18" s="5" t="s">
        <v>20</v>
      </c>
      <c r="N18" s="5" t="s">
        <v>21</v>
      </c>
      <c r="O18" s="5" t="s">
        <v>22</v>
      </c>
      <c r="P18" s="5" t="s">
        <v>23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6" t="s">
        <v>24</v>
      </c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6" t="s">
        <v>4</v>
      </c>
      <c r="E20" s="6"/>
      <c r="F20" s="6"/>
      <c r="G20" s="6"/>
      <c r="H20" s="6"/>
      <c r="I20" s="6"/>
      <c r="J20" s="6"/>
      <c r="K20" s="6"/>
      <c r="L20" s="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6" t="s">
        <v>5</v>
      </c>
      <c r="E21" s="9">
        <v>10200</v>
      </c>
      <c r="F21" s="9">
        <v>6000</v>
      </c>
      <c r="G21" s="9">
        <f t="shared" ref="G21:P21" si="1">F21+25</f>
        <v>6025</v>
      </c>
      <c r="H21" s="9">
        <f t="shared" si="1"/>
        <v>6050</v>
      </c>
      <c r="I21" s="9">
        <f t="shared" si="1"/>
        <v>6075</v>
      </c>
      <c r="J21" s="9">
        <f t="shared" si="1"/>
        <v>6100</v>
      </c>
      <c r="K21" s="9">
        <f t="shared" si="1"/>
        <v>6125</v>
      </c>
      <c r="L21" s="9">
        <f t="shared" si="1"/>
        <v>6150</v>
      </c>
      <c r="M21" s="9">
        <f t="shared" si="1"/>
        <v>6175</v>
      </c>
      <c r="N21" s="9">
        <f t="shared" si="1"/>
        <v>6200</v>
      </c>
      <c r="O21" s="9">
        <f t="shared" si="1"/>
        <v>6225</v>
      </c>
      <c r="P21" s="9">
        <f t="shared" si="1"/>
        <v>6250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6" t="s">
        <v>6</v>
      </c>
      <c r="E22" s="9"/>
      <c r="F22" s="9">
        <v>10100</v>
      </c>
      <c r="G22" s="9">
        <v>6000</v>
      </c>
      <c r="H22" s="9">
        <f t="shared" ref="H22:P22" si="2">G22+50</f>
        <v>6050</v>
      </c>
      <c r="I22" s="9">
        <f t="shared" si="2"/>
        <v>6100</v>
      </c>
      <c r="J22" s="9">
        <f t="shared" si="2"/>
        <v>6150</v>
      </c>
      <c r="K22" s="9">
        <f t="shared" si="2"/>
        <v>6200</v>
      </c>
      <c r="L22" s="9">
        <f t="shared" si="2"/>
        <v>6250</v>
      </c>
      <c r="M22" s="9">
        <f t="shared" si="2"/>
        <v>6300</v>
      </c>
      <c r="N22" s="9">
        <f t="shared" si="2"/>
        <v>6350</v>
      </c>
      <c r="O22" s="9">
        <f t="shared" si="2"/>
        <v>6400</v>
      </c>
      <c r="P22" s="9">
        <f t="shared" si="2"/>
        <v>6450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6" t="s">
        <v>8</v>
      </c>
      <c r="E23" s="9"/>
      <c r="F23" s="9"/>
      <c r="G23" s="9">
        <v>10300</v>
      </c>
      <c r="H23" s="9">
        <v>9400</v>
      </c>
      <c r="I23" s="9">
        <v>8000</v>
      </c>
      <c r="J23" s="9">
        <f t="shared" ref="J23:P23" si="3">I23+46</f>
        <v>8046</v>
      </c>
      <c r="K23" s="9">
        <f t="shared" si="3"/>
        <v>8092</v>
      </c>
      <c r="L23" s="9">
        <f t="shared" si="3"/>
        <v>8138</v>
      </c>
      <c r="M23" s="9">
        <f t="shared" si="3"/>
        <v>8184</v>
      </c>
      <c r="N23" s="9">
        <f t="shared" si="3"/>
        <v>8230</v>
      </c>
      <c r="O23" s="9">
        <f t="shared" si="3"/>
        <v>8276</v>
      </c>
      <c r="P23" s="9">
        <f t="shared" si="3"/>
        <v>8322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6" t="s">
        <v>9</v>
      </c>
      <c r="E24" s="9"/>
      <c r="F24" s="9"/>
      <c r="G24" s="9"/>
      <c r="H24" s="9">
        <v>9800</v>
      </c>
      <c r="I24" s="9">
        <v>9800</v>
      </c>
      <c r="J24" s="9">
        <f t="shared" ref="J24:P24" si="4">I24+55</f>
        <v>9855</v>
      </c>
      <c r="K24" s="9">
        <f t="shared" si="4"/>
        <v>9910</v>
      </c>
      <c r="L24" s="9">
        <f t="shared" si="4"/>
        <v>9965</v>
      </c>
      <c r="M24" s="9">
        <f t="shared" si="4"/>
        <v>10020</v>
      </c>
      <c r="N24" s="9">
        <f t="shared" si="4"/>
        <v>10075</v>
      </c>
      <c r="O24" s="9">
        <f t="shared" si="4"/>
        <v>10130</v>
      </c>
      <c r="P24" s="9">
        <f t="shared" si="4"/>
        <v>10185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6" t="s">
        <v>10</v>
      </c>
      <c r="E25" s="9"/>
      <c r="F25" s="9"/>
      <c r="G25" s="9"/>
      <c r="H25" s="9"/>
      <c r="I25" s="9">
        <v>10200</v>
      </c>
      <c r="J25" s="9">
        <v>10400</v>
      </c>
      <c r="K25" s="9">
        <f t="shared" ref="K25:P25" si="5">J25+90</f>
        <v>10490</v>
      </c>
      <c r="L25" s="9">
        <f t="shared" si="5"/>
        <v>10580</v>
      </c>
      <c r="M25" s="9">
        <f t="shared" si="5"/>
        <v>10670</v>
      </c>
      <c r="N25" s="9">
        <f t="shared" si="5"/>
        <v>10760</v>
      </c>
      <c r="O25" s="9">
        <f t="shared" si="5"/>
        <v>10850</v>
      </c>
      <c r="P25" s="9">
        <f t="shared" si="5"/>
        <v>10940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6" t="s">
        <v>11</v>
      </c>
      <c r="E26" s="9"/>
      <c r="F26" s="9"/>
      <c r="G26" s="9"/>
      <c r="H26" s="9"/>
      <c r="I26" s="9"/>
      <c r="J26" s="9">
        <v>9700</v>
      </c>
      <c r="K26" s="9">
        <v>10500</v>
      </c>
      <c r="L26" s="9">
        <f t="shared" ref="L26:P26" si="6">K26+100</f>
        <v>10600</v>
      </c>
      <c r="M26" s="9">
        <f t="shared" si="6"/>
        <v>10700</v>
      </c>
      <c r="N26" s="9">
        <f t="shared" si="6"/>
        <v>10800</v>
      </c>
      <c r="O26" s="9">
        <f t="shared" si="6"/>
        <v>10900</v>
      </c>
      <c r="P26" s="9">
        <f t="shared" si="6"/>
        <v>11000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6" t="s">
        <v>12</v>
      </c>
      <c r="E27" s="9"/>
      <c r="F27" s="9"/>
      <c r="G27" s="9"/>
      <c r="H27" s="9"/>
      <c r="I27" s="9"/>
      <c r="J27" s="9"/>
      <c r="K27" s="9">
        <v>9500</v>
      </c>
      <c r="L27" s="9">
        <v>12000</v>
      </c>
      <c r="M27" s="9">
        <f t="shared" ref="M27:P27" si="7">L27+150</f>
        <v>12150</v>
      </c>
      <c r="N27" s="9">
        <f t="shared" si="7"/>
        <v>12300</v>
      </c>
      <c r="O27" s="9">
        <f t="shared" si="7"/>
        <v>12450</v>
      </c>
      <c r="P27" s="9">
        <f t="shared" si="7"/>
        <v>12600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6" t="s">
        <v>14</v>
      </c>
      <c r="E28" s="6"/>
      <c r="F28" s="6"/>
      <c r="G28" s="6"/>
      <c r="H28" s="6"/>
      <c r="I28" s="6"/>
      <c r="J28" s="6"/>
      <c r="K28" s="6"/>
      <c r="L28" s="9">
        <v>10000</v>
      </c>
      <c r="M28" s="9">
        <v>12000</v>
      </c>
      <c r="N28" s="9">
        <f t="shared" ref="N28:P28" si="8">M28+200</f>
        <v>12200</v>
      </c>
      <c r="O28" s="9">
        <f t="shared" si="8"/>
        <v>12400</v>
      </c>
      <c r="P28" s="9">
        <f t="shared" si="8"/>
        <v>12600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6" t="s">
        <v>15</v>
      </c>
      <c r="E29" s="6"/>
      <c r="F29" s="6"/>
      <c r="G29" s="6"/>
      <c r="H29" s="6"/>
      <c r="I29" s="6"/>
      <c r="J29" s="6"/>
      <c r="K29" s="6"/>
      <c r="L29" s="6"/>
      <c r="M29" s="9">
        <v>10200</v>
      </c>
      <c r="N29" s="9">
        <v>12000</v>
      </c>
      <c r="O29" s="9">
        <f t="shared" ref="O29:P29" si="9">N29+200</f>
        <v>12200</v>
      </c>
      <c r="P29" s="9">
        <f t="shared" si="9"/>
        <v>12400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6" t="s">
        <v>16</v>
      </c>
      <c r="E30" s="6"/>
      <c r="F30" s="6"/>
      <c r="G30" s="6"/>
      <c r="H30" s="6"/>
      <c r="I30" s="6"/>
      <c r="J30" s="6"/>
      <c r="K30" s="6"/>
      <c r="L30" s="6"/>
      <c r="M30" s="6"/>
      <c r="N30" s="9">
        <v>10500</v>
      </c>
      <c r="O30" s="9">
        <v>12000</v>
      </c>
      <c r="P30" s="9">
        <f>O30+300</f>
        <v>12300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6" t="s">
        <v>17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9">
        <v>11000</v>
      </c>
      <c r="P31" s="9">
        <v>12200</v>
      </c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5" t="s">
        <v>2</v>
      </c>
      <c r="E37" s="5" t="s">
        <v>25</v>
      </c>
      <c r="F37" s="5" t="s">
        <v>26</v>
      </c>
      <c r="G37" s="5" t="s">
        <v>27</v>
      </c>
      <c r="H37" s="5" t="s">
        <v>28</v>
      </c>
      <c r="I37" s="5" t="s">
        <v>29</v>
      </c>
      <c r="J37" s="5" t="s">
        <v>30</v>
      </c>
      <c r="K37" s="5" t="s">
        <v>31</v>
      </c>
      <c r="L37" s="5" t="s">
        <v>32</v>
      </c>
      <c r="M37" s="5" t="s">
        <v>33</v>
      </c>
      <c r="N37" s="5" t="s">
        <v>34</v>
      </c>
      <c r="O37" s="5" t="s">
        <v>35</v>
      </c>
      <c r="P37" s="5" t="s">
        <v>36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6"/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6" t="s">
        <v>4</v>
      </c>
      <c r="E39" s="6"/>
      <c r="F39" s="6"/>
      <c r="G39" s="6"/>
      <c r="H39" s="6"/>
      <c r="I39" s="6"/>
      <c r="J39" s="6"/>
      <c r="K39" s="6"/>
      <c r="L39" s="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6" t="s">
        <v>5</v>
      </c>
      <c r="E40" s="9">
        <f t="shared" ref="E40:P40" si="10">E21</f>
        <v>10200</v>
      </c>
      <c r="F40" s="9">
        <f t="shared" si="10"/>
        <v>6000</v>
      </c>
      <c r="G40" s="9">
        <f t="shared" si="10"/>
        <v>6025</v>
      </c>
      <c r="H40" s="9">
        <f t="shared" si="10"/>
        <v>6050</v>
      </c>
      <c r="I40" s="9">
        <f t="shared" si="10"/>
        <v>6075</v>
      </c>
      <c r="J40" s="9">
        <f t="shared" si="10"/>
        <v>6100</v>
      </c>
      <c r="K40" s="9">
        <f t="shared" si="10"/>
        <v>6125</v>
      </c>
      <c r="L40" s="9">
        <f t="shared" si="10"/>
        <v>6150</v>
      </c>
      <c r="M40" s="9">
        <f t="shared" si="10"/>
        <v>6175</v>
      </c>
      <c r="N40" s="9">
        <f t="shared" si="10"/>
        <v>6200</v>
      </c>
      <c r="O40" s="9">
        <f t="shared" si="10"/>
        <v>6225</v>
      </c>
      <c r="P40" s="9">
        <f t="shared" si="10"/>
        <v>6250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6" t="s">
        <v>6</v>
      </c>
      <c r="E41" s="9">
        <f t="shared" ref="E41:I41" si="11">F22</f>
        <v>10100</v>
      </c>
      <c r="F41" s="9">
        <f t="shared" si="11"/>
        <v>6000</v>
      </c>
      <c r="G41" s="9">
        <f t="shared" si="11"/>
        <v>6050</v>
      </c>
      <c r="H41" s="9">
        <f t="shared" si="11"/>
        <v>6100</v>
      </c>
      <c r="I41" s="9">
        <f t="shared" si="11"/>
        <v>6150</v>
      </c>
      <c r="J41" s="9">
        <v>8200</v>
      </c>
      <c r="K41" s="9">
        <v>8300</v>
      </c>
      <c r="L41" s="9">
        <v>9000</v>
      </c>
      <c r="M41" s="9">
        <f t="shared" ref="M41:O41" si="12">N22</f>
        <v>6350</v>
      </c>
      <c r="N41" s="9">
        <f t="shared" si="12"/>
        <v>6400</v>
      </c>
      <c r="O41" s="9">
        <f t="shared" si="12"/>
        <v>6450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6" t="s">
        <v>8</v>
      </c>
      <c r="E42" s="9">
        <f t="shared" ref="E42:F42" si="13">G23</f>
        <v>10300</v>
      </c>
      <c r="F42" s="9">
        <f t="shared" si="13"/>
        <v>9400</v>
      </c>
      <c r="G42" s="9">
        <v>9000</v>
      </c>
      <c r="H42" s="9">
        <f t="shared" ref="H42:J42" si="14">J23</f>
        <v>8046</v>
      </c>
      <c r="I42" s="9">
        <f t="shared" si="14"/>
        <v>8092</v>
      </c>
      <c r="J42" s="9">
        <f t="shared" si="14"/>
        <v>8138</v>
      </c>
      <c r="K42" s="9">
        <v>10600</v>
      </c>
      <c r="L42" s="9">
        <v>10600</v>
      </c>
      <c r="M42" s="9">
        <v>10600</v>
      </c>
      <c r="N42" s="9">
        <v>10600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6" t="s">
        <v>9</v>
      </c>
      <c r="E43" s="9">
        <f t="shared" ref="E43:I43" si="15">H24</f>
        <v>9800</v>
      </c>
      <c r="F43" s="9">
        <f t="shared" si="15"/>
        <v>9800</v>
      </c>
      <c r="G43" s="9">
        <f t="shared" si="15"/>
        <v>9855</v>
      </c>
      <c r="H43" s="9">
        <f t="shared" si="15"/>
        <v>9910</v>
      </c>
      <c r="I43" s="9">
        <f t="shared" si="15"/>
        <v>9965</v>
      </c>
      <c r="J43" s="9">
        <v>10000</v>
      </c>
      <c r="K43" s="9">
        <v>10100</v>
      </c>
      <c r="L43" s="9">
        <v>10100</v>
      </c>
      <c r="M43" s="9">
        <v>10100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6" t="s">
        <v>10</v>
      </c>
      <c r="E44" s="9">
        <f t="shared" ref="E44:L44" si="16">I25</f>
        <v>10200</v>
      </c>
      <c r="F44" s="9">
        <f t="shared" si="16"/>
        <v>10400</v>
      </c>
      <c r="G44" s="9">
        <f t="shared" si="16"/>
        <v>10490</v>
      </c>
      <c r="H44" s="9">
        <f t="shared" si="16"/>
        <v>10580</v>
      </c>
      <c r="I44" s="9">
        <f t="shared" si="16"/>
        <v>10670</v>
      </c>
      <c r="J44" s="9">
        <f t="shared" si="16"/>
        <v>10760</v>
      </c>
      <c r="K44" s="9">
        <f t="shared" si="16"/>
        <v>10850</v>
      </c>
      <c r="L44" s="9">
        <f t="shared" si="16"/>
        <v>10940</v>
      </c>
      <c r="M44" s="1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6" t="s">
        <v>11</v>
      </c>
      <c r="E45" s="9">
        <f t="shared" ref="E45:K45" si="17">J26</f>
        <v>9700</v>
      </c>
      <c r="F45" s="9">
        <f t="shared" si="17"/>
        <v>10500</v>
      </c>
      <c r="G45" s="9">
        <f t="shared" si="17"/>
        <v>10600</v>
      </c>
      <c r="H45" s="9">
        <f t="shared" si="17"/>
        <v>10700</v>
      </c>
      <c r="I45" s="9">
        <f t="shared" si="17"/>
        <v>10800</v>
      </c>
      <c r="J45" s="9">
        <f t="shared" si="17"/>
        <v>10900</v>
      </c>
      <c r="K45" s="9">
        <f t="shared" si="17"/>
        <v>11000</v>
      </c>
      <c r="L45" s="3"/>
      <c r="M45" s="1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6" t="s">
        <v>12</v>
      </c>
      <c r="E46" s="9">
        <f t="shared" ref="E46:J46" si="18">K27</f>
        <v>9500</v>
      </c>
      <c r="F46" s="9">
        <f t="shared" si="18"/>
        <v>12000</v>
      </c>
      <c r="G46" s="9">
        <f t="shared" si="18"/>
        <v>12150</v>
      </c>
      <c r="H46" s="9">
        <f t="shared" si="18"/>
        <v>12300</v>
      </c>
      <c r="I46" s="9">
        <f t="shared" si="18"/>
        <v>12450</v>
      </c>
      <c r="J46" s="9">
        <f t="shared" si="18"/>
        <v>12600</v>
      </c>
      <c r="K46" s="3"/>
      <c r="L46" s="3"/>
      <c r="M46" s="1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6" t="s">
        <v>37</v>
      </c>
      <c r="E47" s="9">
        <f t="shared" ref="E47:I47" si="19">L28</f>
        <v>10000</v>
      </c>
      <c r="F47" s="9">
        <f t="shared" si="19"/>
        <v>12000</v>
      </c>
      <c r="G47" s="9">
        <f t="shared" si="19"/>
        <v>12200</v>
      </c>
      <c r="H47" s="9">
        <f t="shared" si="19"/>
        <v>12400</v>
      </c>
      <c r="I47" s="9">
        <f t="shared" si="19"/>
        <v>12600</v>
      </c>
      <c r="J47" s="3"/>
      <c r="K47" s="3"/>
      <c r="L47" s="3"/>
      <c r="M47" s="10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6" t="s">
        <v>15</v>
      </c>
      <c r="E48" s="9">
        <f t="shared" ref="E48:H48" si="20">M29</f>
        <v>10200</v>
      </c>
      <c r="F48" s="9">
        <f t="shared" si="20"/>
        <v>12000</v>
      </c>
      <c r="G48" s="9">
        <f t="shared" si="20"/>
        <v>12200</v>
      </c>
      <c r="H48" s="9">
        <f t="shared" si="20"/>
        <v>12400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6" t="s">
        <v>16</v>
      </c>
      <c r="E49" s="9">
        <f t="shared" ref="E49:G49" si="21">N30</f>
        <v>10500</v>
      </c>
      <c r="F49" s="9">
        <f t="shared" si="21"/>
        <v>12000</v>
      </c>
      <c r="G49" s="9">
        <f t="shared" si="21"/>
        <v>12300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6" t="s">
        <v>17</v>
      </c>
      <c r="E50" s="9">
        <f t="shared" ref="E50:F50" si="22">O31</f>
        <v>11000</v>
      </c>
      <c r="F50" s="9">
        <f t="shared" si="22"/>
        <v>12200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4" t="s">
        <v>1</v>
      </c>
      <c r="D57" s="5" t="s">
        <v>2</v>
      </c>
      <c r="E57" s="5" t="s">
        <v>25</v>
      </c>
      <c r="F57" s="5" t="s">
        <v>26</v>
      </c>
      <c r="G57" s="5" t="s">
        <v>27</v>
      </c>
      <c r="H57" s="5" t="s">
        <v>28</v>
      </c>
      <c r="I57" s="5" t="s">
        <v>29</v>
      </c>
      <c r="J57" s="5" t="s">
        <v>30</v>
      </c>
      <c r="K57" s="5" t="s">
        <v>31</v>
      </c>
      <c r="L57" s="5" t="s">
        <v>32</v>
      </c>
      <c r="M57" s="5" t="s">
        <v>33</v>
      </c>
      <c r="N57" s="5" t="s">
        <v>34</v>
      </c>
      <c r="O57" s="5" t="s">
        <v>35</v>
      </c>
      <c r="P57" s="5" t="s">
        <v>36</v>
      </c>
      <c r="Q57" s="3"/>
      <c r="R57" s="5" t="s">
        <v>3</v>
      </c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3"/>
      <c r="R58" s="6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6" t="s">
        <v>4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3"/>
      <c r="R59" s="6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6" t="s">
        <v>5</v>
      </c>
      <c r="E60" s="9">
        <f t="shared" ref="E60:E70" si="23">E40</f>
        <v>10200</v>
      </c>
      <c r="F60" s="9">
        <f t="shared" ref="F60:P60" si="24">F40+E60</f>
        <v>16200</v>
      </c>
      <c r="G60" s="9">
        <f t="shared" si="24"/>
        <v>22225</v>
      </c>
      <c r="H60" s="9">
        <f t="shared" si="24"/>
        <v>28275</v>
      </c>
      <c r="I60" s="9">
        <f t="shared" si="24"/>
        <v>34350</v>
      </c>
      <c r="J60" s="9">
        <f t="shared" si="24"/>
        <v>40450</v>
      </c>
      <c r="K60" s="9">
        <f t="shared" si="24"/>
        <v>46575</v>
      </c>
      <c r="L60" s="9">
        <f t="shared" si="24"/>
        <v>52725</v>
      </c>
      <c r="M60" s="11">
        <f t="shared" si="24"/>
        <v>58900</v>
      </c>
      <c r="N60" s="9">
        <f t="shared" si="24"/>
        <v>65100</v>
      </c>
      <c r="O60" s="9">
        <f t="shared" si="24"/>
        <v>71325</v>
      </c>
      <c r="P60" s="9">
        <f t="shared" si="24"/>
        <v>77575</v>
      </c>
      <c r="Q60" s="3"/>
      <c r="R60" s="7">
        <f t="shared" ref="R60:R71" si="25">E4</f>
        <v>60000</v>
      </c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6" t="s">
        <v>6</v>
      </c>
      <c r="E61" s="9">
        <f t="shared" si="23"/>
        <v>10100</v>
      </c>
      <c r="F61" s="9">
        <f t="shared" ref="F61:O61" si="26">F41+E61</f>
        <v>16100</v>
      </c>
      <c r="G61" s="9">
        <f t="shared" si="26"/>
        <v>22150</v>
      </c>
      <c r="H61" s="9">
        <f t="shared" si="26"/>
        <v>28250</v>
      </c>
      <c r="I61" s="9">
        <f t="shared" si="26"/>
        <v>34400</v>
      </c>
      <c r="J61" s="9">
        <f t="shared" si="26"/>
        <v>42600</v>
      </c>
      <c r="K61" s="9">
        <f t="shared" si="26"/>
        <v>50900</v>
      </c>
      <c r="L61" s="11">
        <f t="shared" si="26"/>
        <v>59900</v>
      </c>
      <c r="M61" s="9">
        <f t="shared" si="26"/>
        <v>66250</v>
      </c>
      <c r="N61" s="9">
        <f t="shared" si="26"/>
        <v>72650</v>
      </c>
      <c r="O61" s="9">
        <f t="shared" si="26"/>
        <v>79100</v>
      </c>
      <c r="P61" s="3"/>
      <c r="Q61" s="3"/>
      <c r="R61" s="7">
        <f t="shared" si="25"/>
        <v>63000</v>
      </c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6" t="s">
        <v>8</v>
      </c>
      <c r="E62" s="9">
        <f t="shared" si="23"/>
        <v>10300</v>
      </c>
      <c r="F62" s="9">
        <f t="shared" ref="F62:N62" si="27">F42+E62</f>
        <v>19700</v>
      </c>
      <c r="G62" s="9">
        <f t="shared" si="27"/>
        <v>28700</v>
      </c>
      <c r="H62" s="9">
        <f t="shared" si="27"/>
        <v>36746</v>
      </c>
      <c r="I62" s="9">
        <f t="shared" si="27"/>
        <v>44838</v>
      </c>
      <c r="J62" s="9">
        <f t="shared" si="27"/>
        <v>52976</v>
      </c>
      <c r="K62" s="11">
        <f t="shared" si="27"/>
        <v>63576</v>
      </c>
      <c r="L62" s="9">
        <f t="shared" si="27"/>
        <v>74176</v>
      </c>
      <c r="M62" s="9">
        <f t="shared" si="27"/>
        <v>84776</v>
      </c>
      <c r="N62" s="9">
        <f t="shared" si="27"/>
        <v>95376</v>
      </c>
      <c r="O62" s="3"/>
      <c r="P62" s="3"/>
      <c r="Q62" s="3"/>
      <c r="R62" s="7">
        <f t="shared" si="25"/>
        <v>65000</v>
      </c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6" t="s">
        <v>9</v>
      </c>
      <c r="E63" s="9">
        <f t="shared" si="23"/>
        <v>9800</v>
      </c>
      <c r="F63" s="9">
        <f t="shared" ref="F63:M63" si="28">F43+E63</f>
        <v>19600</v>
      </c>
      <c r="G63" s="9">
        <f t="shared" si="28"/>
        <v>29455</v>
      </c>
      <c r="H63" s="9">
        <f t="shared" si="28"/>
        <v>39365</v>
      </c>
      <c r="I63" s="9">
        <f t="shared" si="28"/>
        <v>49330</v>
      </c>
      <c r="J63" s="11">
        <f t="shared" si="28"/>
        <v>59330</v>
      </c>
      <c r="K63" s="9">
        <f t="shared" si="28"/>
        <v>69430</v>
      </c>
      <c r="L63" s="9">
        <f t="shared" si="28"/>
        <v>79530</v>
      </c>
      <c r="M63" s="9">
        <f t="shared" si="28"/>
        <v>89630</v>
      </c>
      <c r="N63" s="3"/>
      <c r="O63" s="3"/>
      <c r="P63" s="3"/>
      <c r="Q63" s="3"/>
      <c r="R63" s="7">
        <f t="shared" si="25"/>
        <v>63000</v>
      </c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6" t="s">
        <v>10</v>
      </c>
      <c r="E64" s="9">
        <f t="shared" si="23"/>
        <v>10200</v>
      </c>
      <c r="F64" s="9">
        <f t="shared" ref="F64:L64" si="29">F44+E64</f>
        <v>20600</v>
      </c>
      <c r="G64" s="9">
        <f t="shared" si="29"/>
        <v>31090</v>
      </c>
      <c r="H64" s="9">
        <f t="shared" si="29"/>
        <v>41670</v>
      </c>
      <c r="I64" s="9">
        <f t="shared" si="29"/>
        <v>52340</v>
      </c>
      <c r="J64" s="11">
        <f t="shared" si="29"/>
        <v>63100</v>
      </c>
      <c r="K64" s="9">
        <f t="shared" si="29"/>
        <v>73950</v>
      </c>
      <c r="L64" s="9">
        <f t="shared" si="29"/>
        <v>84890</v>
      </c>
      <c r="M64" s="3"/>
      <c r="N64" s="3"/>
      <c r="O64" s="3"/>
      <c r="P64" s="3"/>
      <c r="Q64" s="3"/>
      <c r="R64" s="7">
        <f t="shared" si="25"/>
        <v>63000</v>
      </c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6" t="s">
        <v>11</v>
      </c>
      <c r="E65" s="9">
        <f t="shared" si="23"/>
        <v>9700</v>
      </c>
      <c r="F65" s="9">
        <f t="shared" ref="F65:K65" si="30">F45+E65</f>
        <v>20200</v>
      </c>
      <c r="G65" s="9">
        <f t="shared" si="30"/>
        <v>30800</v>
      </c>
      <c r="H65" s="9">
        <f t="shared" si="30"/>
        <v>41500</v>
      </c>
      <c r="I65" s="9">
        <f t="shared" si="30"/>
        <v>52300</v>
      </c>
      <c r="J65" s="11">
        <f t="shared" si="30"/>
        <v>63200</v>
      </c>
      <c r="K65" s="9">
        <f t="shared" si="30"/>
        <v>74200</v>
      </c>
      <c r="L65" s="3"/>
      <c r="M65" s="3"/>
      <c r="N65" s="3"/>
      <c r="O65" s="3"/>
      <c r="P65" s="3"/>
      <c r="Q65" s="3"/>
      <c r="R65" s="7">
        <f t="shared" si="25"/>
        <v>61000</v>
      </c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6" t="s">
        <v>12</v>
      </c>
      <c r="E66" s="9">
        <f t="shared" si="23"/>
        <v>9500</v>
      </c>
      <c r="F66" s="9">
        <f t="shared" ref="F66:J66" si="31">F46+E66</f>
        <v>21500</v>
      </c>
      <c r="G66" s="9">
        <f t="shared" si="31"/>
        <v>33650</v>
      </c>
      <c r="H66" s="9">
        <f t="shared" si="31"/>
        <v>45950</v>
      </c>
      <c r="I66" s="11">
        <f t="shared" si="31"/>
        <v>58400</v>
      </c>
      <c r="J66" s="9">
        <f t="shared" si="31"/>
        <v>71000</v>
      </c>
      <c r="K66" s="3"/>
      <c r="L66" s="3"/>
      <c r="M66" s="3"/>
      <c r="N66" s="3"/>
      <c r="O66" s="3"/>
      <c r="P66" s="3"/>
      <c r="Q66" s="3"/>
      <c r="R66" s="7">
        <f t="shared" si="25"/>
        <v>60000</v>
      </c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6" t="s">
        <v>37</v>
      </c>
      <c r="E67" s="9">
        <f t="shared" si="23"/>
        <v>10000</v>
      </c>
      <c r="F67" s="9">
        <f t="shared" ref="F67:I67" si="32">F47+E67</f>
        <v>22000</v>
      </c>
      <c r="G67" s="9">
        <f t="shared" si="32"/>
        <v>34200</v>
      </c>
      <c r="H67" s="9">
        <f t="shared" si="32"/>
        <v>46600</v>
      </c>
      <c r="I67" s="11">
        <f t="shared" si="32"/>
        <v>59200</v>
      </c>
      <c r="J67" s="3"/>
      <c r="K67" s="3"/>
      <c r="L67" s="3"/>
      <c r="M67" s="3"/>
      <c r="N67" s="3"/>
      <c r="O67" s="3"/>
      <c r="P67" s="3"/>
      <c r="Q67" s="3"/>
      <c r="R67" s="7">
        <f t="shared" si="25"/>
        <v>62000</v>
      </c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6" t="s">
        <v>15</v>
      </c>
      <c r="E68" s="9">
        <f t="shared" si="23"/>
        <v>10200</v>
      </c>
      <c r="F68" s="9">
        <f t="shared" ref="F68:H68" si="33">F48+E68</f>
        <v>22200</v>
      </c>
      <c r="G68" s="9">
        <f t="shared" si="33"/>
        <v>34400</v>
      </c>
      <c r="H68" s="9">
        <f t="shared" si="33"/>
        <v>46800</v>
      </c>
      <c r="I68" s="3"/>
      <c r="J68" s="3"/>
      <c r="K68" s="3"/>
      <c r="L68" s="3"/>
      <c r="M68" s="3"/>
      <c r="N68" s="3"/>
      <c r="O68" s="3"/>
      <c r="P68" s="3"/>
      <c r="Q68" s="3"/>
      <c r="R68" s="7">
        <f t="shared" si="25"/>
        <v>62000</v>
      </c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6" t="s">
        <v>16</v>
      </c>
      <c r="E69" s="9">
        <f t="shared" si="23"/>
        <v>10500</v>
      </c>
      <c r="F69" s="9">
        <f t="shared" ref="F69:G69" si="34">F49+E69</f>
        <v>22500</v>
      </c>
      <c r="G69" s="9">
        <f t="shared" si="34"/>
        <v>34800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7">
        <f t="shared" si="25"/>
        <v>62500</v>
      </c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6" t="s">
        <v>17</v>
      </c>
      <c r="E70" s="9">
        <f t="shared" si="23"/>
        <v>11000</v>
      </c>
      <c r="F70" s="9">
        <f>F50+E70</f>
        <v>23200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7">
        <f t="shared" si="25"/>
        <v>63000</v>
      </c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7">
        <f t="shared" si="25"/>
        <v>64000</v>
      </c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4" t="s">
        <v>1</v>
      </c>
      <c r="D73" s="5" t="s">
        <v>2</v>
      </c>
      <c r="E73" s="5" t="s">
        <v>25</v>
      </c>
      <c r="F73" s="5" t="s">
        <v>26</v>
      </c>
      <c r="G73" s="5" t="s">
        <v>27</v>
      </c>
      <c r="H73" s="5" t="s">
        <v>28</v>
      </c>
      <c r="I73" s="5" t="s">
        <v>29</v>
      </c>
      <c r="J73" s="5" t="s">
        <v>30</v>
      </c>
      <c r="K73" s="5" t="s">
        <v>31</v>
      </c>
      <c r="L73" s="5" t="s">
        <v>32</v>
      </c>
      <c r="M73" s="5" t="s">
        <v>33</v>
      </c>
      <c r="N73" s="5" t="s">
        <v>34</v>
      </c>
      <c r="O73" s="5" t="s">
        <v>35</v>
      </c>
      <c r="P73" s="5" t="s">
        <v>36</v>
      </c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6" t="s">
        <v>4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6" t="s">
        <v>5</v>
      </c>
      <c r="E76" s="12">
        <f>E40/E40</f>
        <v>1</v>
      </c>
      <c r="F76" s="12">
        <f t="shared" ref="F76:P76" si="35">F40/$E$40</f>
        <v>0.58823529411764708</v>
      </c>
      <c r="G76" s="12">
        <f t="shared" si="35"/>
        <v>0.59068627450980393</v>
      </c>
      <c r="H76" s="13">
        <f t="shared" si="35"/>
        <v>0.59313725490196079</v>
      </c>
      <c r="I76" s="12">
        <f t="shared" si="35"/>
        <v>0.59558823529411764</v>
      </c>
      <c r="J76" s="12">
        <f t="shared" si="35"/>
        <v>0.59803921568627449</v>
      </c>
      <c r="K76" s="13">
        <f t="shared" si="35"/>
        <v>0.60049019607843135</v>
      </c>
      <c r="L76" s="12">
        <f t="shared" si="35"/>
        <v>0.6029411764705882</v>
      </c>
      <c r="M76" s="12">
        <f t="shared" si="35"/>
        <v>0.60539215686274506</v>
      </c>
      <c r="N76" s="13">
        <f t="shared" si="35"/>
        <v>0.60784313725490191</v>
      </c>
      <c r="O76" s="12">
        <f t="shared" si="35"/>
        <v>0.61029411764705888</v>
      </c>
      <c r="P76" s="12">
        <f t="shared" si="35"/>
        <v>0.61274509803921573</v>
      </c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6" t="s">
        <v>6</v>
      </c>
      <c r="E77" s="12">
        <f>$E41/E41</f>
        <v>1</v>
      </c>
      <c r="F77" s="12">
        <f t="shared" ref="F77:O77" si="36">F41/$E41</f>
        <v>0.59405940594059403</v>
      </c>
      <c r="G77" s="12">
        <f t="shared" si="36"/>
        <v>0.59900990099009899</v>
      </c>
      <c r="H77" s="13">
        <f t="shared" si="36"/>
        <v>0.60396039603960394</v>
      </c>
      <c r="I77" s="12">
        <f t="shared" si="36"/>
        <v>0.6089108910891089</v>
      </c>
      <c r="J77" s="12">
        <f t="shared" si="36"/>
        <v>0.81188118811881194</v>
      </c>
      <c r="K77" s="13">
        <f t="shared" si="36"/>
        <v>0.82178217821782173</v>
      </c>
      <c r="L77" s="12">
        <f t="shared" si="36"/>
        <v>0.8910891089108911</v>
      </c>
      <c r="M77" s="12">
        <f t="shared" si="36"/>
        <v>0.62871287128712872</v>
      </c>
      <c r="N77" s="13">
        <f t="shared" si="36"/>
        <v>0.63366336633663367</v>
      </c>
      <c r="O77" s="12">
        <f t="shared" si="36"/>
        <v>0.63861386138613863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6" t="s">
        <v>8</v>
      </c>
      <c r="E78" s="12">
        <f t="shared" ref="E78:E86" si="37">E42/E42</f>
        <v>1</v>
      </c>
      <c r="F78" s="12">
        <f t="shared" ref="F78:N78" si="38">F42/$E42</f>
        <v>0.91262135922330101</v>
      </c>
      <c r="G78" s="12">
        <f t="shared" si="38"/>
        <v>0.87378640776699024</v>
      </c>
      <c r="H78" s="13">
        <f t="shared" si="38"/>
        <v>0.78116504854368929</v>
      </c>
      <c r="I78" s="12">
        <f t="shared" si="38"/>
        <v>0.785631067961165</v>
      </c>
      <c r="J78" s="12">
        <f t="shared" si="38"/>
        <v>0.79009708737864082</v>
      </c>
      <c r="K78" s="14">
        <f t="shared" si="38"/>
        <v>1.029126213592233</v>
      </c>
      <c r="L78" s="12">
        <f t="shared" si="38"/>
        <v>1.029126213592233</v>
      </c>
      <c r="M78" s="12">
        <f t="shared" si="38"/>
        <v>1.029126213592233</v>
      </c>
      <c r="N78" s="14">
        <f t="shared" si="38"/>
        <v>1.029126213592233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6" t="s">
        <v>9</v>
      </c>
      <c r="E79" s="12">
        <f t="shared" si="37"/>
        <v>1</v>
      </c>
      <c r="F79" s="12">
        <f t="shared" ref="F79:M79" si="39">F43/$E43</f>
        <v>1</v>
      </c>
      <c r="G79" s="12">
        <f t="shared" si="39"/>
        <v>1.0056122448979592</v>
      </c>
      <c r="H79" s="14">
        <f t="shared" si="39"/>
        <v>1.0112244897959184</v>
      </c>
      <c r="I79" s="12">
        <f t="shared" si="39"/>
        <v>1.0168367346938776</v>
      </c>
      <c r="J79" s="12">
        <f t="shared" si="39"/>
        <v>1.0204081632653061</v>
      </c>
      <c r="K79" s="14">
        <f t="shared" si="39"/>
        <v>1.0306122448979591</v>
      </c>
      <c r="L79" s="12">
        <f t="shared" si="39"/>
        <v>1.0306122448979591</v>
      </c>
      <c r="M79" s="12">
        <f t="shared" si="39"/>
        <v>1.0306122448979591</v>
      </c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6" t="s">
        <v>10</v>
      </c>
      <c r="E80" s="12">
        <f t="shared" si="37"/>
        <v>1</v>
      </c>
      <c r="F80" s="12">
        <f t="shared" ref="F80:L80" si="40">F44/$E44</f>
        <v>1.0196078431372548</v>
      </c>
      <c r="G80" s="12">
        <f t="shared" si="40"/>
        <v>1.0284313725490195</v>
      </c>
      <c r="H80" s="14">
        <f t="shared" si="40"/>
        <v>1.0372549019607844</v>
      </c>
      <c r="I80" s="12">
        <f t="shared" si="40"/>
        <v>1.0460784313725491</v>
      </c>
      <c r="J80" s="12">
        <f t="shared" si="40"/>
        <v>1.0549019607843138</v>
      </c>
      <c r="K80" s="14">
        <f t="shared" si="40"/>
        <v>1.0637254901960784</v>
      </c>
      <c r="L80" s="12">
        <f t="shared" si="40"/>
        <v>1.0725490196078431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6" t="s">
        <v>11</v>
      </c>
      <c r="E81" s="12">
        <f t="shared" si="37"/>
        <v>1</v>
      </c>
      <c r="F81" s="12">
        <f t="shared" ref="F81:K81" si="41">F45/$E45</f>
        <v>1.0824742268041236</v>
      </c>
      <c r="G81" s="12">
        <f t="shared" si="41"/>
        <v>1.0927835051546391</v>
      </c>
      <c r="H81" s="14">
        <f t="shared" si="41"/>
        <v>1.1030927835051547</v>
      </c>
      <c r="I81" s="12">
        <f t="shared" si="41"/>
        <v>1.1134020618556701</v>
      </c>
      <c r="J81" s="12">
        <f t="shared" si="41"/>
        <v>1.1237113402061856</v>
      </c>
      <c r="K81" s="15">
        <f t="shared" si="41"/>
        <v>1.134020618556701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6" t="s">
        <v>12</v>
      </c>
      <c r="E82" s="12">
        <f t="shared" si="37"/>
        <v>1</v>
      </c>
      <c r="F82" s="12">
        <f t="shared" ref="F82:J82" si="42">F46/$E46</f>
        <v>1.263157894736842</v>
      </c>
      <c r="G82" s="12">
        <f t="shared" si="42"/>
        <v>1.2789473684210526</v>
      </c>
      <c r="H82" s="15">
        <f t="shared" si="42"/>
        <v>1.2947368421052632</v>
      </c>
      <c r="I82" s="12">
        <f t="shared" si="42"/>
        <v>1.3105263157894738</v>
      </c>
      <c r="J82" s="12">
        <f t="shared" si="42"/>
        <v>1.3263157894736841</v>
      </c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6" t="s">
        <v>37</v>
      </c>
      <c r="E83" s="12">
        <f t="shared" si="37"/>
        <v>1</v>
      </c>
      <c r="F83" s="12">
        <f t="shared" ref="F83:I83" si="43">F47/$E47</f>
        <v>1.2</v>
      </c>
      <c r="G83" s="12">
        <f t="shared" si="43"/>
        <v>1.22</v>
      </c>
      <c r="H83" s="15">
        <f t="shared" si="43"/>
        <v>1.24</v>
      </c>
      <c r="I83" s="12">
        <f t="shared" si="43"/>
        <v>1.26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6" t="s">
        <v>15</v>
      </c>
      <c r="E84" s="12">
        <f t="shared" si="37"/>
        <v>1</v>
      </c>
      <c r="F84" s="12">
        <f t="shared" ref="F84:H84" si="44">F48/$E48</f>
        <v>1.1764705882352942</v>
      </c>
      <c r="G84" s="12">
        <f t="shared" si="44"/>
        <v>1.196078431372549</v>
      </c>
      <c r="H84" s="15">
        <f t="shared" si="44"/>
        <v>1.2156862745098038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6" t="s">
        <v>16</v>
      </c>
      <c r="E85" s="12">
        <f t="shared" si="37"/>
        <v>1</v>
      </c>
      <c r="F85" s="12">
        <f t="shared" ref="F85:G85" si="45">F49/$E49</f>
        <v>1.1428571428571428</v>
      </c>
      <c r="G85" s="12">
        <f t="shared" si="45"/>
        <v>1.1714285714285715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6" t="s">
        <v>17</v>
      </c>
      <c r="E86" s="12">
        <f t="shared" si="37"/>
        <v>1</v>
      </c>
      <c r="F86" s="12">
        <f>F50/$E50</f>
        <v>1.1090909090909091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 t="s">
        <v>38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5" t="s">
        <v>2</v>
      </c>
      <c r="E91" s="5" t="s">
        <v>3</v>
      </c>
      <c r="F91" s="3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6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6" t="s">
        <v>4</v>
      </c>
      <c r="E93" s="7">
        <v>50000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6" t="s">
        <v>5</v>
      </c>
      <c r="E94" s="7">
        <v>55000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6" t="s">
        <v>6</v>
      </c>
      <c r="E95" s="7">
        <v>57000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6" t="s">
        <v>8</v>
      </c>
      <c r="E96" s="7">
        <v>57000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6" t="s">
        <v>9</v>
      </c>
      <c r="E97" s="7">
        <v>58000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6" t="s">
        <v>10</v>
      </c>
      <c r="E98" s="7">
        <v>60000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6" t="s">
        <v>11</v>
      </c>
      <c r="E99" s="7">
        <v>60000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6" t="s">
        <v>12</v>
      </c>
      <c r="E100" s="7">
        <v>62000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5" t="s">
        <v>2</v>
      </c>
      <c r="E102" s="5" t="s">
        <v>25</v>
      </c>
      <c r="F102" s="5" t="s">
        <v>26</v>
      </c>
      <c r="G102" s="5" t="s">
        <v>27</v>
      </c>
      <c r="H102" s="5" t="s">
        <v>28</v>
      </c>
      <c r="I102" s="5" t="s">
        <v>29</v>
      </c>
      <c r="J102" s="5" t="s">
        <v>30</v>
      </c>
      <c r="K102" s="5" t="s">
        <v>31</v>
      </c>
      <c r="L102" s="5" t="s">
        <v>32</v>
      </c>
      <c r="M102" s="5" t="s">
        <v>33</v>
      </c>
      <c r="N102" s="5" t="s">
        <v>34</v>
      </c>
      <c r="O102" s="5" t="s">
        <v>35</v>
      </c>
      <c r="P102" s="5" t="s">
        <v>36</v>
      </c>
      <c r="Q102" s="3"/>
      <c r="R102" s="5" t="s">
        <v>3</v>
      </c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3"/>
      <c r="R103" s="6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6" t="s">
        <v>4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3"/>
      <c r="R104" s="6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6" t="s">
        <v>5</v>
      </c>
      <c r="E105" s="9">
        <v>6500</v>
      </c>
      <c r="F105" s="9">
        <v>13200</v>
      </c>
      <c r="G105" s="9">
        <v>20200</v>
      </c>
      <c r="H105" s="9">
        <v>27400</v>
      </c>
      <c r="I105" s="9">
        <v>34900</v>
      </c>
      <c r="J105" s="9">
        <v>42900</v>
      </c>
      <c r="K105" s="9">
        <v>51100</v>
      </c>
      <c r="L105" s="11">
        <v>59600</v>
      </c>
      <c r="M105" s="9">
        <v>68300</v>
      </c>
      <c r="N105" s="9">
        <v>77300</v>
      </c>
      <c r="O105" s="9">
        <v>86400</v>
      </c>
      <c r="P105" s="9">
        <v>95600</v>
      </c>
      <c r="Q105" s="3"/>
      <c r="R105" s="7">
        <v>60000</v>
      </c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6" t="s">
        <v>6</v>
      </c>
      <c r="E106" s="9">
        <v>7000</v>
      </c>
      <c r="F106" s="9">
        <v>14500</v>
      </c>
      <c r="G106" s="9">
        <v>22300</v>
      </c>
      <c r="H106" s="9">
        <v>30300</v>
      </c>
      <c r="I106" s="9">
        <v>38300</v>
      </c>
      <c r="J106" s="9">
        <v>46500</v>
      </c>
      <c r="K106" s="9">
        <v>54800</v>
      </c>
      <c r="L106" s="11">
        <v>63800</v>
      </c>
      <c r="M106" s="9">
        <v>74500</v>
      </c>
      <c r="N106" s="9">
        <v>85300</v>
      </c>
      <c r="O106" s="9">
        <v>96300</v>
      </c>
      <c r="P106" s="3"/>
      <c r="Q106" s="3"/>
      <c r="R106" s="7">
        <v>63000</v>
      </c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6" t="s">
        <v>8</v>
      </c>
      <c r="E107" s="9">
        <v>7500</v>
      </c>
      <c r="F107" s="9">
        <v>15500</v>
      </c>
      <c r="G107" s="9">
        <v>24500</v>
      </c>
      <c r="H107" s="9">
        <v>34700</v>
      </c>
      <c r="I107" s="9">
        <v>44700</v>
      </c>
      <c r="J107" s="9">
        <v>55000</v>
      </c>
      <c r="K107" s="11">
        <v>65600</v>
      </c>
      <c r="L107" s="9">
        <v>76200</v>
      </c>
      <c r="M107" s="9">
        <v>86800</v>
      </c>
      <c r="N107" s="9">
        <v>97400</v>
      </c>
      <c r="O107" s="3"/>
      <c r="P107" s="3"/>
      <c r="Q107" s="3"/>
      <c r="R107" s="7">
        <v>65000</v>
      </c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6" t="s">
        <v>9</v>
      </c>
      <c r="E108" s="9">
        <v>8000</v>
      </c>
      <c r="F108" s="9">
        <v>16200</v>
      </c>
      <c r="G108" s="9">
        <v>24700</v>
      </c>
      <c r="H108" s="9">
        <v>33700</v>
      </c>
      <c r="I108" s="9">
        <v>43200</v>
      </c>
      <c r="J108" s="9">
        <v>53200</v>
      </c>
      <c r="K108" s="11">
        <v>63300</v>
      </c>
      <c r="L108" s="9">
        <v>73400</v>
      </c>
      <c r="M108" s="9">
        <v>83500</v>
      </c>
      <c r="N108" s="3"/>
      <c r="O108" s="3"/>
      <c r="P108" s="3"/>
      <c r="Q108" s="3"/>
      <c r="R108" s="7">
        <v>63000</v>
      </c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6" t="s">
        <v>10</v>
      </c>
      <c r="E109" s="9">
        <v>7800</v>
      </c>
      <c r="F109" s="9">
        <v>16300</v>
      </c>
      <c r="G109" s="9">
        <v>25000</v>
      </c>
      <c r="H109" s="9">
        <v>34300</v>
      </c>
      <c r="I109" s="9">
        <v>44100</v>
      </c>
      <c r="J109" s="9">
        <v>54100</v>
      </c>
      <c r="K109" s="11">
        <v>64300</v>
      </c>
      <c r="L109" s="9">
        <v>74800</v>
      </c>
      <c r="M109" s="3"/>
      <c r="N109" s="3"/>
      <c r="O109" s="3"/>
      <c r="P109" s="3"/>
      <c r="Q109" s="3"/>
      <c r="R109" s="7">
        <v>63000</v>
      </c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6" t="s">
        <v>11</v>
      </c>
      <c r="E110" s="9">
        <v>8200</v>
      </c>
      <c r="F110" s="9">
        <v>17700</v>
      </c>
      <c r="G110" s="9">
        <v>27700</v>
      </c>
      <c r="H110" s="9">
        <v>38200</v>
      </c>
      <c r="I110" s="9">
        <v>48900</v>
      </c>
      <c r="J110" s="11">
        <v>59900</v>
      </c>
      <c r="K110" s="9">
        <v>71100</v>
      </c>
      <c r="L110" s="3"/>
      <c r="M110" s="3"/>
      <c r="N110" s="3"/>
      <c r="O110" s="3"/>
      <c r="P110" s="3"/>
      <c r="Q110" s="3"/>
      <c r="R110" s="7">
        <v>61000</v>
      </c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6" t="s">
        <v>12</v>
      </c>
      <c r="E111" s="9">
        <v>9000</v>
      </c>
      <c r="F111" s="9">
        <v>18800</v>
      </c>
      <c r="G111" s="9">
        <v>28900</v>
      </c>
      <c r="H111" s="9">
        <v>39100</v>
      </c>
      <c r="I111" s="9">
        <v>49600</v>
      </c>
      <c r="J111" s="11">
        <v>60600</v>
      </c>
      <c r="K111" s="3"/>
      <c r="L111" s="3"/>
      <c r="M111" s="3"/>
      <c r="N111" s="3"/>
      <c r="O111" s="3"/>
      <c r="P111" s="3"/>
      <c r="Q111" s="3"/>
      <c r="R111" s="7">
        <v>60000</v>
      </c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6" t="s">
        <v>37</v>
      </c>
      <c r="E112" s="9">
        <v>10000</v>
      </c>
      <c r="F112" s="9">
        <v>20200</v>
      </c>
      <c r="G112" s="9">
        <v>30700</v>
      </c>
      <c r="H112" s="9">
        <v>41500</v>
      </c>
      <c r="I112" s="9">
        <v>52700</v>
      </c>
      <c r="J112" s="3"/>
      <c r="K112" s="3"/>
      <c r="L112" s="3"/>
      <c r="M112" s="3"/>
      <c r="N112" s="3"/>
      <c r="O112" s="3"/>
      <c r="P112" s="3"/>
      <c r="Q112" s="3"/>
      <c r="R112" s="7">
        <v>62000</v>
      </c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6" t="s">
        <v>15</v>
      </c>
      <c r="E113" s="9">
        <v>10200</v>
      </c>
      <c r="F113" s="9">
        <v>20700</v>
      </c>
      <c r="G113" s="9">
        <v>31500</v>
      </c>
      <c r="H113" s="9">
        <v>42700</v>
      </c>
      <c r="I113" s="3"/>
      <c r="J113" s="3"/>
      <c r="K113" s="3"/>
      <c r="L113" s="3"/>
      <c r="M113" s="3"/>
      <c r="N113" s="3"/>
      <c r="O113" s="3"/>
      <c r="P113" s="3"/>
      <c r="Q113" s="3"/>
      <c r="R113" s="7">
        <v>62000</v>
      </c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6" t="s">
        <v>16</v>
      </c>
      <c r="E114" s="9">
        <v>10500</v>
      </c>
      <c r="F114" s="9">
        <v>21300</v>
      </c>
      <c r="G114" s="9">
        <v>32300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7">
        <v>62500</v>
      </c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6" t="s">
        <v>17</v>
      </c>
      <c r="E115" s="9">
        <v>11000</v>
      </c>
      <c r="F115" s="9">
        <v>22500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7">
        <v>63000</v>
      </c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5" t="s">
        <v>2</v>
      </c>
      <c r="E117" s="5" t="s">
        <v>25</v>
      </c>
      <c r="F117" s="5" t="s">
        <v>26</v>
      </c>
      <c r="G117" s="5" t="s">
        <v>27</v>
      </c>
      <c r="H117" s="5" t="s">
        <v>28</v>
      </c>
      <c r="I117" s="5" t="s">
        <v>29</v>
      </c>
      <c r="J117" s="5" t="s">
        <v>30</v>
      </c>
      <c r="K117" s="5" t="s">
        <v>31</v>
      </c>
      <c r="L117" s="5" t="s">
        <v>32</v>
      </c>
      <c r="M117" s="5" t="s">
        <v>33</v>
      </c>
      <c r="N117" s="5" t="s">
        <v>34</v>
      </c>
      <c r="O117" s="5" t="s">
        <v>35</v>
      </c>
      <c r="P117" s="5" t="s">
        <v>36</v>
      </c>
      <c r="Q117" s="3"/>
      <c r="R117" s="5" t="s">
        <v>3</v>
      </c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3"/>
      <c r="R118" s="6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6" t="s">
        <v>4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3"/>
      <c r="R119" s="6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6" t="s">
        <v>5</v>
      </c>
      <c r="E120" s="9">
        <v>6500</v>
      </c>
      <c r="F120" s="9">
        <v>13200</v>
      </c>
      <c r="G120" s="9">
        <v>20200</v>
      </c>
      <c r="H120" s="16">
        <v>27400</v>
      </c>
      <c r="I120" s="9">
        <v>34900</v>
      </c>
      <c r="J120" s="17">
        <v>42900</v>
      </c>
      <c r="K120" s="16">
        <v>51100</v>
      </c>
      <c r="L120" s="17">
        <v>59600</v>
      </c>
      <c r="M120" s="9">
        <v>68300</v>
      </c>
      <c r="N120" s="16">
        <v>77300</v>
      </c>
      <c r="O120" s="9">
        <v>86400</v>
      </c>
      <c r="P120" s="9">
        <v>95600</v>
      </c>
      <c r="Q120" s="3"/>
      <c r="R120" s="7">
        <v>60000</v>
      </c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6" t="s">
        <v>6</v>
      </c>
      <c r="E121" s="9">
        <v>7000</v>
      </c>
      <c r="F121" s="9">
        <v>14500</v>
      </c>
      <c r="G121" s="9">
        <v>22300</v>
      </c>
      <c r="H121" s="16">
        <v>30300</v>
      </c>
      <c r="I121" s="9">
        <v>38300</v>
      </c>
      <c r="J121" s="17">
        <v>46500</v>
      </c>
      <c r="K121" s="16">
        <v>54800</v>
      </c>
      <c r="L121" s="17">
        <v>63800</v>
      </c>
      <c r="M121" s="9">
        <v>74500</v>
      </c>
      <c r="N121" s="18">
        <v>85300</v>
      </c>
      <c r="O121" s="9">
        <v>96300</v>
      </c>
      <c r="P121" s="3"/>
      <c r="Q121" s="3"/>
      <c r="R121" s="7">
        <v>63000</v>
      </c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6" t="s">
        <v>8</v>
      </c>
      <c r="E122" s="9">
        <v>7500</v>
      </c>
      <c r="F122" s="9">
        <v>15500</v>
      </c>
      <c r="G122" s="9">
        <v>24500</v>
      </c>
      <c r="H122" s="16">
        <v>34700</v>
      </c>
      <c r="I122" s="9">
        <v>44700</v>
      </c>
      <c r="J122" s="17">
        <v>55000</v>
      </c>
      <c r="K122" s="18">
        <v>65600</v>
      </c>
      <c r="L122" s="17">
        <v>76200</v>
      </c>
      <c r="M122" s="9">
        <v>86800</v>
      </c>
      <c r="N122" s="19">
        <v>97400</v>
      </c>
      <c r="O122" s="3"/>
      <c r="P122" s="3"/>
      <c r="Q122" s="3"/>
      <c r="R122" s="7">
        <v>65000</v>
      </c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6" t="s">
        <v>9</v>
      </c>
      <c r="E123" s="9">
        <v>8000</v>
      </c>
      <c r="F123" s="9">
        <v>16200</v>
      </c>
      <c r="G123" s="9">
        <v>24700</v>
      </c>
      <c r="H123" s="18">
        <v>33700</v>
      </c>
      <c r="I123" s="9">
        <v>43200</v>
      </c>
      <c r="J123" s="17">
        <v>53200</v>
      </c>
      <c r="K123" s="18">
        <v>63300</v>
      </c>
      <c r="L123" s="17">
        <v>73400</v>
      </c>
      <c r="M123" s="9">
        <v>83500</v>
      </c>
      <c r="N123" s="3"/>
      <c r="O123" s="3"/>
      <c r="P123" s="3"/>
      <c r="Q123" s="3"/>
      <c r="R123" s="7">
        <v>63000</v>
      </c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6" t="s">
        <v>10</v>
      </c>
      <c r="E124" s="9">
        <v>7800</v>
      </c>
      <c r="F124" s="9">
        <v>16300</v>
      </c>
      <c r="G124" s="9">
        <v>25000</v>
      </c>
      <c r="H124" s="18">
        <v>34300</v>
      </c>
      <c r="I124" s="9">
        <v>44100</v>
      </c>
      <c r="J124" s="17">
        <v>54100</v>
      </c>
      <c r="K124" s="18">
        <v>64300</v>
      </c>
      <c r="L124" s="17">
        <v>74800</v>
      </c>
      <c r="M124" s="3"/>
      <c r="N124" s="3"/>
      <c r="O124" s="3"/>
      <c r="P124" s="3"/>
      <c r="Q124" s="3"/>
      <c r="R124" s="7">
        <v>63000</v>
      </c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6" t="s">
        <v>11</v>
      </c>
      <c r="E125" s="9">
        <v>8200</v>
      </c>
      <c r="F125" s="9">
        <v>17700</v>
      </c>
      <c r="G125" s="9">
        <v>27700</v>
      </c>
      <c r="H125" s="18">
        <v>38200</v>
      </c>
      <c r="I125" s="9">
        <v>48900</v>
      </c>
      <c r="J125" s="17">
        <v>59900</v>
      </c>
      <c r="K125" s="19">
        <v>71100</v>
      </c>
      <c r="L125" s="20"/>
      <c r="M125" s="3"/>
      <c r="N125" s="3"/>
      <c r="O125" s="3"/>
      <c r="P125" s="3"/>
      <c r="Q125" s="3"/>
      <c r="R125" s="7">
        <v>61000</v>
      </c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6" t="s">
        <v>12</v>
      </c>
      <c r="E126" s="9">
        <v>9000</v>
      </c>
      <c r="F126" s="9">
        <v>18800</v>
      </c>
      <c r="G126" s="9">
        <v>28900</v>
      </c>
      <c r="H126" s="19">
        <v>39100</v>
      </c>
      <c r="I126" s="9">
        <v>49600</v>
      </c>
      <c r="J126" s="17">
        <v>60600</v>
      </c>
      <c r="K126" s="20"/>
      <c r="L126" s="20"/>
      <c r="M126" s="3"/>
      <c r="N126" s="3"/>
      <c r="O126" s="3"/>
      <c r="P126" s="3"/>
      <c r="Q126" s="3"/>
      <c r="R126" s="7">
        <v>60000</v>
      </c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6" t="s">
        <v>37</v>
      </c>
      <c r="E127" s="9">
        <v>10000</v>
      </c>
      <c r="F127" s="9">
        <v>20200</v>
      </c>
      <c r="G127" s="9">
        <v>30700</v>
      </c>
      <c r="H127" s="19">
        <v>41500</v>
      </c>
      <c r="I127" s="9">
        <v>52700</v>
      </c>
      <c r="J127" s="3"/>
      <c r="K127" s="3"/>
      <c r="L127" s="3"/>
      <c r="M127" s="3"/>
      <c r="N127" s="3"/>
      <c r="O127" s="3"/>
      <c r="P127" s="3"/>
      <c r="Q127" s="3"/>
      <c r="R127" s="7">
        <v>62000</v>
      </c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6" t="s">
        <v>15</v>
      </c>
      <c r="E128" s="9">
        <v>10200</v>
      </c>
      <c r="F128" s="9">
        <v>20700</v>
      </c>
      <c r="G128" s="9">
        <v>31500</v>
      </c>
      <c r="H128" s="19">
        <v>42700</v>
      </c>
      <c r="I128" s="3"/>
      <c r="J128" s="3"/>
      <c r="K128" s="3"/>
      <c r="L128" s="3"/>
      <c r="M128" s="3"/>
      <c r="N128" s="3"/>
      <c r="O128" s="3"/>
      <c r="P128" s="3"/>
      <c r="Q128" s="3"/>
      <c r="R128" s="7">
        <v>62000</v>
      </c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6" t="s">
        <v>16</v>
      </c>
      <c r="E129" s="9">
        <v>10500</v>
      </c>
      <c r="F129" s="9">
        <v>21300</v>
      </c>
      <c r="G129" s="9">
        <v>32300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7">
        <v>62500</v>
      </c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6" t="s">
        <v>17</v>
      </c>
      <c r="E130" s="9">
        <v>11000</v>
      </c>
      <c r="F130" s="9">
        <v>22500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7">
        <v>63000</v>
      </c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5" t="s">
        <v>2</v>
      </c>
      <c r="E133" s="5" t="s">
        <v>25</v>
      </c>
      <c r="F133" s="5" t="s">
        <v>26</v>
      </c>
      <c r="G133" s="5" t="s">
        <v>27</v>
      </c>
      <c r="H133" s="5" t="s">
        <v>28</v>
      </c>
      <c r="I133" s="5" t="s">
        <v>29</v>
      </c>
      <c r="J133" s="5" t="s">
        <v>30</v>
      </c>
      <c r="K133" s="5" t="s">
        <v>31</v>
      </c>
      <c r="L133" s="5" t="s">
        <v>32</v>
      </c>
      <c r="M133" s="5" t="s">
        <v>33</v>
      </c>
      <c r="N133" s="5" t="s">
        <v>34</v>
      </c>
      <c r="O133" s="5" t="s">
        <v>35</v>
      </c>
      <c r="P133" s="5" t="s">
        <v>36</v>
      </c>
      <c r="Q133" s="3"/>
      <c r="R133" s="5" t="s">
        <v>3</v>
      </c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6"/>
      <c r="E134" s="6"/>
      <c r="F134" s="6"/>
      <c r="G134" s="6"/>
      <c r="H134" s="6"/>
      <c r="I134" s="6"/>
      <c r="J134" s="6"/>
      <c r="K134" s="6"/>
      <c r="L134" s="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6" t="s">
        <v>4</v>
      </c>
      <c r="E135" s="6"/>
      <c r="F135" s="6"/>
      <c r="G135" s="6"/>
      <c r="H135" s="6"/>
      <c r="I135" s="6"/>
      <c r="J135" s="6"/>
      <c r="K135" s="6"/>
      <c r="L135" s="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6" t="s">
        <v>5</v>
      </c>
      <c r="E136" s="16">
        <v>6500</v>
      </c>
      <c r="F136" s="9">
        <v>13200</v>
      </c>
      <c r="G136" s="9">
        <v>20200</v>
      </c>
      <c r="H136" s="16">
        <v>27400</v>
      </c>
      <c r="I136" s="9">
        <v>34900</v>
      </c>
      <c r="J136" s="17">
        <v>42900</v>
      </c>
      <c r="K136" s="16">
        <v>51100</v>
      </c>
      <c r="L136" s="17">
        <v>59600</v>
      </c>
      <c r="M136" s="9">
        <v>68300</v>
      </c>
      <c r="N136" s="16">
        <v>77300</v>
      </c>
      <c r="O136" s="9">
        <v>86400</v>
      </c>
      <c r="P136" s="9">
        <v>95600</v>
      </c>
      <c r="Q136" s="3"/>
      <c r="R136" s="7">
        <v>60000</v>
      </c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6" t="s">
        <v>6</v>
      </c>
      <c r="E137" s="16">
        <v>7000</v>
      </c>
      <c r="F137" s="9">
        <v>14500</v>
      </c>
      <c r="G137" s="9">
        <v>22300</v>
      </c>
      <c r="H137" s="16">
        <v>30300</v>
      </c>
      <c r="I137" s="9">
        <v>38300</v>
      </c>
      <c r="J137" s="17">
        <v>46500</v>
      </c>
      <c r="K137" s="16">
        <v>54800</v>
      </c>
      <c r="L137" s="17">
        <v>63800</v>
      </c>
      <c r="M137" s="9">
        <v>74500</v>
      </c>
      <c r="N137" s="18">
        <v>85300</v>
      </c>
      <c r="O137" s="9">
        <v>96300</v>
      </c>
      <c r="P137" s="3"/>
      <c r="Q137" s="3"/>
      <c r="R137" s="7">
        <v>63000</v>
      </c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6" t="s">
        <v>8</v>
      </c>
      <c r="E138" s="16">
        <v>7500</v>
      </c>
      <c r="F138" s="9">
        <v>15500</v>
      </c>
      <c r="G138" s="9">
        <v>24500</v>
      </c>
      <c r="H138" s="16">
        <v>34700</v>
      </c>
      <c r="I138" s="9">
        <v>44700</v>
      </c>
      <c r="J138" s="17">
        <v>55000</v>
      </c>
      <c r="K138" s="18">
        <v>65600</v>
      </c>
      <c r="L138" s="17">
        <v>76200</v>
      </c>
      <c r="M138" s="9">
        <v>86800</v>
      </c>
      <c r="N138" s="19">
        <v>97400</v>
      </c>
      <c r="O138" s="3"/>
      <c r="P138" s="3"/>
      <c r="Q138" s="3"/>
      <c r="R138" s="7">
        <v>65000</v>
      </c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6" t="s">
        <v>9</v>
      </c>
      <c r="E139" s="18">
        <v>8000</v>
      </c>
      <c r="F139" s="9">
        <v>16200</v>
      </c>
      <c r="G139" s="9">
        <v>24700</v>
      </c>
      <c r="H139" s="18">
        <v>33700</v>
      </c>
      <c r="I139" s="9">
        <v>43200</v>
      </c>
      <c r="J139" s="17">
        <v>53200</v>
      </c>
      <c r="K139" s="18">
        <v>63300</v>
      </c>
      <c r="L139" s="17">
        <v>73400</v>
      </c>
      <c r="M139" s="9">
        <v>83500</v>
      </c>
      <c r="N139" s="3"/>
      <c r="O139" s="3"/>
      <c r="P139" s="3"/>
      <c r="Q139" s="3"/>
      <c r="R139" s="7">
        <v>63000</v>
      </c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6" t="s">
        <v>10</v>
      </c>
      <c r="E140" s="18">
        <v>7800</v>
      </c>
      <c r="F140" s="9">
        <v>16300</v>
      </c>
      <c r="G140" s="9">
        <v>25000</v>
      </c>
      <c r="H140" s="18">
        <v>34300</v>
      </c>
      <c r="I140" s="9">
        <v>44100</v>
      </c>
      <c r="J140" s="17">
        <v>54100</v>
      </c>
      <c r="K140" s="18">
        <v>64300</v>
      </c>
      <c r="L140" s="17">
        <v>74800</v>
      </c>
      <c r="M140" s="3"/>
      <c r="N140" s="3"/>
      <c r="O140" s="3"/>
      <c r="P140" s="3"/>
      <c r="Q140" s="3"/>
      <c r="R140" s="7">
        <v>63000</v>
      </c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6" t="s">
        <v>11</v>
      </c>
      <c r="E141" s="18">
        <v>8200</v>
      </c>
      <c r="F141" s="9">
        <v>17700</v>
      </c>
      <c r="G141" s="9">
        <v>27700</v>
      </c>
      <c r="H141" s="18">
        <v>38200</v>
      </c>
      <c r="I141" s="9">
        <v>48900</v>
      </c>
      <c r="J141" s="17">
        <v>59900</v>
      </c>
      <c r="K141" s="19">
        <v>71100</v>
      </c>
      <c r="L141" s="20"/>
      <c r="M141" s="3"/>
      <c r="N141" s="3"/>
      <c r="O141" s="3"/>
      <c r="P141" s="3"/>
      <c r="Q141" s="3"/>
      <c r="R141" s="7">
        <v>61000</v>
      </c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6" t="s">
        <v>12</v>
      </c>
      <c r="E142" s="18">
        <v>9000</v>
      </c>
      <c r="F142" s="9">
        <v>18800</v>
      </c>
      <c r="G142" s="9">
        <v>28900</v>
      </c>
      <c r="H142" s="19">
        <v>39100</v>
      </c>
      <c r="I142" s="9">
        <v>49600</v>
      </c>
      <c r="J142" s="17">
        <v>60600</v>
      </c>
      <c r="K142" s="20"/>
      <c r="L142" s="20"/>
      <c r="M142" s="3"/>
      <c r="N142" s="3"/>
      <c r="O142" s="3"/>
      <c r="P142" s="3"/>
      <c r="Q142" s="3"/>
      <c r="R142" s="7">
        <v>60000</v>
      </c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6" t="s">
        <v>37</v>
      </c>
      <c r="E143" s="18">
        <v>10000</v>
      </c>
      <c r="F143" s="9">
        <v>20200</v>
      </c>
      <c r="G143" s="9">
        <v>30700</v>
      </c>
      <c r="H143" s="19">
        <v>41500</v>
      </c>
      <c r="I143" s="9">
        <v>52700</v>
      </c>
      <c r="J143" s="3"/>
      <c r="K143" s="3"/>
      <c r="L143" s="3"/>
      <c r="M143" s="3"/>
      <c r="N143" s="3"/>
      <c r="O143" s="3"/>
      <c r="P143" s="3"/>
      <c r="Q143" s="3"/>
      <c r="R143" s="7">
        <v>62000</v>
      </c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6" t="s">
        <v>15</v>
      </c>
      <c r="E144" s="19">
        <v>10200</v>
      </c>
      <c r="F144" s="9">
        <v>20700</v>
      </c>
      <c r="G144" s="9">
        <v>31500</v>
      </c>
      <c r="H144" s="19">
        <v>42700</v>
      </c>
      <c r="I144" s="3"/>
      <c r="J144" s="3"/>
      <c r="K144" s="3"/>
      <c r="L144" s="3"/>
      <c r="M144" s="3"/>
      <c r="N144" s="3"/>
      <c r="O144" s="3"/>
      <c r="P144" s="3"/>
      <c r="Q144" s="3"/>
      <c r="R144" s="7">
        <v>62000</v>
      </c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6" t="s">
        <v>16</v>
      </c>
      <c r="E145" s="19">
        <v>10500</v>
      </c>
      <c r="F145" s="9">
        <v>21300</v>
      </c>
      <c r="G145" s="9">
        <v>32300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7">
        <v>62500</v>
      </c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6" t="s">
        <v>17</v>
      </c>
      <c r="E146" s="19">
        <v>11000</v>
      </c>
      <c r="F146" s="9">
        <v>22500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7">
        <v>63000</v>
      </c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showGridLines="0" workbookViewId="0"/>
  </sheetViews>
  <sheetFormatPr defaultColWidth="11.19921875" defaultRowHeight="15" customHeight="1"/>
  <cols>
    <col min="1" max="2" width="10.59765625" customWidth="1"/>
    <col min="3" max="3" width="23.09765625" customWidth="1"/>
    <col min="4" max="4" width="10.59765625" customWidth="1"/>
    <col min="5" max="5" width="11" customWidth="1"/>
    <col min="6" max="6" width="13.3984375" customWidth="1"/>
    <col min="7" max="7" width="11" customWidth="1"/>
    <col min="8" max="15" width="11.69921875" customWidth="1"/>
    <col min="16" max="26" width="10.59765625" customWidth="1"/>
  </cols>
  <sheetData>
    <row r="1" spans="1:26" ht="15.75" customHeight="1">
      <c r="A1" s="3"/>
      <c r="B1" s="3"/>
      <c r="C1" s="3"/>
      <c r="D1" s="5" t="s">
        <v>2</v>
      </c>
      <c r="E1" s="5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3"/>
      <c r="D2" s="6"/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3"/>
      <c r="D3" s="6" t="s">
        <v>4</v>
      </c>
      <c r="E3" s="7">
        <v>60000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/>
      <c r="B4" s="3"/>
      <c r="C4" s="3"/>
      <c r="D4" s="6" t="s">
        <v>5</v>
      </c>
      <c r="E4" s="7">
        <v>63000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3"/>
      <c r="C5" s="3"/>
      <c r="D5" s="6" t="s">
        <v>6</v>
      </c>
      <c r="E5" s="7">
        <v>65000</v>
      </c>
      <c r="F5" s="3"/>
      <c r="G5" s="3"/>
      <c r="H5" s="3"/>
      <c r="I5" s="3"/>
      <c r="J5" s="3"/>
      <c r="K5" s="3"/>
      <c r="L5" s="3"/>
      <c r="M5" s="5" t="s">
        <v>7</v>
      </c>
      <c r="N5" s="5" t="s">
        <v>3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3"/>
      <c r="C6" s="3"/>
      <c r="D6" s="6" t="s">
        <v>8</v>
      </c>
      <c r="E6" s="7">
        <v>63000</v>
      </c>
      <c r="F6" s="3"/>
      <c r="G6" s="3"/>
      <c r="H6" s="3"/>
      <c r="I6" s="3"/>
      <c r="J6" s="3"/>
      <c r="K6" s="3"/>
      <c r="L6" s="3"/>
      <c r="M6" s="6"/>
      <c r="N6" s="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3"/>
      <c r="D7" s="6" t="s">
        <v>9</v>
      </c>
      <c r="E7" s="7">
        <v>63000</v>
      </c>
      <c r="F7" s="3"/>
      <c r="G7" s="3"/>
      <c r="H7" s="3"/>
      <c r="I7" s="3"/>
      <c r="J7" s="3"/>
      <c r="K7" s="3"/>
      <c r="L7" s="3"/>
      <c r="M7" s="6"/>
      <c r="N7" s="6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6" t="s">
        <v>10</v>
      </c>
      <c r="E8" s="7">
        <v>61000</v>
      </c>
      <c r="F8" s="3"/>
      <c r="G8" s="3"/>
      <c r="H8" s="3"/>
      <c r="I8" s="3"/>
      <c r="J8" s="3"/>
      <c r="K8" s="3"/>
      <c r="L8" s="3"/>
      <c r="M8" s="8">
        <v>80</v>
      </c>
      <c r="N8" s="7">
        <f t="shared" ref="N8:N14" si="0">E3/M8</f>
        <v>750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3"/>
      <c r="D9" s="6" t="s">
        <v>11</v>
      </c>
      <c r="E9" s="7">
        <v>60000</v>
      </c>
      <c r="F9" s="3"/>
      <c r="G9" s="3"/>
      <c r="H9" s="3"/>
      <c r="I9" s="3"/>
      <c r="J9" s="3"/>
      <c r="K9" s="3"/>
      <c r="L9" s="3"/>
      <c r="M9" s="8">
        <v>85</v>
      </c>
      <c r="N9" s="7">
        <f t="shared" si="0"/>
        <v>741.17647058823525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3"/>
      <c r="D10" s="6" t="s">
        <v>12</v>
      </c>
      <c r="E10" s="7">
        <v>62000</v>
      </c>
      <c r="F10" s="3"/>
      <c r="G10" s="3"/>
      <c r="H10" s="3"/>
      <c r="I10" s="3"/>
      <c r="J10" s="3"/>
      <c r="K10" s="3"/>
      <c r="L10" s="3"/>
      <c r="M10" s="8">
        <v>97</v>
      </c>
      <c r="N10" s="7">
        <f t="shared" si="0"/>
        <v>670.10309278350519</v>
      </c>
      <c r="O10" s="3" t="s">
        <v>13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3"/>
      <c r="D11" s="6" t="s">
        <v>14</v>
      </c>
      <c r="E11" s="7">
        <v>62000</v>
      </c>
      <c r="F11" s="3"/>
      <c r="G11" s="3"/>
      <c r="H11" s="3"/>
      <c r="I11" s="3"/>
      <c r="J11" s="3"/>
      <c r="K11" s="3"/>
      <c r="L11" s="3"/>
      <c r="M11" s="8">
        <v>100</v>
      </c>
      <c r="N11" s="7">
        <f t="shared" si="0"/>
        <v>630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3"/>
      <c r="D12" s="6" t="s">
        <v>15</v>
      </c>
      <c r="E12" s="7">
        <v>62500</v>
      </c>
      <c r="F12" s="3"/>
      <c r="G12" s="3"/>
      <c r="H12" s="3"/>
      <c r="I12" s="3"/>
      <c r="J12" s="3"/>
      <c r="K12" s="3"/>
      <c r="L12" s="3"/>
      <c r="M12" s="8">
        <v>105</v>
      </c>
      <c r="N12" s="7">
        <f t="shared" si="0"/>
        <v>600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3"/>
      <c r="D13" s="6" t="s">
        <v>16</v>
      </c>
      <c r="E13" s="7">
        <v>63000</v>
      </c>
      <c r="F13" s="3"/>
      <c r="G13" s="3"/>
      <c r="H13" s="3"/>
      <c r="I13" s="3"/>
      <c r="J13" s="3"/>
      <c r="K13" s="3"/>
      <c r="L13" s="3"/>
      <c r="M13" s="8">
        <v>110</v>
      </c>
      <c r="N13" s="7">
        <f t="shared" si="0"/>
        <v>554.5454545454545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3"/>
      <c r="D14" s="6" t="s">
        <v>17</v>
      </c>
      <c r="E14" s="7">
        <v>64000</v>
      </c>
      <c r="F14" s="3"/>
      <c r="G14" s="3"/>
      <c r="H14" s="3"/>
      <c r="I14" s="3"/>
      <c r="J14" s="3"/>
      <c r="K14" s="3"/>
      <c r="L14" s="3"/>
      <c r="M14" s="8">
        <v>120</v>
      </c>
      <c r="N14" s="7">
        <f t="shared" si="0"/>
        <v>500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3"/>
      <c r="D17" s="5" t="s">
        <v>2</v>
      </c>
      <c r="E17" s="5" t="s">
        <v>4</v>
      </c>
      <c r="F17" s="5" t="s">
        <v>5</v>
      </c>
      <c r="G17" s="5" t="s">
        <v>6</v>
      </c>
      <c r="H17" s="5" t="s">
        <v>18</v>
      </c>
      <c r="I17" s="5" t="s">
        <v>9</v>
      </c>
      <c r="J17" s="5" t="s">
        <v>10</v>
      </c>
      <c r="K17" s="5" t="s">
        <v>11</v>
      </c>
      <c r="L17" s="5" t="s">
        <v>19</v>
      </c>
      <c r="M17" s="5" t="s">
        <v>20</v>
      </c>
      <c r="N17" s="5" t="s">
        <v>21</v>
      </c>
      <c r="O17" s="5" t="s">
        <v>22</v>
      </c>
      <c r="P17" s="5" t="s">
        <v>23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3"/>
      <c r="D18" s="6" t="s">
        <v>24</v>
      </c>
      <c r="E18" s="6"/>
      <c r="F18" s="6"/>
      <c r="G18" s="6"/>
      <c r="H18" s="6"/>
      <c r="I18" s="6"/>
      <c r="J18" s="6"/>
      <c r="K18" s="6"/>
      <c r="L18" s="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3"/>
      <c r="D19" s="6" t="s">
        <v>4</v>
      </c>
      <c r="E19" s="6"/>
      <c r="F19" s="6"/>
      <c r="G19" s="6"/>
      <c r="H19" s="6"/>
      <c r="I19" s="6"/>
      <c r="J19" s="6"/>
      <c r="K19" s="6"/>
      <c r="L19" s="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3"/>
      <c r="D20" s="6" t="s">
        <v>5</v>
      </c>
      <c r="E20" s="9">
        <v>11700</v>
      </c>
      <c r="F20" s="9">
        <f t="shared" ref="F20:P20" si="1">E20+250</f>
        <v>11950</v>
      </c>
      <c r="G20" s="9">
        <f t="shared" si="1"/>
        <v>12200</v>
      </c>
      <c r="H20" s="9">
        <f t="shared" si="1"/>
        <v>12450</v>
      </c>
      <c r="I20" s="9">
        <f t="shared" si="1"/>
        <v>12700</v>
      </c>
      <c r="J20" s="9">
        <f t="shared" si="1"/>
        <v>12950</v>
      </c>
      <c r="K20" s="9">
        <f t="shared" si="1"/>
        <v>13200</v>
      </c>
      <c r="L20" s="9">
        <f t="shared" si="1"/>
        <v>13450</v>
      </c>
      <c r="M20" s="9">
        <f t="shared" si="1"/>
        <v>13700</v>
      </c>
      <c r="N20" s="9">
        <f t="shared" si="1"/>
        <v>13950</v>
      </c>
      <c r="O20" s="9">
        <f t="shared" si="1"/>
        <v>14200</v>
      </c>
      <c r="P20" s="9">
        <f t="shared" si="1"/>
        <v>14450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6" t="s">
        <v>6</v>
      </c>
      <c r="E21" s="9"/>
      <c r="F21" s="9">
        <v>11200</v>
      </c>
      <c r="G21" s="9">
        <v>11500</v>
      </c>
      <c r="H21" s="9">
        <f t="shared" ref="H21:P21" si="2">G21+200</f>
        <v>11700</v>
      </c>
      <c r="I21" s="9">
        <f t="shared" si="2"/>
        <v>11900</v>
      </c>
      <c r="J21" s="9">
        <f t="shared" si="2"/>
        <v>12100</v>
      </c>
      <c r="K21" s="9">
        <f t="shared" si="2"/>
        <v>12300</v>
      </c>
      <c r="L21" s="9">
        <f t="shared" si="2"/>
        <v>12500</v>
      </c>
      <c r="M21" s="9">
        <f t="shared" si="2"/>
        <v>12700</v>
      </c>
      <c r="N21" s="9">
        <f t="shared" si="2"/>
        <v>12900</v>
      </c>
      <c r="O21" s="9">
        <f t="shared" si="2"/>
        <v>13100</v>
      </c>
      <c r="P21" s="9">
        <f t="shared" si="2"/>
        <v>13300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6" t="s">
        <v>8</v>
      </c>
      <c r="E22" s="9"/>
      <c r="F22" s="9"/>
      <c r="G22" s="9">
        <v>10000</v>
      </c>
      <c r="H22" s="9">
        <v>10300</v>
      </c>
      <c r="I22" s="9">
        <f t="shared" ref="I22:P22" si="3">H22+150</f>
        <v>10450</v>
      </c>
      <c r="J22" s="9">
        <f t="shared" si="3"/>
        <v>10600</v>
      </c>
      <c r="K22" s="9">
        <f t="shared" si="3"/>
        <v>10750</v>
      </c>
      <c r="L22" s="9">
        <f t="shared" si="3"/>
        <v>10900</v>
      </c>
      <c r="M22" s="9">
        <f t="shared" si="3"/>
        <v>11050</v>
      </c>
      <c r="N22" s="9">
        <f t="shared" si="3"/>
        <v>11200</v>
      </c>
      <c r="O22" s="9">
        <f t="shared" si="3"/>
        <v>11350</v>
      </c>
      <c r="P22" s="9">
        <f t="shared" si="3"/>
        <v>11500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3"/>
      <c r="C23" s="3"/>
      <c r="D23" s="6" t="s">
        <v>9</v>
      </c>
      <c r="E23" s="9"/>
      <c r="F23" s="9"/>
      <c r="G23" s="9"/>
      <c r="H23" s="9">
        <v>9500</v>
      </c>
      <c r="I23" s="9">
        <v>10000</v>
      </c>
      <c r="J23" s="9">
        <f>I23+100</f>
        <v>10100</v>
      </c>
      <c r="K23" s="9">
        <v>10000</v>
      </c>
      <c r="L23" s="9">
        <f t="shared" ref="L23:P23" si="4">K23+100</f>
        <v>10100</v>
      </c>
      <c r="M23" s="9">
        <f t="shared" si="4"/>
        <v>10200</v>
      </c>
      <c r="N23" s="9">
        <f t="shared" si="4"/>
        <v>10300</v>
      </c>
      <c r="O23" s="9">
        <f t="shared" si="4"/>
        <v>10400</v>
      </c>
      <c r="P23" s="9">
        <f t="shared" si="4"/>
        <v>10500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3"/>
      <c r="D24" s="6" t="s">
        <v>10</v>
      </c>
      <c r="E24" s="9"/>
      <c r="F24" s="9"/>
      <c r="G24" s="9"/>
      <c r="H24" s="9"/>
      <c r="I24" s="9">
        <v>9800</v>
      </c>
      <c r="J24" s="9">
        <v>9500</v>
      </c>
      <c r="K24" s="9">
        <v>9800</v>
      </c>
      <c r="L24" s="9">
        <v>9800</v>
      </c>
      <c r="M24" s="9">
        <v>10000</v>
      </c>
      <c r="N24" s="9">
        <f t="shared" ref="N24:P24" si="5">M24+75</f>
        <v>10075</v>
      </c>
      <c r="O24" s="9">
        <f t="shared" si="5"/>
        <v>10150</v>
      </c>
      <c r="P24" s="9">
        <f t="shared" si="5"/>
        <v>10225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3"/>
      <c r="D25" s="6" t="s">
        <v>11</v>
      </c>
      <c r="E25" s="9"/>
      <c r="F25" s="9"/>
      <c r="G25" s="9"/>
      <c r="H25" s="9"/>
      <c r="I25" s="9"/>
      <c r="J25" s="9">
        <v>10000</v>
      </c>
      <c r="K25" s="9">
        <v>8700</v>
      </c>
      <c r="L25" s="9">
        <v>9200</v>
      </c>
      <c r="M25" s="9">
        <f>L25</f>
        <v>9200</v>
      </c>
      <c r="N25" s="9">
        <v>8700</v>
      </c>
      <c r="O25" s="9">
        <f>N25+60</f>
        <v>8760</v>
      </c>
      <c r="P25" s="9">
        <v>9100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3"/>
      <c r="D26" s="6" t="s">
        <v>12</v>
      </c>
      <c r="E26" s="9"/>
      <c r="F26" s="9"/>
      <c r="G26" s="9"/>
      <c r="H26" s="9"/>
      <c r="I26" s="9"/>
      <c r="J26" s="9"/>
      <c r="K26" s="9">
        <v>10000</v>
      </c>
      <c r="L26" s="9">
        <v>8500</v>
      </c>
      <c r="M26" s="9">
        <f t="shared" ref="M26:O26" si="6">L26+50</f>
        <v>8550</v>
      </c>
      <c r="N26" s="9">
        <f t="shared" si="6"/>
        <v>8600</v>
      </c>
      <c r="O26" s="9">
        <f t="shared" si="6"/>
        <v>8650</v>
      </c>
      <c r="P26" s="9">
        <v>9100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3"/>
      <c r="D27" s="6" t="s">
        <v>14</v>
      </c>
      <c r="E27" s="6"/>
      <c r="F27" s="6"/>
      <c r="G27" s="6"/>
      <c r="H27" s="6"/>
      <c r="I27" s="6"/>
      <c r="J27" s="6"/>
      <c r="K27" s="6"/>
      <c r="L27" s="9">
        <v>10000</v>
      </c>
      <c r="M27" s="9">
        <v>8500</v>
      </c>
      <c r="N27" s="9">
        <f t="shared" ref="N27:P27" si="7">M27+35</f>
        <v>8535</v>
      </c>
      <c r="O27" s="9">
        <f t="shared" si="7"/>
        <v>8570</v>
      </c>
      <c r="P27" s="9">
        <f t="shared" si="7"/>
        <v>8605</v>
      </c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6" t="s">
        <v>15</v>
      </c>
      <c r="E28" s="6"/>
      <c r="F28" s="6"/>
      <c r="G28" s="6"/>
      <c r="H28" s="6"/>
      <c r="I28" s="6"/>
      <c r="J28" s="6"/>
      <c r="K28" s="6"/>
      <c r="L28" s="6"/>
      <c r="M28" s="9">
        <v>10200</v>
      </c>
      <c r="N28" s="9">
        <v>8400</v>
      </c>
      <c r="O28" s="9">
        <f t="shared" ref="O28:P28" si="8">N28+30</f>
        <v>8430</v>
      </c>
      <c r="P28" s="9">
        <f t="shared" si="8"/>
        <v>8460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6" t="s">
        <v>16</v>
      </c>
      <c r="E29" s="6"/>
      <c r="F29" s="6"/>
      <c r="G29" s="6"/>
      <c r="H29" s="6"/>
      <c r="I29" s="6"/>
      <c r="J29" s="6"/>
      <c r="K29" s="6"/>
      <c r="L29" s="6"/>
      <c r="M29" s="6"/>
      <c r="N29" s="9">
        <v>10200</v>
      </c>
      <c r="O29" s="9">
        <v>8600</v>
      </c>
      <c r="P29" s="9">
        <v>11000</v>
      </c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3"/>
      <c r="D30" s="6" t="s">
        <v>17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9">
        <v>10500</v>
      </c>
      <c r="P30" s="9">
        <v>8500</v>
      </c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5" t="s">
        <v>2</v>
      </c>
      <c r="E36" s="5" t="s">
        <v>25</v>
      </c>
      <c r="F36" s="5" t="s">
        <v>26</v>
      </c>
      <c r="G36" s="5" t="s">
        <v>27</v>
      </c>
      <c r="H36" s="5" t="s">
        <v>28</v>
      </c>
      <c r="I36" s="5" t="s">
        <v>29</v>
      </c>
      <c r="J36" s="5" t="s">
        <v>30</v>
      </c>
      <c r="K36" s="5" t="s">
        <v>31</v>
      </c>
      <c r="L36" s="5" t="s">
        <v>32</v>
      </c>
      <c r="M36" s="5" t="s">
        <v>33</v>
      </c>
      <c r="N36" s="5" t="s">
        <v>34</v>
      </c>
      <c r="O36" s="5" t="s">
        <v>35</v>
      </c>
      <c r="P36" s="5" t="s">
        <v>36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6"/>
      <c r="E37" s="6"/>
      <c r="F37" s="6"/>
      <c r="G37" s="6"/>
      <c r="H37" s="6"/>
      <c r="I37" s="6"/>
      <c r="J37" s="6"/>
      <c r="K37" s="6"/>
      <c r="L37" s="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6" t="s">
        <v>4</v>
      </c>
      <c r="E38" s="6"/>
      <c r="F38" s="6"/>
      <c r="G38" s="6"/>
      <c r="H38" s="6"/>
      <c r="I38" s="6"/>
      <c r="J38" s="6"/>
      <c r="K38" s="6"/>
      <c r="L38" s="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6" t="s">
        <v>5</v>
      </c>
      <c r="E39" s="9">
        <f t="shared" ref="E39:P39" si="9">E20</f>
        <v>11700</v>
      </c>
      <c r="F39" s="9">
        <f t="shared" si="9"/>
        <v>11950</v>
      </c>
      <c r="G39" s="9">
        <f t="shared" si="9"/>
        <v>12200</v>
      </c>
      <c r="H39" s="9">
        <f t="shared" si="9"/>
        <v>12450</v>
      </c>
      <c r="I39" s="9">
        <f t="shared" si="9"/>
        <v>12700</v>
      </c>
      <c r="J39" s="9">
        <f t="shared" si="9"/>
        <v>12950</v>
      </c>
      <c r="K39" s="9">
        <f t="shared" si="9"/>
        <v>13200</v>
      </c>
      <c r="L39" s="9">
        <f t="shared" si="9"/>
        <v>13450</v>
      </c>
      <c r="M39" s="9">
        <f t="shared" si="9"/>
        <v>13700</v>
      </c>
      <c r="N39" s="9">
        <f t="shared" si="9"/>
        <v>13950</v>
      </c>
      <c r="O39" s="9">
        <f t="shared" si="9"/>
        <v>14200</v>
      </c>
      <c r="P39" s="9">
        <f t="shared" si="9"/>
        <v>14450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6" t="s">
        <v>6</v>
      </c>
      <c r="E40" s="9">
        <f t="shared" ref="E40:O40" si="10">F21</f>
        <v>11200</v>
      </c>
      <c r="F40" s="9">
        <f t="shared" si="10"/>
        <v>11500</v>
      </c>
      <c r="G40" s="9">
        <f t="shared" si="10"/>
        <v>11700</v>
      </c>
      <c r="H40" s="9">
        <f t="shared" si="10"/>
        <v>11900</v>
      </c>
      <c r="I40" s="9">
        <f t="shared" si="10"/>
        <v>12100</v>
      </c>
      <c r="J40" s="9">
        <f t="shared" si="10"/>
        <v>12300</v>
      </c>
      <c r="K40" s="9">
        <f t="shared" si="10"/>
        <v>12500</v>
      </c>
      <c r="L40" s="9">
        <f t="shared" si="10"/>
        <v>12700</v>
      </c>
      <c r="M40" s="9">
        <f t="shared" si="10"/>
        <v>12900</v>
      </c>
      <c r="N40" s="9">
        <f t="shared" si="10"/>
        <v>13100</v>
      </c>
      <c r="O40" s="9">
        <f t="shared" si="10"/>
        <v>13300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6" t="s">
        <v>8</v>
      </c>
      <c r="E41" s="9">
        <f t="shared" ref="E41:F41" si="11">G22</f>
        <v>10000</v>
      </c>
      <c r="F41" s="9">
        <f t="shared" si="11"/>
        <v>10300</v>
      </c>
      <c r="G41" s="9">
        <v>9000</v>
      </c>
      <c r="H41" s="9">
        <f t="shared" ref="H41:N41" si="12">J22</f>
        <v>10600</v>
      </c>
      <c r="I41" s="9">
        <f t="shared" si="12"/>
        <v>10750</v>
      </c>
      <c r="J41" s="9">
        <f t="shared" si="12"/>
        <v>10900</v>
      </c>
      <c r="K41" s="9">
        <f t="shared" si="12"/>
        <v>11050</v>
      </c>
      <c r="L41" s="9">
        <f t="shared" si="12"/>
        <v>11200</v>
      </c>
      <c r="M41" s="9">
        <f t="shared" si="12"/>
        <v>11350</v>
      </c>
      <c r="N41" s="9">
        <f t="shared" si="12"/>
        <v>11500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 t="s">
        <v>40</v>
      </c>
      <c r="D42" s="6" t="s">
        <v>9</v>
      </c>
      <c r="E42" s="9">
        <f t="shared" ref="E42:M42" si="13">H23</f>
        <v>9500</v>
      </c>
      <c r="F42" s="9">
        <f t="shared" si="13"/>
        <v>10000</v>
      </c>
      <c r="G42" s="9">
        <f t="shared" si="13"/>
        <v>10100</v>
      </c>
      <c r="H42" s="9">
        <f t="shared" si="13"/>
        <v>10000</v>
      </c>
      <c r="I42" s="9">
        <f t="shared" si="13"/>
        <v>10100</v>
      </c>
      <c r="J42" s="9">
        <f t="shared" si="13"/>
        <v>10200</v>
      </c>
      <c r="K42" s="9">
        <f t="shared" si="13"/>
        <v>10300</v>
      </c>
      <c r="L42" s="9">
        <f t="shared" si="13"/>
        <v>10400</v>
      </c>
      <c r="M42" s="9">
        <f t="shared" si="13"/>
        <v>10500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6" t="s">
        <v>10</v>
      </c>
      <c r="E43" s="9">
        <f t="shared" ref="E43:L43" si="14">I24</f>
        <v>9800</v>
      </c>
      <c r="F43" s="9">
        <f t="shared" si="14"/>
        <v>9500</v>
      </c>
      <c r="G43" s="9">
        <f t="shared" si="14"/>
        <v>9800</v>
      </c>
      <c r="H43" s="9">
        <f t="shared" si="14"/>
        <v>9800</v>
      </c>
      <c r="I43" s="9">
        <f t="shared" si="14"/>
        <v>10000</v>
      </c>
      <c r="J43" s="9">
        <f t="shared" si="14"/>
        <v>10075</v>
      </c>
      <c r="K43" s="9">
        <f t="shared" si="14"/>
        <v>10150</v>
      </c>
      <c r="L43" s="9">
        <f t="shared" si="14"/>
        <v>10225</v>
      </c>
      <c r="M43" s="10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6" t="s">
        <v>11</v>
      </c>
      <c r="E44" s="9">
        <f t="shared" ref="E44:K44" si="15">J25</f>
        <v>10000</v>
      </c>
      <c r="F44" s="9">
        <f t="shared" si="15"/>
        <v>8700</v>
      </c>
      <c r="G44" s="9">
        <f t="shared" si="15"/>
        <v>9200</v>
      </c>
      <c r="H44" s="9">
        <f t="shared" si="15"/>
        <v>9200</v>
      </c>
      <c r="I44" s="9">
        <f t="shared" si="15"/>
        <v>8700</v>
      </c>
      <c r="J44" s="9">
        <f t="shared" si="15"/>
        <v>8760</v>
      </c>
      <c r="K44" s="9">
        <f t="shared" si="15"/>
        <v>9100</v>
      </c>
      <c r="L44" s="3"/>
      <c r="M44" s="1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6" t="s">
        <v>12</v>
      </c>
      <c r="E45" s="9">
        <f t="shared" ref="E45:J45" si="16">K26</f>
        <v>10000</v>
      </c>
      <c r="F45" s="9">
        <f t="shared" si="16"/>
        <v>8500</v>
      </c>
      <c r="G45" s="9">
        <f t="shared" si="16"/>
        <v>8550</v>
      </c>
      <c r="H45" s="9">
        <f t="shared" si="16"/>
        <v>8600</v>
      </c>
      <c r="I45" s="9">
        <f t="shared" si="16"/>
        <v>8650</v>
      </c>
      <c r="J45" s="9">
        <f t="shared" si="16"/>
        <v>9100</v>
      </c>
      <c r="K45" s="3"/>
      <c r="L45" s="3"/>
      <c r="M45" s="1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6" t="s">
        <v>37</v>
      </c>
      <c r="E46" s="9">
        <f t="shared" ref="E46:I46" si="17">L27</f>
        <v>10000</v>
      </c>
      <c r="F46" s="9">
        <f t="shared" si="17"/>
        <v>8500</v>
      </c>
      <c r="G46" s="9">
        <f t="shared" si="17"/>
        <v>8535</v>
      </c>
      <c r="H46" s="9">
        <f t="shared" si="17"/>
        <v>8570</v>
      </c>
      <c r="I46" s="9">
        <f t="shared" si="17"/>
        <v>8605</v>
      </c>
      <c r="J46" s="3"/>
      <c r="K46" s="3"/>
      <c r="L46" s="3"/>
      <c r="M46" s="10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6" t="s">
        <v>15</v>
      </c>
      <c r="E47" s="9">
        <f t="shared" ref="E47:H47" si="18">M28</f>
        <v>10200</v>
      </c>
      <c r="F47" s="9">
        <f t="shared" si="18"/>
        <v>8400</v>
      </c>
      <c r="G47" s="9">
        <f t="shared" si="18"/>
        <v>8430</v>
      </c>
      <c r="H47" s="9">
        <f t="shared" si="18"/>
        <v>8460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6" t="s">
        <v>16</v>
      </c>
      <c r="E48" s="9">
        <f t="shared" ref="E48:G48" si="19">N29</f>
        <v>10200</v>
      </c>
      <c r="F48" s="9">
        <f t="shared" si="19"/>
        <v>8600</v>
      </c>
      <c r="G48" s="9">
        <f t="shared" si="19"/>
        <v>11000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6" t="s">
        <v>17</v>
      </c>
      <c r="E49" s="9">
        <f t="shared" ref="E49:F49" si="20">O30</f>
        <v>10500</v>
      </c>
      <c r="F49" s="9">
        <f t="shared" si="20"/>
        <v>8500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4" t="s">
        <v>1</v>
      </c>
      <c r="D56" s="5" t="s">
        <v>2</v>
      </c>
      <c r="E56" s="5" t="s">
        <v>25</v>
      </c>
      <c r="F56" s="5" t="s">
        <v>26</v>
      </c>
      <c r="G56" s="5" t="s">
        <v>27</v>
      </c>
      <c r="H56" s="5" t="s">
        <v>28</v>
      </c>
      <c r="I56" s="5" t="s">
        <v>29</v>
      </c>
      <c r="J56" s="5" t="s">
        <v>30</v>
      </c>
      <c r="K56" s="5" t="s">
        <v>31</v>
      </c>
      <c r="L56" s="5" t="s">
        <v>32</v>
      </c>
      <c r="M56" s="5" t="s">
        <v>33</v>
      </c>
      <c r="N56" s="5" t="s">
        <v>34</v>
      </c>
      <c r="O56" s="5" t="s">
        <v>35</v>
      </c>
      <c r="P56" s="5" t="s">
        <v>36</v>
      </c>
      <c r="Q56" s="3"/>
      <c r="R56" s="5" t="s">
        <v>3</v>
      </c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3"/>
      <c r="R57" s="6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6" t="s">
        <v>4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3"/>
      <c r="R58" s="6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6" t="s">
        <v>5</v>
      </c>
      <c r="E59" s="9">
        <f t="shared" ref="E59:E69" si="21">E39</f>
        <v>11700</v>
      </c>
      <c r="F59" s="9">
        <f t="shared" ref="F59:P59" si="22">F39+E59</f>
        <v>23650</v>
      </c>
      <c r="G59" s="9">
        <f t="shared" si="22"/>
        <v>35850</v>
      </c>
      <c r="H59" s="9">
        <f t="shared" si="22"/>
        <v>48300</v>
      </c>
      <c r="I59" s="11">
        <f t="shared" si="22"/>
        <v>61000</v>
      </c>
      <c r="J59" s="17">
        <f t="shared" si="22"/>
        <v>73950</v>
      </c>
      <c r="K59" s="17">
        <f t="shared" si="22"/>
        <v>87150</v>
      </c>
      <c r="L59" s="17">
        <f t="shared" si="22"/>
        <v>100600</v>
      </c>
      <c r="M59" s="9">
        <f t="shared" si="22"/>
        <v>114300</v>
      </c>
      <c r="N59" s="9">
        <f t="shared" si="22"/>
        <v>128250</v>
      </c>
      <c r="O59" s="9">
        <f t="shared" si="22"/>
        <v>142450</v>
      </c>
      <c r="P59" s="9">
        <f t="shared" si="22"/>
        <v>156900</v>
      </c>
      <c r="Q59" s="3"/>
      <c r="R59" s="7">
        <f t="shared" ref="R59:R70" si="23">E3</f>
        <v>60000</v>
      </c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6" t="s">
        <v>6</v>
      </c>
      <c r="E60" s="9">
        <f t="shared" si="21"/>
        <v>11200</v>
      </c>
      <c r="F60" s="9">
        <f t="shared" ref="F60:O60" si="24">F40+E60</f>
        <v>22700</v>
      </c>
      <c r="G60" s="9">
        <f t="shared" si="24"/>
        <v>34400</v>
      </c>
      <c r="H60" s="9">
        <f t="shared" si="24"/>
        <v>46300</v>
      </c>
      <c r="I60" s="11">
        <f t="shared" si="24"/>
        <v>58400</v>
      </c>
      <c r="J60" s="9">
        <f t="shared" si="24"/>
        <v>70700</v>
      </c>
      <c r="K60" s="17">
        <f t="shared" si="24"/>
        <v>83200</v>
      </c>
      <c r="L60" s="17">
        <f t="shared" si="24"/>
        <v>95900</v>
      </c>
      <c r="M60" s="9">
        <f t="shared" si="24"/>
        <v>108800</v>
      </c>
      <c r="N60" s="9">
        <f t="shared" si="24"/>
        <v>121900</v>
      </c>
      <c r="O60" s="9">
        <f t="shared" si="24"/>
        <v>135200</v>
      </c>
      <c r="P60" s="3"/>
      <c r="Q60" s="3"/>
      <c r="R60" s="7">
        <f t="shared" si="23"/>
        <v>63000</v>
      </c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6" t="s">
        <v>8</v>
      </c>
      <c r="E61" s="9">
        <f t="shared" si="21"/>
        <v>10000</v>
      </c>
      <c r="F61" s="9">
        <f t="shared" ref="F61:N61" si="25">F41+E61</f>
        <v>20300</v>
      </c>
      <c r="G61" s="9">
        <f t="shared" si="25"/>
        <v>29300</v>
      </c>
      <c r="H61" s="9">
        <f t="shared" si="25"/>
        <v>39900</v>
      </c>
      <c r="I61" s="17">
        <f t="shared" si="25"/>
        <v>50650</v>
      </c>
      <c r="J61" s="11">
        <f t="shared" si="25"/>
        <v>61550</v>
      </c>
      <c r="K61" s="17">
        <f t="shared" si="25"/>
        <v>72600</v>
      </c>
      <c r="L61" s="17">
        <f t="shared" si="25"/>
        <v>83800</v>
      </c>
      <c r="M61" s="9">
        <f t="shared" si="25"/>
        <v>95150</v>
      </c>
      <c r="N61" s="9">
        <f t="shared" si="25"/>
        <v>106650</v>
      </c>
      <c r="O61" s="3"/>
      <c r="P61" s="3"/>
      <c r="Q61" s="3"/>
      <c r="R61" s="7">
        <f t="shared" si="23"/>
        <v>65000</v>
      </c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6" t="s">
        <v>9</v>
      </c>
      <c r="E62" s="9">
        <f t="shared" si="21"/>
        <v>9500</v>
      </c>
      <c r="F62" s="9">
        <f t="shared" ref="F62:M62" si="26">F42+E62</f>
        <v>19500</v>
      </c>
      <c r="G62" s="9">
        <f t="shared" si="26"/>
        <v>29600</v>
      </c>
      <c r="H62" s="9">
        <f t="shared" si="26"/>
        <v>39600</v>
      </c>
      <c r="I62" s="17">
        <f t="shared" si="26"/>
        <v>49700</v>
      </c>
      <c r="J62" s="11">
        <f t="shared" si="26"/>
        <v>59900</v>
      </c>
      <c r="K62" s="17">
        <f t="shared" si="26"/>
        <v>70200</v>
      </c>
      <c r="L62" s="17">
        <f t="shared" si="26"/>
        <v>80600</v>
      </c>
      <c r="M62" s="9">
        <f t="shared" si="26"/>
        <v>91100</v>
      </c>
      <c r="N62" s="3"/>
      <c r="O62" s="3"/>
      <c r="P62" s="3"/>
      <c r="Q62" s="3"/>
      <c r="R62" s="7">
        <f t="shared" si="23"/>
        <v>63000</v>
      </c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6" t="s">
        <v>10</v>
      </c>
      <c r="E63" s="9">
        <f t="shared" si="21"/>
        <v>9800</v>
      </c>
      <c r="F63" s="9">
        <f t="shared" ref="F63:L63" si="27">F43+E63</f>
        <v>19300</v>
      </c>
      <c r="G63" s="9">
        <f t="shared" si="27"/>
        <v>29100</v>
      </c>
      <c r="H63" s="9">
        <f t="shared" si="27"/>
        <v>38900</v>
      </c>
      <c r="I63" s="17">
        <f t="shared" si="27"/>
        <v>48900</v>
      </c>
      <c r="J63" s="11">
        <f t="shared" si="27"/>
        <v>58975</v>
      </c>
      <c r="K63" s="17">
        <f t="shared" si="27"/>
        <v>69125</v>
      </c>
      <c r="L63" s="17">
        <f t="shared" si="27"/>
        <v>79350</v>
      </c>
      <c r="M63" s="3"/>
      <c r="N63" s="3"/>
      <c r="O63" s="3"/>
      <c r="P63" s="3"/>
      <c r="Q63" s="3"/>
      <c r="R63" s="7">
        <f t="shared" si="23"/>
        <v>63000</v>
      </c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6" t="s">
        <v>11</v>
      </c>
      <c r="E64" s="9">
        <f t="shared" si="21"/>
        <v>10000</v>
      </c>
      <c r="F64" s="9">
        <f t="shared" ref="F64:K64" si="28">F44+E64</f>
        <v>18700</v>
      </c>
      <c r="G64" s="9">
        <f t="shared" si="28"/>
        <v>27900</v>
      </c>
      <c r="H64" s="9">
        <f t="shared" si="28"/>
        <v>37100</v>
      </c>
      <c r="I64" s="17">
        <f t="shared" si="28"/>
        <v>45800</v>
      </c>
      <c r="J64" s="17">
        <f t="shared" si="28"/>
        <v>54560</v>
      </c>
      <c r="K64" s="11">
        <f t="shared" si="28"/>
        <v>63660</v>
      </c>
      <c r="L64" s="20"/>
      <c r="M64" s="3"/>
      <c r="N64" s="3"/>
      <c r="O64" s="3"/>
      <c r="P64" s="3"/>
      <c r="Q64" s="3"/>
      <c r="R64" s="7">
        <f t="shared" si="23"/>
        <v>61000</v>
      </c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6" t="s">
        <v>12</v>
      </c>
      <c r="E65" s="9">
        <f t="shared" si="21"/>
        <v>10000</v>
      </c>
      <c r="F65" s="9">
        <f t="shared" ref="F65:J65" si="29">F45+E65</f>
        <v>18500</v>
      </c>
      <c r="G65" s="9">
        <f t="shared" si="29"/>
        <v>27050</v>
      </c>
      <c r="H65" s="9">
        <f t="shared" si="29"/>
        <v>35650</v>
      </c>
      <c r="I65" s="17">
        <f t="shared" si="29"/>
        <v>44300</v>
      </c>
      <c r="J65" s="17">
        <f t="shared" si="29"/>
        <v>53400</v>
      </c>
      <c r="K65" s="20"/>
      <c r="L65" s="20"/>
      <c r="M65" s="3"/>
      <c r="N65" s="3"/>
      <c r="O65" s="3"/>
      <c r="P65" s="3"/>
      <c r="Q65" s="3"/>
      <c r="R65" s="7">
        <f t="shared" si="23"/>
        <v>60000</v>
      </c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6" t="s">
        <v>37</v>
      </c>
      <c r="E66" s="9">
        <f t="shared" si="21"/>
        <v>10000</v>
      </c>
      <c r="F66" s="9">
        <f t="shared" ref="F66:I66" si="30">F46+E66</f>
        <v>18500</v>
      </c>
      <c r="G66" s="9">
        <f t="shared" si="30"/>
        <v>27035</v>
      </c>
      <c r="H66" s="9">
        <f t="shared" si="30"/>
        <v>35605</v>
      </c>
      <c r="I66" s="9">
        <f t="shared" si="30"/>
        <v>44210</v>
      </c>
      <c r="J66" s="3"/>
      <c r="K66" s="3"/>
      <c r="L66" s="3"/>
      <c r="M66" s="3"/>
      <c r="N66" s="3"/>
      <c r="O66" s="3"/>
      <c r="P66" s="3"/>
      <c r="Q66" s="3"/>
      <c r="R66" s="7">
        <f t="shared" si="23"/>
        <v>62000</v>
      </c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6" t="s">
        <v>15</v>
      </c>
      <c r="E67" s="9">
        <f t="shared" si="21"/>
        <v>10200</v>
      </c>
      <c r="F67" s="9">
        <f t="shared" ref="F67:H67" si="31">F47+E67</f>
        <v>18600</v>
      </c>
      <c r="G67" s="9">
        <f t="shared" si="31"/>
        <v>27030</v>
      </c>
      <c r="H67" s="9">
        <f t="shared" si="31"/>
        <v>35490</v>
      </c>
      <c r="I67" s="3"/>
      <c r="J67" s="3"/>
      <c r="K67" s="3"/>
      <c r="L67" s="3"/>
      <c r="M67" s="3"/>
      <c r="N67" s="3"/>
      <c r="O67" s="3"/>
      <c r="P67" s="3"/>
      <c r="Q67" s="3"/>
      <c r="R67" s="7">
        <f t="shared" si="23"/>
        <v>62000</v>
      </c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6" t="s">
        <v>16</v>
      </c>
      <c r="E68" s="9">
        <f t="shared" si="21"/>
        <v>10200</v>
      </c>
      <c r="F68" s="9">
        <f t="shared" ref="F68:G68" si="32">F48+E68</f>
        <v>18800</v>
      </c>
      <c r="G68" s="9">
        <f t="shared" si="32"/>
        <v>29800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7">
        <f t="shared" si="23"/>
        <v>62500</v>
      </c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6" t="s">
        <v>17</v>
      </c>
      <c r="E69" s="9">
        <f t="shared" si="21"/>
        <v>10500</v>
      </c>
      <c r="F69" s="9">
        <f>F49+E69</f>
        <v>19000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7">
        <f t="shared" si="23"/>
        <v>63000</v>
      </c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7">
        <f t="shared" si="23"/>
        <v>64000</v>
      </c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4" t="s">
        <v>1</v>
      </c>
      <c r="D72" s="5" t="s">
        <v>2</v>
      </c>
      <c r="E72" s="5" t="s">
        <v>25</v>
      </c>
      <c r="F72" s="5" t="s">
        <v>26</v>
      </c>
      <c r="G72" s="5" t="s">
        <v>27</v>
      </c>
      <c r="H72" s="5" t="s">
        <v>28</v>
      </c>
      <c r="I72" s="5" t="s">
        <v>29</v>
      </c>
      <c r="J72" s="5" t="s">
        <v>30</v>
      </c>
      <c r="K72" s="5" t="s">
        <v>31</v>
      </c>
      <c r="L72" s="5" t="s">
        <v>32</v>
      </c>
      <c r="M72" s="5" t="s">
        <v>33</v>
      </c>
      <c r="N72" s="5" t="s">
        <v>34</v>
      </c>
      <c r="O72" s="5" t="s">
        <v>35</v>
      </c>
      <c r="P72" s="5" t="s">
        <v>36</v>
      </c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6" t="s">
        <v>4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6" t="s">
        <v>5</v>
      </c>
      <c r="E75" s="12">
        <f>E39/E39</f>
        <v>1</v>
      </c>
      <c r="F75" s="12">
        <f t="shared" ref="F75:P75" si="33">F39/$E$39</f>
        <v>1.0213675213675213</v>
      </c>
      <c r="G75" s="12">
        <f t="shared" si="33"/>
        <v>1.0427350427350428</v>
      </c>
      <c r="H75" s="15">
        <f t="shared" si="33"/>
        <v>1.0641025641025641</v>
      </c>
      <c r="I75" s="12">
        <f t="shared" si="33"/>
        <v>1.0854700854700854</v>
      </c>
      <c r="J75" s="12">
        <f t="shared" si="33"/>
        <v>1.1068376068376069</v>
      </c>
      <c r="K75" s="15">
        <f t="shared" si="33"/>
        <v>1.1282051282051282</v>
      </c>
      <c r="L75" s="12">
        <f t="shared" si="33"/>
        <v>1.1495726495726495</v>
      </c>
      <c r="M75" s="12">
        <f t="shared" si="33"/>
        <v>1.170940170940171</v>
      </c>
      <c r="N75" s="15">
        <f t="shared" si="33"/>
        <v>1.1923076923076923</v>
      </c>
      <c r="O75" s="12">
        <f t="shared" si="33"/>
        <v>1.2136752136752136</v>
      </c>
      <c r="P75" s="12">
        <f t="shared" si="33"/>
        <v>1.2350427350427351</v>
      </c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6" t="s">
        <v>6</v>
      </c>
      <c r="E76" s="12">
        <f>$E40/E40</f>
        <v>1</v>
      </c>
      <c r="F76" s="12">
        <f t="shared" ref="F76:O76" si="34">F40/$E40</f>
        <v>1.0267857142857142</v>
      </c>
      <c r="G76" s="12">
        <f t="shared" si="34"/>
        <v>1.0446428571428572</v>
      </c>
      <c r="H76" s="15">
        <f t="shared" si="34"/>
        <v>1.0625</v>
      </c>
      <c r="I76" s="12">
        <f t="shared" si="34"/>
        <v>1.0803571428571428</v>
      </c>
      <c r="J76" s="12">
        <f t="shared" si="34"/>
        <v>1.0982142857142858</v>
      </c>
      <c r="K76" s="15">
        <f t="shared" si="34"/>
        <v>1.1160714285714286</v>
      </c>
      <c r="L76" s="12">
        <f t="shared" si="34"/>
        <v>1.1339285714285714</v>
      </c>
      <c r="M76" s="12">
        <f t="shared" si="34"/>
        <v>1.1517857142857142</v>
      </c>
      <c r="N76" s="14">
        <f t="shared" si="34"/>
        <v>1.1696428571428572</v>
      </c>
      <c r="O76" s="12">
        <f t="shared" si="34"/>
        <v>1.1875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6" t="s">
        <v>8</v>
      </c>
      <c r="E77" s="12">
        <f t="shared" ref="E77:E85" si="35">E41/E41</f>
        <v>1</v>
      </c>
      <c r="F77" s="12">
        <f t="shared" ref="F77:N77" si="36">F41/$E41</f>
        <v>1.03</v>
      </c>
      <c r="G77" s="12">
        <f t="shared" si="36"/>
        <v>0.9</v>
      </c>
      <c r="H77" s="15">
        <f t="shared" si="36"/>
        <v>1.06</v>
      </c>
      <c r="I77" s="12">
        <f t="shared" si="36"/>
        <v>1.075</v>
      </c>
      <c r="J77" s="12">
        <f t="shared" si="36"/>
        <v>1.0900000000000001</v>
      </c>
      <c r="K77" s="15">
        <f t="shared" si="36"/>
        <v>1.105</v>
      </c>
      <c r="L77" s="12">
        <f t="shared" si="36"/>
        <v>1.1200000000000001</v>
      </c>
      <c r="M77" s="12">
        <f t="shared" si="36"/>
        <v>1.135</v>
      </c>
      <c r="N77" s="13">
        <f t="shared" si="36"/>
        <v>1.1499999999999999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6" t="s">
        <v>9</v>
      </c>
      <c r="E78" s="12">
        <f t="shared" si="35"/>
        <v>1</v>
      </c>
      <c r="F78" s="12">
        <f t="shared" ref="F78:M78" si="37">F42/$E42</f>
        <v>1.0526315789473684</v>
      </c>
      <c r="G78" s="12">
        <f t="shared" si="37"/>
        <v>1.0631578947368421</v>
      </c>
      <c r="H78" s="15">
        <f t="shared" si="37"/>
        <v>1.0526315789473684</v>
      </c>
      <c r="I78" s="12">
        <f t="shared" si="37"/>
        <v>1.0631578947368421</v>
      </c>
      <c r="J78" s="12">
        <f t="shared" si="37"/>
        <v>1.0736842105263158</v>
      </c>
      <c r="K78" s="14">
        <f t="shared" si="37"/>
        <v>1.0842105263157895</v>
      </c>
      <c r="L78" s="12">
        <f t="shared" si="37"/>
        <v>1.0947368421052632</v>
      </c>
      <c r="M78" s="12">
        <f t="shared" si="37"/>
        <v>1.1052631578947369</v>
      </c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6" t="s">
        <v>10</v>
      </c>
      <c r="E79" s="12">
        <f t="shared" si="35"/>
        <v>1</v>
      </c>
      <c r="F79" s="12">
        <f t="shared" ref="F79:L79" si="38">F43/$E43</f>
        <v>0.96938775510204078</v>
      </c>
      <c r="G79" s="12">
        <f t="shared" si="38"/>
        <v>1</v>
      </c>
      <c r="H79" s="14">
        <f t="shared" si="38"/>
        <v>1</v>
      </c>
      <c r="I79" s="12">
        <f t="shared" si="38"/>
        <v>1.0204081632653061</v>
      </c>
      <c r="J79" s="12">
        <f t="shared" si="38"/>
        <v>1.028061224489796</v>
      </c>
      <c r="K79" s="14">
        <f t="shared" si="38"/>
        <v>1.0357142857142858</v>
      </c>
      <c r="L79" s="12">
        <f t="shared" si="38"/>
        <v>1.0433673469387754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6" t="s">
        <v>11</v>
      </c>
      <c r="E80" s="12">
        <f t="shared" si="35"/>
        <v>1</v>
      </c>
      <c r="F80" s="12">
        <f t="shared" ref="F80:K80" si="39">F44/$E44</f>
        <v>0.87</v>
      </c>
      <c r="G80" s="12">
        <f t="shared" si="39"/>
        <v>0.92</v>
      </c>
      <c r="H80" s="14">
        <f t="shared" si="39"/>
        <v>0.92</v>
      </c>
      <c r="I80" s="12">
        <f t="shared" si="39"/>
        <v>0.87</v>
      </c>
      <c r="J80" s="12">
        <f t="shared" si="39"/>
        <v>0.876</v>
      </c>
      <c r="K80" s="13">
        <f t="shared" si="39"/>
        <v>0.91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6" t="s">
        <v>12</v>
      </c>
      <c r="E81" s="12">
        <f t="shared" si="35"/>
        <v>1</v>
      </c>
      <c r="F81" s="12">
        <f t="shared" ref="F81:J81" si="40">F45/$E45</f>
        <v>0.85</v>
      </c>
      <c r="G81" s="12">
        <f t="shared" si="40"/>
        <v>0.85499999999999998</v>
      </c>
      <c r="H81" s="13">
        <f t="shared" si="40"/>
        <v>0.86</v>
      </c>
      <c r="I81" s="12">
        <f t="shared" si="40"/>
        <v>0.86499999999999999</v>
      </c>
      <c r="J81" s="12">
        <f t="shared" si="40"/>
        <v>0.91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6" t="s">
        <v>37</v>
      </c>
      <c r="E82" s="12">
        <f t="shared" si="35"/>
        <v>1</v>
      </c>
      <c r="F82" s="12">
        <f t="shared" ref="F82:I82" si="41">F46/$E46</f>
        <v>0.85</v>
      </c>
      <c r="G82" s="12">
        <f t="shared" si="41"/>
        <v>0.85350000000000004</v>
      </c>
      <c r="H82" s="13">
        <f t="shared" si="41"/>
        <v>0.85699999999999998</v>
      </c>
      <c r="I82" s="12">
        <f t="shared" si="41"/>
        <v>0.86050000000000004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6" t="s">
        <v>15</v>
      </c>
      <c r="E83" s="12">
        <f t="shared" si="35"/>
        <v>1</v>
      </c>
      <c r="F83" s="12">
        <f t="shared" ref="F83:H83" si="42">F47/$E47</f>
        <v>0.82352941176470584</v>
      </c>
      <c r="G83" s="12">
        <f t="shared" si="42"/>
        <v>0.82647058823529407</v>
      </c>
      <c r="H83" s="13">
        <f t="shared" si="42"/>
        <v>0.8294117647058824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6" t="s">
        <v>16</v>
      </c>
      <c r="E84" s="12">
        <f t="shared" si="35"/>
        <v>1</v>
      </c>
      <c r="F84" s="12">
        <f t="shared" ref="F84:G84" si="43">F48/$E48</f>
        <v>0.84313725490196079</v>
      </c>
      <c r="G84" s="12">
        <f t="shared" si="43"/>
        <v>1.0784313725490196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6" t="s">
        <v>17</v>
      </c>
      <c r="E85" s="12">
        <f t="shared" si="35"/>
        <v>1</v>
      </c>
      <c r="F85" s="12">
        <f>F49/$E49</f>
        <v>0.80952380952380953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 t="s">
        <v>38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5" t="s">
        <v>2</v>
      </c>
      <c r="E90" s="5" t="s">
        <v>3</v>
      </c>
      <c r="F90" s="3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6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6" t="s">
        <v>4</v>
      </c>
      <c r="E92" s="7">
        <v>50000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6" t="s">
        <v>5</v>
      </c>
      <c r="E93" s="7">
        <v>55000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6" t="s">
        <v>6</v>
      </c>
      <c r="E94" s="7">
        <v>57000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6" t="s">
        <v>8</v>
      </c>
      <c r="E95" s="7">
        <v>57000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6" t="s">
        <v>9</v>
      </c>
      <c r="E96" s="7">
        <v>58000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6" t="s">
        <v>10</v>
      </c>
      <c r="E97" s="7">
        <v>60000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6" t="s">
        <v>11</v>
      </c>
      <c r="E98" s="7">
        <v>60000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6" t="s">
        <v>12</v>
      </c>
      <c r="E99" s="7">
        <v>62000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5" t="s">
        <v>2</v>
      </c>
      <c r="E102" s="5" t="s">
        <v>25</v>
      </c>
      <c r="F102" s="5" t="s">
        <v>26</v>
      </c>
      <c r="G102" s="5" t="s">
        <v>27</v>
      </c>
      <c r="H102" s="5" t="s">
        <v>28</v>
      </c>
      <c r="I102" s="5" t="s">
        <v>29</v>
      </c>
      <c r="J102" s="5" t="s">
        <v>30</v>
      </c>
      <c r="K102" s="5" t="s">
        <v>31</v>
      </c>
      <c r="L102" s="5" t="s">
        <v>32</v>
      </c>
      <c r="M102" s="5" t="s">
        <v>33</v>
      </c>
      <c r="N102" s="5" t="s">
        <v>34</v>
      </c>
      <c r="O102" s="5" t="s">
        <v>35</v>
      </c>
      <c r="P102" s="5" t="s">
        <v>36</v>
      </c>
      <c r="Q102" s="3"/>
      <c r="R102" s="5" t="s">
        <v>3</v>
      </c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6"/>
      <c r="E103" s="6"/>
      <c r="F103" s="6"/>
      <c r="G103" s="6"/>
      <c r="H103" s="6"/>
      <c r="I103" s="6"/>
      <c r="J103" s="6"/>
      <c r="K103" s="6"/>
      <c r="L103" s="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6" t="s">
        <v>4</v>
      </c>
      <c r="E104" s="6"/>
      <c r="F104" s="6"/>
      <c r="G104" s="6"/>
      <c r="H104" s="6"/>
      <c r="I104" s="6"/>
      <c r="J104" s="6"/>
      <c r="K104" s="6"/>
      <c r="L104" s="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6" t="s">
        <v>5</v>
      </c>
      <c r="E105" s="19">
        <v>12000</v>
      </c>
      <c r="F105" s="9">
        <v>24200</v>
      </c>
      <c r="G105" s="9">
        <v>36600</v>
      </c>
      <c r="H105" s="19">
        <v>49200</v>
      </c>
      <c r="I105" s="9">
        <v>62000</v>
      </c>
      <c r="J105" s="9">
        <v>75000</v>
      </c>
      <c r="K105" s="19">
        <v>88200</v>
      </c>
      <c r="L105" s="17">
        <v>101600</v>
      </c>
      <c r="M105" s="9">
        <v>115200</v>
      </c>
      <c r="N105" s="19">
        <v>129000</v>
      </c>
      <c r="O105" s="9">
        <v>143000</v>
      </c>
      <c r="P105" s="9">
        <v>157200</v>
      </c>
      <c r="Q105" s="3"/>
      <c r="R105" s="7">
        <v>60000</v>
      </c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6" t="s">
        <v>6</v>
      </c>
      <c r="E106" s="19">
        <v>11000</v>
      </c>
      <c r="F106" s="9">
        <v>22150</v>
      </c>
      <c r="G106" s="9">
        <v>33450</v>
      </c>
      <c r="H106" s="19">
        <v>44900</v>
      </c>
      <c r="I106" s="9">
        <v>56500</v>
      </c>
      <c r="J106" s="9">
        <v>64700</v>
      </c>
      <c r="K106" s="19">
        <v>73000</v>
      </c>
      <c r="L106" s="17">
        <v>82000</v>
      </c>
      <c r="M106" s="9">
        <v>94200</v>
      </c>
      <c r="N106" s="18">
        <v>106550</v>
      </c>
      <c r="O106" s="9">
        <v>119050</v>
      </c>
      <c r="P106" s="3"/>
      <c r="Q106" s="3"/>
      <c r="R106" s="7">
        <v>63000</v>
      </c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6" t="s">
        <v>8</v>
      </c>
      <c r="E107" s="19">
        <v>10000</v>
      </c>
      <c r="F107" s="9">
        <v>20150</v>
      </c>
      <c r="G107" s="9">
        <v>29150</v>
      </c>
      <c r="H107" s="19">
        <v>39600</v>
      </c>
      <c r="I107" s="9">
        <v>50200</v>
      </c>
      <c r="J107" s="9">
        <v>60950</v>
      </c>
      <c r="K107" s="18">
        <v>71550</v>
      </c>
      <c r="L107" s="17">
        <v>82150</v>
      </c>
      <c r="M107" s="9">
        <v>92750</v>
      </c>
      <c r="N107" s="18">
        <v>103350</v>
      </c>
      <c r="O107" s="3"/>
      <c r="P107" s="3"/>
      <c r="Q107" s="3"/>
      <c r="R107" s="7">
        <v>65000</v>
      </c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6" t="s">
        <v>9</v>
      </c>
      <c r="E108" s="18">
        <v>9500</v>
      </c>
      <c r="F108" s="9">
        <v>19100</v>
      </c>
      <c r="G108" s="9">
        <v>28800</v>
      </c>
      <c r="H108" s="18">
        <v>38600</v>
      </c>
      <c r="I108" s="9">
        <v>48500</v>
      </c>
      <c r="J108" s="9">
        <v>58500</v>
      </c>
      <c r="K108" s="18">
        <v>68600</v>
      </c>
      <c r="L108" s="17">
        <v>78700</v>
      </c>
      <c r="M108" s="9">
        <v>88800</v>
      </c>
      <c r="N108" s="3"/>
      <c r="O108" s="3"/>
      <c r="P108" s="3"/>
      <c r="Q108" s="3"/>
      <c r="R108" s="7">
        <v>63000</v>
      </c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6" t="s">
        <v>10</v>
      </c>
      <c r="E109" s="18">
        <v>9800</v>
      </c>
      <c r="F109" s="9">
        <v>19675</v>
      </c>
      <c r="G109" s="9">
        <v>29625</v>
      </c>
      <c r="H109" s="18">
        <v>39650</v>
      </c>
      <c r="I109" s="9">
        <v>49750</v>
      </c>
      <c r="J109" s="9">
        <v>59925</v>
      </c>
      <c r="K109" s="18">
        <v>70175</v>
      </c>
      <c r="L109" s="17">
        <v>80500</v>
      </c>
      <c r="M109" s="3"/>
      <c r="N109" s="3"/>
      <c r="O109" s="3"/>
      <c r="P109" s="3"/>
      <c r="Q109" s="3"/>
      <c r="R109" s="7">
        <v>63000</v>
      </c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6" t="s">
        <v>11</v>
      </c>
      <c r="E110" s="18">
        <v>9500</v>
      </c>
      <c r="F110" s="9">
        <v>19060</v>
      </c>
      <c r="G110" s="9">
        <v>28680</v>
      </c>
      <c r="H110" s="18">
        <v>38360</v>
      </c>
      <c r="I110" s="9">
        <v>48100</v>
      </c>
      <c r="J110" s="9">
        <v>57900</v>
      </c>
      <c r="K110" s="18">
        <v>67760</v>
      </c>
      <c r="L110" s="20"/>
      <c r="M110" s="3"/>
      <c r="N110" s="3"/>
      <c r="O110" s="3"/>
      <c r="P110" s="3"/>
      <c r="Q110" s="3"/>
      <c r="R110" s="7">
        <v>61000</v>
      </c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6" t="s">
        <v>12</v>
      </c>
      <c r="E111" s="18">
        <v>9300</v>
      </c>
      <c r="F111" s="9">
        <v>18650</v>
      </c>
      <c r="G111" s="9">
        <v>28050</v>
      </c>
      <c r="H111" s="16">
        <v>37500</v>
      </c>
      <c r="I111" s="17">
        <v>47000</v>
      </c>
      <c r="J111" s="17">
        <v>56550</v>
      </c>
      <c r="K111" s="20"/>
      <c r="L111" s="20"/>
      <c r="M111" s="3"/>
      <c r="N111" s="3"/>
      <c r="O111" s="3"/>
      <c r="P111" s="3"/>
      <c r="Q111" s="3"/>
      <c r="R111" s="7">
        <v>60000</v>
      </c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6" t="s">
        <v>37</v>
      </c>
      <c r="E112" s="16">
        <v>9200</v>
      </c>
      <c r="F112" s="9">
        <v>18435</v>
      </c>
      <c r="G112" s="9">
        <v>27705</v>
      </c>
      <c r="H112" s="16">
        <v>37010</v>
      </c>
      <c r="I112" s="9">
        <v>46350</v>
      </c>
      <c r="J112" s="3"/>
      <c r="K112" s="3"/>
      <c r="L112" s="3"/>
      <c r="M112" s="3"/>
      <c r="N112" s="3"/>
      <c r="O112" s="3"/>
      <c r="P112" s="3"/>
      <c r="Q112" s="3"/>
      <c r="R112" s="7">
        <v>62000</v>
      </c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6" t="s">
        <v>15</v>
      </c>
      <c r="E113" s="16">
        <v>9300</v>
      </c>
      <c r="F113" s="9">
        <v>18630</v>
      </c>
      <c r="G113" s="9">
        <v>27990</v>
      </c>
      <c r="H113" s="16">
        <v>37380</v>
      </c>
      <c r="I113" s="3"/>
      <c r="J113" s="3"/>
      <c r="K113" s="3"/>
      <c r="L113" s="3"/>
      <c r="M113" s="3"/>
      <c r="N113" s="3"/>
      <c r="O113" s="3"/>
      <c r="P113" s="3"/>
      <c r="Q113" s="3"/>
      <c r="R113" s="7">
        <v>62000</v>
      </c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6" t="s">
        <v>16</v>
      </c>
      <c r="E114" s="16">
        <v>9200</v>
      </c>
      <c r="F114" s="9">
        <v>18410</v>
      </c>
      <c r="G114" s="9">
        <v>29410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7">
        <v>62500</v>
      </c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6" t="s">
        <v>17</v>
      </c>
      <c r="E115" s="16">
        <v>9000</v>
      </c>
      <c r="F115" s="9">
        <v>18010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7">
        <v>63000</v>
      </c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1.19921875" defaultRowHeight="15" customHeight="1"/>
  <cols>
    <col min="1" max="2" width="10.59765625" customWidth="1"/>
    <col min="3" max="3" width="17.09765625" customWidth="1"/>
    <col min="4" max="26" width="10.59765625" customWidth="1"/>
  </cols>
  <sheetData>
    <row r="1" spans="1:26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21" t="s">
        <v>3</v>
      </c>
      <c r="D9" s="21" t="s">
        <v>2</v>
      </c>
      <c r="E9" s="21" t="s">
        <v>25</v>
      </c>
      <c r="F9" s="21" t="s">
        <v>26</v>
      </c>
      <c r="G9" s="21" t="s">
        <v>27</v>
      </c>
      <c r="H9" s="21" t="s">
        <v>41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22">
        <v>100000</v>
      </c>
      <c r="D10" s="21" t="s">
        <v>42</v>
      </c>
      <c r="E10" s="23">
        <v>1</v>
      </c>
      <c r="F10" s="21" t="s">
        <v>43</v>
      </c>
      <c r="G10" s="21" t="s">
        <v>43</v>
      </c>
      <c r="H10" s="21" t="s">
        <v>43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22">
        <v>100000</v>
      </c>
      <c r="D11" s="21" t="s">
        <v>44</v>
      </c>
      <c r="E11" s="23">
        <v>1</v>
      </c>
      <c r="F11" s="21" t="s">
        <v>43</v>
      </c>
      <c r="G11" s="21" t="s">
        <v>43</v>
      </c>
      <c r="H11" s="21" t="s">
        <v>43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22">
        <v>100000</v>
      </c>
      <c r="D12" s="21" t="s">
        <v>45</v>
      </c>
      <c r="E12" s="23">
        <v>1</v>
      </c>
      <c r="F12" s="21" t="s">
        <v>43</v>
      </c>
      <c r="G12" s="21" t="s">
        <v>43</v>
      </c>
      <c r="H12" s="21" t="s">
        <v>43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22">
        <v>100000</v>
      </c>
      <c r="D13" s="21" t="s">
        <v>46</v>
      </c>
      <c r="E13" s="23">
        <v>1</v>
      </c>
      <c r="F13" s="21" t="s">
        <v>43</v>
      </c>
      <c r="G13" s="21" t="s">
        <v>43</v>
      </c>
      <c r="H13" s="21" t="s">
        <v>43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3"/>
      <c r="D15" s="3"/>
      <c r="E15" s="27" t="s">
        <v>47</v>
      </c>
      <c r="F15" s="28"/>
      <c r="G15" s="28"/>
      <c r="H15" s="28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4" t="s">
        <v>1</v>
      </c>
      <c r="D16" s="21" t="s">
        <v>2</v>
      </c>
      <c r="E16" s="21" t="s">
        <v>25</v>
      </c>
      <c r="F16" s="21" t="s">
        <v>26</v>
      </c>
      <c r="G16" s="21" t="s">
        <v>27</v>
      </c>
      <c r="H16" s="21" t="s">
        <v>27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3"/>
      <c r="C17" s="22"/>
      <c r="D17" s="21" t="s">
        <v>42</v>
      </c>
      <c r="E17" s="23">
        <v>1</v>
      </c>
      <c r="F17" s="21" t="s">
        <v>43</v>
      </c>
      <c r="G17" s="21" t="s">
        <v>43</v>
      </c>
      <c r="H17" s="21" t="s">
        <v>43</v>
      </c>
      <c r="I17" s="3"/>
      <c r="J17" s="2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3"/>
      <c r="C18" s="22"/>
      <c r="D18" s="21" t="s">
        <v>44</v>
      </c>
      <c r="E18" s="23">
        <v>1</v>
      </c>
      <c r="F18" s="21" t="s">
        <v>43</v>
      </c>
      <c r="G18" s="21" t="s">
        <v>43</v>
      </c>
      <c r="H18" s="21" t="s">
        <v>43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3"/>
      <c r="C19" s="22"/>
      <c r="D19" s="21" t="s">
        <v>45</v>
      </c>
      <c r="E19" s="23">
        <v>1</v>
      </c>
      <c r="F19" s="21" t="s">
        <v>43</v>
      </c>
      <c r="G19" s="21" t="s">
        <v>43</v>
      </c>
      <c r="H19" s="21" t="s">
        <v>43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3"/>
      <c r="C20" s="22"/>
      <c r="D20" s="21" t="s">
        <v>46</v>
      </c>
      <c r="E20" s="23">
        <v>1</v>
      </c>
      <c r="F20" s="21" t="s">
        <v>43</v>
      </c>
      <c r="G20" s="21" t="s">
        <v>43</v>
      </c>
      <c r="H20" s="21" t="s">
        <v>43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3"/>
      <c r="C22" s="3"/>
      <c r="D22" s="3"/>
      <c r="E22" s="27" t="s">
        <v>47</v>
      </c>
      <c r="F22" s="28"/>
      <c r="G22" s="28"/>
      <c r="H22" s="28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4" t="s">
        <v>1</v>
      </c>
      <c r="C23" s="21" t="s">
        <v>3</v>
      </c>
      <c r="D23" s="21" t="s">
        <v>2</v>
      </c>
      <c r="E23" s="21" t="s">
        <v>25</v>
      </c>
      <c r="F23" s="21" t="s">
        <v>26</v>
      </c>
      <c r="G23" s="21" t="s">
        <v>27</v>
      </c>
      <c r="H23" s="21" t="s">
        <v>41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3"/>
      <c r="C24" s="22" t="s">
        <v>48</v>
      </c>
      <c r="D24" s="21" t="s">
        <v>42</v>
      </c>
      <c r="E24" s="23" t="s">
        <v>49</v>
      </c>
      <c r="F24" s="23" t="s">
        <v>49</v>
      </c>
      <c r="G24" s="23" t="s">
        <v>49</v>
      </c>
      <c r="H24" s="23" t="s">
        <v>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3"/>
      <c r="C25" s="22" t="s">
        <v>48</v>
      </c>
      <c r="D25" s="21" t="s">
        <v>44</v>
      </c>
      <c r="E25" s="23" t="s">
        <v>49</v>
      </c>
      <c r="F25" s="23" t="s">
        <v>49</v>
      </c>
      <c r="G25" s="23" t="s">
        <v>49</v>
      </c>
      <c r="H25" s="23" t="s">
        <v>49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3"/>
      <c r="C26" s="22" t="s">
        <v>48</v>
      </c>
      <c r="D26" s="21" t="s">
        <v>45</v>
      </c>
      <c r="E26" s="23" t="s">
        <v>49</v>
      </c>
      <c r="F26" s="23" t="s">
        <v>49</v>
      </c>
      <c r="G26" s="23" t="s">
        <v>49</v>
      </c>
      <c r="H26" s="23" t="s">
        <v>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3"/>
      <c r="C27" s="22" t="s">
        <v>48</v>
      </c>
      <c r="D27" s="21" t="s">
        <v>46</v>
      </c>
      <c r="E27" s="23" t="s">
        <v>49</v>
      </c>
      <c r="F27" s="23" t="s">
        <v>49</v>
      </c>
      <c r="G27" s="23" t="s">
        <v>49</v>
      </c>
      <c r="H27" s="23" t="s">
        <v>49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3"/>
      <c r="C29" s="3"/>
      <c r="D29" s="3"/>
      <c r="E29" s="23" t="s">
        <v>25</v>
      </c>
      <c r="F29" s="23" t="s">
        <v>26</v>
      </c>
      <c r="G29" s="23" t="s">
        <v>27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3"/>
      <c r="C30" s="24">
        <v>100000</v>
      </c>
      <c r="D30" s="21" t="s">
        <v>42</v>
      </c>
      <c r="E30" s="24">
        <v>25000</v>
      </c>
      <c r="F30" s="24">
        <v>30000</v>
      </c>
      <c r="G30" s="22">
        <v>45000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E15:H15"/>
    <mergeCell ref="E22:H22"/>
  </mergeCells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tabSelected="1" workbookViewId="0"/>
  </sheetViews>
  <sheetFormatPr defaultColWidth="11.19921875" defaultRowHeight="15" customHeight="1"/>
  <cols>
    <col min="1" max="2" width="10.59765625" customWidth="1"/>
    <col min="3" max="3" width="23.09765625" customWidth="1"/>
    <col min="4" max="18" width="22.09765625" customWidth="1"/>
    <col min="19" max="26" width="10.59765625" customWidth="1"/>
  </cols>
  <sheetData>
    <row r="1" spans="1:26" ht="15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>
      <c r="A2" s="3"/>
      <c r="B2" s="3"/>
      <c r="C2" s="25" t="s">
        <v>2</v>
      </c>
      <c r="D2" s="25" t="s">
        <v>7</v>
      </c>
      <c r="E2" s="25" t="s">
        <v>50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/>
      <c r="B3" s="3"/>
      <c r="C3" s="6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/>
      <c r="B4" s="3"/>
      <c r="C4" s="6" t="s">
        <v>4</v>
      </c>
      <c r="D4" s="6" t="s">
        <v>51</v>
      </c>
      <c r="E4" s="7" t="s">
        <v>52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/>
      <c r="B5" s="3" t="s">
        <v>53</v>
      </c>
      <c r="C5" s="8" t="s">
        <v>5</v>
      </c>
      <c r="D5" s="6" t="s">
        <v>51</v>
      </c>
      <c r="E5" s="7" t="s">
        <v>52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/>
      <c r="B6" s="3"/>
      <c r="C6" s="8" t="s">
        <v>54</v>
      </c>
      <c r="D6" s="6" t="s">
        <v>51</v>
      </c>
      <c r="E6" s="7" t="s">
        <v>52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/>
      <c r="B7" s="3"/>
      <c r="C7" s="8" t="s">
        <v>18</v>
      </c>
      <c r="D7" s="6" t="s">
        <v>51</v>
      </c>
      <c r="E7" s="7" t="s">
        <v>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/>
      <c r="B8" s="3"/>
      <c r="C8" s="8" t="s">
        <v>9</v>
      </c>
      <c r="D8" s="6" t="s">
        <v>51</v>
      </c>
      <c r="E8" s="7" t="s">
        <v>52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/>
      <c r="B9" s="3"/>
      <c r="C9" s="8" t="s">
        <v>10</v>
      </c>
      <c r="D9" s="6" t="s">
        <v>51</v>
      </c>
      <c r="E9" s="7" t="s">
        <v>52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/>
      <c r="B10" s="3"/>
      <c r="C10" s="8" t="s">
        <v>11</v>
      </c>
      <c r="D10" s="6" t="s">
        <v>51</v>
      </c>
      <c r="E10" s="7" t="s">
        <v>52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/>
      <c r="B11" s="3"/>
      <c r="C11" s="8" t="s">
        <v>19</v>
      </c>
      <c r="D11" s="6" t="s">
        <v>51</v>
      </c>
      <c r="E11" s="7" t="s">
        <v>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/>
      <c r="B12" s="3"/>
      <c r="C12" s="8" t="s">
        <v>37</v>
      </c>
      <c r="D12" s="6" t="s">
        <v>51</v>
      </c>
      <c r="E12" s="7" t="s">
        <v>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/>
      <c r="B13" s="3"/>
      <c r="C13" s="8" t="s">
        <v>21</v>
      </c>
      <c r="D13" s="6" t="s">
        <v>51</v>
      </c>
      <c r="E13" s="7" t="s">
        <v>52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/>
      <c r="B14" s="3"/>
      <c r="C14" s="8" t="s">
        <v>22</v>
      </c>
      <c r="D14" s="6" t="s">
        <v>51</v>
      </c>
      <c r="E14" s="7" t="s">
        <v>52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/>
      <c r="B15" s="3"/>
      <c r="C15" s="8" t="s">
        <v>23</v>
      </c>
      <c r="D15" s="6" t="s">
        <v>51</v>
      </c>
      <c r="E15" s="7" t="s">
        <v>52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/>
      <c r="B17" s="25" t="s">
        <v>2</v>
      </c>
      <c r="C17" s="25" t="s">
        <v>3</v>
      </c>
      <c r="D17" s="25" t="s">
        <v>7</v>
      </c>
      <c r="E17" s="25" t="s">
        <v>55</v>
      </c>
      <c r="F17" s="25" t="s">
        <v>2</v>
      </c>
      <c r="G17" s="25" t="s">
        <v>4</v>
      </c>
      <c r="H17" s="25" t="s">
        <v>5</v>
      </c>
      <c r="I17" s="25" t="s">
        <v>6</v>
      </c>
      <c r="J17" s="25" t="s">
        <v>18</v>
      </c>
      <c r="K17" s="25" t="s">
        <v>9</v>
      </c>
      <c r="L17" s="25" t="s">
        <v>10</v>
      </c>
      <c r="M17" s="25" t="s">
        <v>11</v>
      </c>
      <c r="N17" s="25" t="s">
        <v>19</v>
      </c>
      <c r="O17" s="25" t="s">
        <v>20</v>
      </c>
      <c r="P17" s="25" t="s">
        <v>21</v>
      </c>
      <c r="Q17" s="25" t="s">
        <v>22</v>
      </c>
      <c r="R17" s="25" t="s">
        <v>23</v>
      </c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/>
      <c r="B18" s="6"/>
      <c r="C18" s="6"/>
      <c r="D18" s="6"/>
      <c r="E18" s="6"/>
      <c r="F18" s="6" t="s">
        <v>56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/>
      <c r="B19" s="6" t="s">
        <v>4</v>
      </c>
      <c r="C19" s="7" t="str">
        <f t="shared" ref="C19:C30" si="0">E4</f>
        <v>X</v>
      </c>
      <c r="D19" s="8" t="str">
        <f t="shared" ref="D19:D30" si="1">D4</f>
        <v>Y</v>
      </c>
      <c r="E19" s="6" t="e">
        <f t="shared" ref="E19:E30" si="2">C19/D19</f>
        <v>#VALUE!</v>
      </c>
      <c r="F19" s="6" t="s">
        <v>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/>
      <c r="B20" s="6" t="s">
        <v>5</v>
      </c>
      <c r="C20" s="7" t="str">
        <f t="shared" si="0"/>
        <v>X</v>
      </c>
      <c r="D20" s="8" t="str">
        <f t="shared" si="1"/>
        <v>Y</v>
      </c>
      <c r="E20" s="7" t="e">
        <f t="shared" si="2"/>
        <v>#VALUE!</v>
      </c>
      <c r="F20" s="6" t="s">
        <v>5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/>
      <c r="B21" s="6" t="s">
        <v>6</v>
      </c>
      <c r="C21" s="7" t="str">
        <f t="shared" si="0"/>
        <v>X</v>
      </c>
      <c r="D21" s="8" t="str">
        <f t="shared" si="1"/>
        <v>Y</v>
      </c>
      <c r="E21" s="7" t="e">
        <f t="shared" si="2"/>
        <v>#VALUE!</v>
      </c>
      <c r="F21" s="6" t="s">
        <v>6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/>
      <c r="B22" s="6" t="s">
        <v>8</v>
      </c>
      <c r="C22" s="7" t="str">
        <f t="shared" si="0"/>
        <v>X</v>
      </c>
      <c r="D22" s="8" t="str">
        <f t="shared" si="1"/>
        <v>Y</v>
      </c>
      <c r="E22" s="7" t="e">
        <f t="shared" si="2"/>
        <v>#VALUE!</v>
      </c>
      <c r="F22" s="6" t="s">
        <v>8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/>
      <c r="B23" s="6" t="s">
        <v>9</v>
      </c>
      <c r="C23" s="7" t="str">
        <f t="shared" si="0"/>
        <v>X</v>
      </c>
      <c r="D23" s="8" t="str">
        <f t="shared" si="1"/>
        <v>Y</v>
      </c>
      <c r="E23" s="7" t="e">
        <f t="shared" si="2"/>
        <v>#VALUE!</v>
      </c>
      <c r="F23" s="6" t="s">
        <v>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/>
      <c r="B24" s="6" t="s">
        <v>10</v>
      </c>
      <c r="C24" s="7" t="str">
        <f t="shared" si="0"/>
        <v>X</v>
      </c>
      <c r="D24" s="8" t="str">
        <f t="shared" si="1"/>
        <v>Y</v>
      </c>
      <c r="E24" s="7" t="e">
        <f t="shared" si="2"/>
        <v>#VALUE!</v>
      </c>
      <c r="F24" s="6" t="s">
        <v>10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/>
      <c r="B25" s="6" t="s">
        <v>11</v>
      </c>
      <c r="C25" s="7" t="str">
        <f t="shared" si="0"/>
        <v>X</v>
      </c>
      <c r="D25" s="8" t="str">
        <f t="shared" si="1"/>
        <v>Y</v>
      </c>
      <c r="E25" s="7" t="e">
        <f t="shared" si="2"/>
        <v>#VALUE!</v>
      </c>
      <c r="F25" s="6" t="s">
        <v>11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/>
      <c r="B26" s="6" t="s">
        <v>12</v>
      </c>
      <c r="C26" s="7" t="str">
        <f t="shared" si="0"/>
        <v>X</v>
      </c>
      <c r="D26" s="8" t="str">
        <f t="shared" si="1"/>
        <v>Y</v>
      </c>
      <c r="E26" s="7" t="e">
        <f t="shared" si="2"/>
        <v>#VALUE!</v>
      </c>
      <c r="F26" s="6" t="s">
        <v>12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/>
      <c r="B27" s="6" t="s">
        <v>14</v>
      </c>
      <c r="C27" s="7" t="str">
        <f t="shared" si="0"/>
        <v>X</v>
      </c>
      <c r="D27" s="8" t="str">
        <f t="shared" si="1"/>
        <v>Y</v>
      </c>
      <c r="E27" s="7" t="e">
        <f t="shared" si="2"/>
        <v>#VALUE!</v>
      </c>
      <c r="F27" s="6" t="s">
        <v>14</v>
      </c>
      <c r="G27" s="6"/>
      <c r="H27" s="6"/>
      <c r="I27" s="6"/>
      <c r="J27" s="6"/>
      <c r="K27" s="6"/>
      <c r="L27" s="6"/>
      <c r="M27" s="6"/>
      <c r="N27" s="9"/>
      <c r="O27" s="9"/>
      <c r="P27" s="9"/>
      <c r="Q27" s="9"/>
      <c r="R27" s="9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/>
      <c r="B28" s="6" t="s">
        <v>15</v>
      </c>
      <c r="C28" s="7" t="str">
        <f t="shared" si="0"/>
        <v>X</v>
      </c>
      <c r="D28" s="8" t="str">
        <f t="shared" si="1"/>
        <v>Y</v>
      </c>
      <c r="E28" s="7" t="e">
        <f t="shared" si="2"/>
        <v>#VALUE!</v>
      </c>
      <c r="F28" s="6" t="s">
        <v>15</v>
      </c>
      <c r="G28" s="6"/>
      <c r="H28" s="6"/>
      <c r="I28" s="6"/>
      <c r="J28" s="6"/>
      <c r="K28" s="6"/>
      <c r="L28" s="6"/>
      <c r="M28" s="6"/>
      <c r="N28" s="6"/>
      <c r="O28" s="9"/>
      <c r="P28" s="9"/>
      <c r="Q28" s="9"/>
      <c r="R28" s="9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/>
      <c r="B29" s="6" t="s">
        <v>16</v>
      </c>
      <c r="C29" s="7" t="str">
        <f t="shared" si="0"/>
        <v>X</v>
      </c>
      <c r="D29" s="8" t="str">
        <f t="shared" si="1"/>
        <v>Y</v>
      </c>
      <c r="E29" s="7" t="e">
        <f t="shared" si="2"/>
        <v>#VALUE!</v>
      </c>
      <c r="F29" s="6" t="s">
        <v>16</v>
      </c>
      <c r="G29" s="6"/>
      <c r="H29" s="6"/>
      <c r="I29" s="6"/>
      <c r="J29" s="6"/>
      <c r="K29" s="6"/>
      <c r="L29" s="6"/>
      <c r="M29" s="6"/>
      <c r="N29" s="6"/>
      <c r="O29" s="6"/>
      <c r="P29" s="9"/>
      <c r="Q29" s="9"/>
      <c r="R29" s="9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/>
      <c r="B30" s="6" t="s">
        <v>17</v>
      </c>
      <c r="C30" s="7" t="str">
        <f t="shared" si="0"/>
        <v>X</v>
      </c>
      <c r="D30" s="8" t="str">
        <f t="shared" si="1"/>
        <v>Y</v>
      </c>
      <c r="E30" s="7" t="e">
        <f t="shared" si="2"/>
        <v>#VALUE!</v>
      </c>
      <c r="F30" s="6" t="s">
        <v>17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9"/>
      <c r="R30" s="9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/>
      <c r="B34" s="3"/>
      <c r="C34" s="25" t="s">
        <v>2</v>
      </c>
      <c r="D34" s="25" t="s">
        <v>25</v>
      </c>
      <c r="E34" s="25" t="s">
        <v>26</v>
      </c>
      <c r="F34" s="25" t="s">
        <v>27</v>
      </c>
      <c r="G34" s="25" t="s">
        <v>28</v>
      </c>
      <c r="H34" s="25" t="s">
        <v>29</v>
      </c>
      <c r="I34" s="25" t="s">
        <v>30</v>
      </c>
      <c r="J34" s="25" t="s">
        <v>31</v>
      </c>
      <c r="K34" s="25" t="s">
        <v>32</v>
      </c>
      <c r="L34" s="25" t="s">
        <v>33</v>
      </c>
      <c r="M34" s="25" t="s">
        <v>34</v>
      </c>
      <c r="N34" s="25" t="s">
        <v>35</v>
      </c>
      <c r="O34" s="25" t="s">
        <v>36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/>
      <c r="B35" s="3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/>
      <c r="B36" s="3"/>
      <c r="C36" s="6" t="s">
        <v>4</v>
      </c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/>
      <c r="B37" s="3"/>
      <c r="C37" s="6" t="s">
        <v>5</v>
      </c>
      <c r="D37" s="9">
        <f t="shared" ref="D37:O37" si="3">G20</f>
        <v>0</v>
      </c>
      <c r="E37" s="9">
        <f t="shared" si="3"/>
        <v>0</v>
      </c>
      <c r="F37" s="9">
        <f t="shared" si="3"/>
        <v>0</v>
      </c>
      <c r="G37" s="9">
        <f t="shared" si="3"/>
        <v>0</v>
      </c>
      <c r="H37" s="9">
        <f t="shared" si="3"/>
        <v>0</v>
      </c>
      <c r="I37" s="9">
        <f t="shared" si="3"/>
        <v>0</v>
      </c>
      <c r="J37" s="9">
        <f t="shared" si="3"/>
        <v>0</v>
      </c>
      <c r="K37" s="9">
        <f t="shared" si="3"/>
        <v>0</v>
      </c>
      <c r="L37" s="9">
        <f t="shared" si="3"/>
        <v>0</v>
      </c>
      <c r="M37" s="9">
        <f t="shared" si="3"/>
        <v>0</v>
      </c>
      <c r="N37" s="9">
        <f t="shared" si="3"/>
        <v>0</v>
      </c>
      <c r="O37" s="9">
        <f t="shared" si="3"/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/>
      <c r="B38" s="3"/>
      <c r="C38" s="6" t="s">
        <v>6</v>
      </c>
      <c r="D38" s="9">
        <f t="shared" ref="D38:N38" si="4">H21</f>
        <v>0</v>
      </c>
      <c r="E38" s="9">
        <f t="shared" si="4"/>
        <v>0</v>
      </c>
      <c r="F38" s="9">
        <f t="shared" si="4"/>
        <v>0</v>
      </c>
      <c r="G38" s="9">
        <f t="shared" si="4"/>
        <v>0</v>
      </c>
      <c r="H38" s="9">
        <f t="shared" si="4"/>
        <v>0</v>
      </c>
      <c r="I38" s="9">
        <f t="shared" si="4"/>
        <v>0</v>
      </c>
      <c r="J38" s="9">
        <f t="shared" si="4"/>
        <v>0</v>
      </c>
      <c r="K38" s="9">
        <f t="shared" si="4"/>
        <v>0</v>
      </c>
      <c r="L38" s="9">
        <f t="shared" si="4"/>
        <v>0</v>
      </c>
      <c r="M38" s="9">
        <f t="shared" si="4"/>
        <v>0</v>
      </c>
      <c r="N38" s="9">
        <f t="shared" si="4"/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/>
      <c r="B39" s="3"/>
      <c r="C39" s="6" t="s">
        <v>8</v>
      </c>
      <c r="D39" s="9">
        <f t="shared" ref="D39:M39" si="5">I22</f>
        <v>0</v>
      </c>
      <c r="E39" s="9">
        <f t="shared" si="5"/>
        <v>0</v>
      </c>
      <c r="F39" s="9">
        <f t="shared" si="5"/>
        <v>0</v>
      </c>
      <c r="G39" s="9">
        <f t="shared" si="5"/>
        <v>0</v>
      </c>
      <c r="H39" s="9">
        <f t="shared" si="5"/>
        <v>0</v>
      </c>
      <c r="I39" s="9">
        <f t="shared" si="5"/>
        <v>0</v>
      </c>
      <c r="J39" s="9">
        <f t="shared" si="5"/>
        <v>0</v>
      </c>
      <c r="K39" s="9">
        <f t="shared" si="5"/>
        <v>0</v>
      </c>
      <c r="L39" s="9">
        <f t="shared" si="5"/>
        <v>0</v>
      </c>
      <c r="M39" s="9">
        <f t="shared" si="5"/>
        <v>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/>
      <c r="B40" s="3"/>
      <c r="C40" s="6" t="s">
        <v>9</v>
      </c>
      <c r="D40" s="9">
        <f t="shared" ref="D40:L40" si="6">J23</f>
        <v>0</v>
      </c>
      <c r="E40" s="9">
        <f t="shared" si="6"/>
        <v>0</v>
      </c>
      <c r="F40" s="9">
        <f t="shared" si="6"/>
        <v>0</v>
      </c>
      <c r="G40" s="9">
        <f t="shared" si="6"/>
        <v>0</v>
      </c>
      <c r="H40" s="9">
        <f t="shared" si="6"/>
        <v>0</v>
      </c>
      <c r="I40" s="9">
        <f t="shared" si="6"/>
        <v>0</v>
      </c>
      <c r="J40" s="9">
        <f t="shared" si="6"/>
        <v>0</v>
      </c>
      <c r="K40" s="9">
        <f t="shared" si="6"/>
        <v>0</v>
      </c>
      <c r="L40" s="9">
        <f t="shared" si="6"/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/>
      <c r="B41" s="3"/>
      <c r="C41" s="6" t="s">
        <v>10</v>
      </c>
      <c r="D41" s="9">
        <f t="shared" ref="D41:K41" si="7">K24</f>
        <v>0</v>
      </c>
      <c r="E41" s="9">
        <f t="shared" si="7"/>
        <v>0</v>
      </c>
      <c r="F41" s="9">
        <f t="shared" si="7"/>
        <v>0</v>
      </c>
      <c r="G41" s="9">
        <f t="shared" si="7"/>
        <v>0</v>
      </c>
      <c r="H41" s="9">
        <f t="shared" si="7"/>
        <v>0</v>
      </c>
      <c r="I41" s="9">
        <f t="shared" si="7"/>
        <v>0</v>
      </c>
      <c r="J41" s="9">
        <f t="shared" si="7"/>
        <v>0</v>
      </c>
      <c r="K41" s="9">
        <f t="shared" si="7"/>
        <v>0</v>
      </c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/>
      <c r="B42" s="3"/>
      <c r="C42" s="6" t="s">
        <v>11</v>
      </c>
      <c r="D42" s="9">
        <f t="shared" ref="D42:J42" si="8">L25</f>
        <v>0</v>
      </c>
      <c r="E42" s="9">
        <f t="shared" si="8"/>
        <v>0</v>
      </c>
      <c r="F42" s="9">
        <f t="shared" si="8"/>
        <v>0</v>
      </c>
      <c r="G42" s="9">
        <f t="shared" si="8"/>
        <v>0</v>
      </c>
      <c r="H42" s="9">
        <f t="shared" si="8"/>
        <v>0</v>
      </c>
      <c r="I42" s="9">
        <f t="shared" si="8"/>
        <v>0</v>
      </c>
      <c r="J42" s="9">
        <f t="shared" si="8"/>
        <v>0</v>
      </c>
      <c r="K42" s="3"/>
      <c r="L42" s="10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/>
      <c r="B43" s="3"/>
      <c r="C43" s="6" t="s">
        <v>12</v>
      </c>
      <c r="D43" s="9">
        <f t="shared" ref="D43:I43" si="9">M26</f>
        <v>0</v>
      </c>
      <c r="E43" s="9">
        <f t="shared" si="9"/>
        <v>0</v>
      </c>
      <c r="F43" s="9">
        <f t="shared" si="9"/>
        <v>0</v>
      </c>
      <c r="G43" s="9">
        <f t="shared" si="9"/>
        <v>0</v>
      </c>
      <c r="H43" s="9">
        <f t="shared" si="9"/>
        <v>0</v>
      </c>
      <c r="I43" s="9">
        <f t="shared" si="9"/>
        <v>0</v>
      </c>
      <c r="J43" s="3"/>
      <c r="K43" s="3"/>
      <c r="L43" s="10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/>
      <c r="B44" s="3"/>
      <c r="C44" s="6" t="s">
        <v>37</v>
      </c>
      <c r="D44" s="9">
        <f t="shared" ref="D44:H44" si="10">N27</f>
        <v>0</v>
      </c>
      <c r="E44" s="9">
        <f t="shared" si="10"/>
        <v>0</v>
      </c>
      <c r="F44" s="9">
        <f t="shared" si="10"/>
        <v>0</v>
      </c>
      <c r="G44" s="9">
        <f t="shared" si="10"/>
        <v>0</v>
      </c>
      <c r="H44" s="9">
        <f t="shared" si="10"/>
        <v>0</v>
      </c>
      <c r="I44" s="3"/>
      <c r="J44" s="3"/>
      <c r="K44" s="3"/>
      <c r="L44" s="10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/>
      <c r="B45" s="3"/>
      <c r="C45" s="6" t="s">
        <v>15</v>
      </c>
      <c r="D45" s="9">
        <f t="shared" ref="D45:G45" si="11">O28</f>
        <v>0</v>
      </c>
      <c r="E45" s="9">
        <f t="shared" si="11"/>
        <v>0</v>
      </c>
      <c r="F45" s="9">
        <f t="shared" si="11"/>
        <v>0</v>
      </c>
      <c r="G45" s="9">
        <f t="shared" si="11"/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/>
      <c r="B46" s="3"/>
      <c r="C46" s="6" t="s">
        <v>16</v>
      </c>
      <c r="D46" s="9">
        <f t="shared" ref="D46:F46" si="12">P29</f>
        <v>0</v>
      </c>
      <c r="E46" s="9">
        <f t="shared" si="12"/>
        <v>0</v>
      </c>
      <c r="F46" s="9">
        <f t="shared" si="12"/>
        <v>0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/>
      <c r="B47" s="3"/>
      <c r="C47" s="6" t="s">
        <v>17</v>
      </c>
      <c r="D47" s="9">
        <f t="shared" ref="D47:E47" si="13">Q30</f>
        <v>0</v>
      </c>
      <c r="E47" s="9">
        <f t="shared" si="13"/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25" t="s">
        <v>2</v>
      </c>
      <c r="D50" s="25" t="s">
        <v>25</v>
      </c>
      <c r="E50" s="25" t="s">
        <v>26</v>
      </c>
      <c r="F50" s="25" t="s">
        <v>27</v>
      </c>
      <c r="G50" s="25" t="s">
        <v>28</v>
      </c>
      <c r="H50" s="25" t="s">
        <v>29</v>
      </c>
      <c r="I50" s="25" t="s">
        <v>30</v>
      </c>
      <c r="J50" s="25" t="s">
        <v>31</v>
      </c>
      <c r="K50" s="25" t="s">
        <v>32</v>
      </c>
      <c r="L50" s="25" t="s">
        <v>33</v>
      </c>
      <c r="M50" s="25" t="s">
        <v>34</v>
      </c>
      <c r="N50" s="25" t="s">
        <v>35</v>
      </c>
      <c r="O50" s="25" t="s">
        <v>36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6" t="s">
        <v>4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6" t="s">
        <v>5</v>
      </c>
      <c r="D53" s="12" t="e">
        <f>D37/D37</f>
        <v>#DIV/0!</v>
      </c>
      <c r="E53" s="12" t="e">
        <f t="shared" ref="E53:O53" si="14">E37/$D$37</f>
        <v>#DIV/0!</v>
      </c>
      <c r="F53" s="12" t="e">
        <f t="shared" si="14"/>
        <v>#DIV/0!</v>
      </c>
      <c r="G53" s="12" t="e">
        <f t="shared" si="14"/>
        <v>#DIV/0!</v>
      </c>
      <c r="H53" s="12" t="e">
        <f t="shared" si="14"/>
        <v>#DIV/0!</v>
      </c>
      <c r="I53" s="12" t="e">
        <f t="shared" si="14"/>
        <v>#DIV/0!</v>
      </c>
      <c r="J53" s="12" t="e">
        <f t="shared" si="14"/>
        <v>#DIV/0!</v>
      </c>
      <c r="K53" s="12" t="e">
        <f t="shared" si="14"/>
        <v>#DIV/0!</v>
      </c>
      <c r="L53" s="12" t="e">
        <f t="shared" si="14"/>
        <v>#DIV/0!</v>
      </c>
      <c r="M53" s="12" t="e">
        <f t="shared" si="14"/>
        <v>#DIV/0!</v>
      </c>
      <c r="N53" s="12" t="e">
        <f t="shared" si="14"/>
        <v>#DIV/0!</v>
      </c>
      <c r="O53" s="12" t="e">
        <f t="shared" si="14"/>
        <v>#DIV/0!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6" t="s">
        <v>6</v>
      </c>
      <c r="D54" s="12" t="e">
        <f>$D38/D38</f>
        <v>#DIV/0!</v>
      </c>
      <c r="E54" s="12" t="e">
        <f t="shared" ref="E54:N54" si="15">E38/$D38</f>
        <v>#DIV/0!</v>
      </c>
      <c r="F54" s="12" t="e">
        <f t="shared" si="15"/>
        <v>#DIV/0!</v>
      </c>
      <c r="G54" s="12" t="e">
        <f t="shared" si="15"/>
        <v>#DIV/0!</v>
      </c>
      <c r="H54" s="12" t="e">
        <f t="shared" si="15"/>
        <v>#DIV/0!</v>
      </c>
      <c r="I54" s="12" t="e">
        <f t="shared" si="15"/>
        <v>#DIV/0!</v>
      </c>
      <c r="J54" s="12" t="e">
        <f t="shared" si="15"/>
        <v>#DIV/0!</v>
      </c>
      <c r="K54" s="12" t="e">
        <f t="shared" si="15"/>
        <v>#DIV/0!</v>
      </c>
      <c r="L54" s="12" t="e">
        <f t="shared" si="15"/>
        <v>#DIV/0!</v>
      </c>
      <c r="M54" s="12" t="e">
        <f t="shared" si="15"/>
        <v>#DIV/0!</v>
      </c>
      <c r="N54" s="12" t="e">
        <f t="shared" si="15"/>
        <v>#DIV/0!</v>
      </c>
      <c r="O54" s="26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6" t="s">
        <v>8</v>
      </c>
      <c r="D55" s="12" t="e">
        <f t="shared" ref="D55:D63" si="16">D39/D39</f>
        <v>#DIV/0!</v>
      </c>
      <c r="E55" s="12" t="e">
        <f t="shared" ref="E55:M55" si="17">E39/$D39</f>
        <v>#DIV/0!</v>
      </c>
      <c r="F55" s="12" t="e">
        <f t="shared" si="17"/>
        <v>#DIV/0!</v>
      </c>
      <c r="G55" s="12" t="e">
        <f t="shared" si="17"/>
        <v>#DIV/0!</v>
      </c>
      <c r="H55" s="12" t="e">
        <f t="shared" si="17"/>
        <v>#DIV/0!</v>
      </c>
      <c r="I55" s="12" t="e">
        <f t="shared" si="17"/>
        <v>#DIV/0!</v>
      </c>
      <c r="J55" s="12" t="e">
        <f t="shared" si="17"/>
        <v>#DIV/0!</v>
      </c>
      <c r="K55" s="12" t="e">
        <f t="shared" si="17"/>
        <v>#DIV/0!</v>
      </c>
      <c r="L55" s="12" t="e">
        <f t="shared" si="17"/>
        <v>#DIV/0!</v>
      </c>
      <c r="M55" s="12" t="e">
        <f t="shared" si="17"/>
        <v>#DIV/0!</v>
      </c>
      <c r="N55" s="26"/>
      <c r="O55" s="26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6" t="s">
        <v>9</v>
      </c>
      <c r="D56" s="12" t="e">
        <f t="shared" si="16"/>
        <v>#DIV/0!</v>
      </c>
      <c r="E56" s="12" t="e">
        <f t="shared" ref="E56:L56" si="18">E40/$D40</f>
        <v>#DIV/0!</v>
      </c>
      <c r="F56" s="12" t="e">
        <f t="shared" si="18"/>
        <v>#DIV/0!</v>
      </c>
      <c r="G56" s="12" t="e">
        <f t="shared" si="18"/>
        <v>#DIV/0!</v>
      </c>
      <c r="H56" s="12" t="e">
        <f t="shared" si="18"/>
        <v>#DIV/0!</v>
      </c>
      <c r="I56" s="12" t="e">
        <f t="shared" si="18"/>
        <v>#DIV/0!</v>
      </c>
      <c r="J56" s="12" t="e">
        <f t="shared" si="18"/>
        <v>#DIV/0!</v>
      </c>
      <c r="K56" s="12" t="e">
        <f t="shared" si="18"/>
        <v>#DIV/0!</v>
      </c>
      <c r="L56" s="12" t="e">
        <f t="shared" si="18"/>
        <v>#DIV/0!</v>
      </c>
      <c r="M56" s="26"/>
      <c r="N56" s="26"/>
      <c r="O56" s="2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6" t="s">
        <v>10</v>
      </c>
      <c r="D57" s="12" t="e">
        <f t="shared" si="16"/>
        <v>#DIV/0!</v>
      </c>
      <c r="E57" s="12" t="e">
        <f t="shared" ref="E57:K57" si="19">E41/$D41</f>
        <v>#DIV/0!</v>
      </c>
      <c r="F57" s="12" t="e">
        <f t="shared" si="19"/>
        <v>#DIV/0!</v>
      </c>
      <c r="G57" s="12" t="e">
        <f t="shared" si="19"/>
        <v>#DIV/0!</v>
      </c>
      <c r="H57" s="12" t="e">
        <f t="shared" si="19"/>
        <v>#DIV/0!</v>
      </c>
      <c r="I57" s="12" t="e">
        <f t="shared" si="19"/>
        <v>#DIV/0!</v>
      </c>
      <c r="J57" s="12" t="e">
        <f t="shared" si="19"/>
        <v>#DIV/0!</v>
      </c>
      <c r="K57" s="12" t="e">
        <f t="shared" si="19"/>
        <v>#DIV/0!</v>
      </c>
      <c r="L57" s="26"/>
      <c r="M57" s="26"/>
      <c r="N57" s="26"/>
      <c r="O57" s="26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6" t="s">
        <v>11</v>
      </c>
      <c r="D58" s="12" t="e">
        <f t="shared" si="16"/>
        <v>#DIV/0!</v>
      </c>
      <c r="E58" s="12" t="e">
        <f t="shared" ref="E58:J58" si="20">E42/$D42</f>
        <v>#DIV/0!</v>
      </c>
      <c r="F58" s="12" t="e">
        <f t="shared" si="20"/>
        <v>#DIV/0!</v>
      </c>
      <c r="G58" s="12" t="e">
        <f t="shared" si="20"/>
        <v>#DIV/0!</v>
      </c>
      <c r="H58" s="12" t="e">
        <f t="shared" si="20"/>
        <v>#DIV/0!</v>
      </c>
      <c r="I58" s="12" t="e">
        <f t="shared" si="20"/>
        <v>#DIV/0!</v>
      </c>
      <c r="J58" s="12" t="e">
        <f t="shared" si="20"/>
        <v>#DIV/0!</v>
      </c>
      <c r="K58" s="26"/>
      <c r="L58" s="26"/>
      <c r="M58" s="26"/>
      <c r="N58" s="26"/>
      <c r="O58" s="26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6" t="s">
        <v>12</v>
      </c>
      <c r="D59" s="12" t="e">
        <f t="shared" si="16"/>
        <v>#DIV/0!</v>
      </c>
      <c r="E59" s="12" t="e">
        <f t="shared" ref="E59:I59" si="21">E43/$D43</f>
        <v>#DIV/0!</v>
      </c>
      <c r="F59" s="12" t="e">
        <f t="shared" si="21"/>
        <v>#DIV/0!</v>
      </c>
      <c r="G59" s="12" t="e">
        <f t="shared" si="21"/>
        <v>#DIV/0!</v>
      </c>
      <c r="H59" s="12" t="e">
        <f t="shared" si="21"/>
        <v>#DIV/0!</v>
      </c>
      <c r="I59" s="12" t="e">
        <f t="shared" si="21"/>
        <v>#DIV/0!</v>
      </c>
      <c r="J59" s="26"/>
      <c r="K59" s="26"/>
      <c r="L59" s="26"/>
      <c r="M59" s="26"/>
      <c r="N59" s="26"/>
      <c r="O59" s="26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6" t="s">
        <v>37</v>
      </c>
      <c r="D60" s="12" t="e">
        <f t="shared" si="16"/>
        <v>#DIV/0!</v>
      </c>
      <c r="E60" s="12" t="e">
        <f t="shared" ref="E60:H60" si="22">E44/$D44</f>
        <v>#DIV/0!</v>
      </c>
      <c r="F60" s="12" t="e">
        <f t="shared" si="22"/>
        <v>#DIV/0!</v>
      </c>
      <c r="G60" s="12" t="e">
        <f t="shared" si="22"/>
        <v>#DIV/0!</v>
      </c>
      <c r="H60" s="12" t="e">
        <f t="shared" si="22"/>
        <v>#DIV/0!</v>
      </c>
      <c r="I60" s="26"/>
      <c r="J60" s="26"/>
      <c r="K60" s="26"/>
      <c r="L60" s="26"/>
      <c r="M60" s="26"/>
      <c r="N60" s="26"/>
      <c r="O60" s="26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6" t="s">
        <v>15</v>
      </c>
      <c r="D61" s="12" t="e">
        <f t="shared" si="16"/>
        <v>#DIV/0!</v>
      </c>
      <c r="E61" s="12" t="e">
        <f t="shared" ref="E61:G61" si="23">E45/$D45</f>
        <v>#DIV/0!</v>
      </c>
      <c r="F61" s="12" t="e">
        <f t="shared" si="23"/>
        <v>#DIV/0!</v>
      </c>
      <c r="G61" s="12" t="e">
        <f t="shared" si="23"/>
        <v>#DIV/0!</v>
      </c>
      <c r="H61" s="26"/>
      <c r="I61" s="26"/>
      <c r="J61" s="26"/>
      <c r="K61" s="26"/>
      <c r="L61" s="26"/>
      <c r="M61" s="26"/>
      <c r="N61" s="26"/>
      <c r="O61" s="26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6" t="s">
        <v>16</v>
      </c>
      <c r="D62" s="12" t="e">
        <f t="shared" si="16"/>
        <v>#DIV/0!</v>
      </c>
      <c r="E62" s="12" t="e">
        <f t="shared" ref="E62:F62" si="24">E46/$D46</f>
        <v>#DIV/0!</v>
      </c>
      <c r="F62" s="12" t="e">
        <f t="shared" si="24"/>
        <v>#DIV/0!</v>
      </c>
      <c r="G62" s="26"/>
      <c r="H62" s="26"/>
      <c r="I62" s="26"/>
      <c r="J62" s="26"/>
      <c r="K62" s="26"/>
      <c r="L62" s="26"/>
      <c r="M62" s="26"/>
      <c r="N62" s="26"/>
      <c r="O62" s="26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6" t="s">
        <v>17</v>
      </c>
      <c r="D63" s="12" t="e">
        <f t="shared" si="16"/>
        <v>#DIV/0!</v>
      </c>
      <c r="E63" s="12" t="e">
        <f>E47/$D47</f>
        <v>#DIV/0!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Sheet1</vt:lpstr>
      <vt:lpstr>Sheet1 (2)</vt:lpstr>
      <vt:lpstr>Sheet3</vt:lpstr>
      <vt:lpstr>Shareable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David Patera</cp:lastModifiedBy>
  <dcterms:created xsi:type="dcterms:W3CDTF">2023-02-07T03:39:43Z</dcterms:created>
  <dcterms:modified xsi:type="dcterms:W3CDTF">2026-05-12T15:59:27Z</dcterms:modified>
</cp:coreProperties>
</file>