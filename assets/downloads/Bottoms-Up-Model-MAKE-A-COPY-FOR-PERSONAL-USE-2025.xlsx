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Performance Plan vs. Actual" sheetId="2" r:id="rId6"/>
    <sheet state="visible" name="Model Assumptions" sheetId="3" r:id="rId7"/>
    <sheet state="visible" name="GTM Bottoms up Model" sheetId="4" r:id="rId8"/>
    <sheet state="hidden" name="Rep and Marketing Details" sheetId="5" r:id="rId9"/>
    <sheet state="hidden" name="Copy of Studies Published Data " sheetId="6" r:id="rId10"/>
    <sheet state="hidden" name="Sheet5" sheetId="7" r:id="rId11"/>
    <sheet state="hidden" name="Copy of ICP Customers" sheetId="8" r:id="rId12"/>
    <sheet state="visible" name="📈 LIR " sheetId="9" r:id="rId13"/>
    <sheet state="hidden" name="Customer Data - Source of Truth" sheetId="10" r:id="rId14"/>
    <sheet state="hidden" name="Most Recent Import" sheetId="11" r:id="rId15"/>
    <sheet state="hidden" name="Studies (Monthly) RAW" sheetId="12" r:id="rId16"/>
    <sheet state="hidden" name="Studies (Cum) RAW" sheetId="13" r:id="rId17"/>
    <sheet state="hidden" name="Normalized Import" sheetId="14" r:id="rId18"/>
  </sheets>
  <definedNames>
    <definedName name="IQRThomsonEstM396">#REF!</definedName>
    <definedName name="IQRThomsonEstM344">#REF!</definedName>
    <definedName name="IQRThomsonEstM419">#REF!</definedName>
    <definedName name="IQRThomsonEstM345">#REF!</definedName>
    <definedName name="IQRThomsonEstM352">#REF!</definedName>
    <definedName name="IQRThomsonEstM378">#REF!</definedName>
    <definedName name="IQRThomsonEstM376">#REF!</definedName>
    <definedName name="A">#REF!</definedName>
    <definedName name="d">#REF!</definedName>
    <definedName name="IQRThomsonEstM420">#REF!</definedName>
    <definedName name="IQRThomsonEstM395">#REF!</definedName>
    <definedName name="IQRThomsonEstM351">#REF!</definedName>
    <definedName name="IQRThomsonEstM373">#REF!</definedName>
    <definedName name="IQRThomsonEstM347">#REF!</definedName>
    <definedName name="IQRThomsonEstM375">#REF!</definedName>
    <definedName name="IQRThomsonEstM387">#REF!</definedName>
    <definedName name="h">#REF!</definedName>
    <definedName name="IQRThomsonEstM388">#REF!</definedName>
    <definedName name="IQRThomsonEstM343">#REF!</definedName>
    <definedName name="g">#REF!</definedName>
    <definedName name="IQRThomsonEstM365">#REF!</definedName>
    <definedName name="IQRThomsonEstM374">#REF!</definedName>
    <definedName name="IQRThomsonEstM346">#REF!</definedName>
    <definedName name="f">#REF!</definedName>
    <definedName name="e">#REF!</definedName>
    <definedName name="B">#REF!</definedName>
    <definedName name="IQRThomsonEstM366">#REF!</definedName>
    <definedName name="IQRThomsonEstM348">#REF!</definedName>
    <definedName name="IQRThomsonEstM377">#REF!</definedName>
    <definedName hidden="1" localSheetId="8" name="_xlnm._FilterDatabase">'📈 LIR '!$C$10:$W$51</definedName>
    <definedName hidden="1" localSheetId="9" name="_xlnm._FilterDatabase">'Customer Data - Source of Truth'!$A$1:$AC$997</definedName>
    <definedName hidden="1" localSheetId="10" name="_xlnm._FilterDatabase">'Most Recent Import'!$A$1:$AA$995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66">
      <text>
        <t xml:space="preserve">Anubhav Maheshwari:
Should this be rounded up to integer AEs? </t>
      </text>
    </comment>
  </commentList>
</comments>
</file>

<file path=xl/sharedStrings.xml><?xml version="1.0" encoding="utf-8"?>
<sst xmlns="http://schemas.openxmlformats.org/spreadsheetml/2006/main" count="857" uniqueCount="470">
  <si>
    <t>Building your Plan</t>
  </si>
  <si>
    <t>Performance Tab:</t>
  </si>
  <si>
    <t xml:space="preserve">A summary of the Bottoms Up Model vs your actual results on revenue and Leading Indicators of Unit Economics. </t>
  </si>
  <si>
    <t>Model Assumptions Tab:</t>
  </si>
  <si>
    <t xml:space="preserve">Fill in the BLUE numbers in the Model Assumptions column.  These will populate in the monthly assumptions columns. </t>
  </si>
  <si>
    <t xml:space="preserve">We recommend you start with your current results to get a baseline model. </t>
  </si>
  <si>
    <t>GTM Bottoms Up Model:</t>
  </si>
  <si>
    <t>Add your headcount including ramp for your AEs and SDRs</t>
  </si>
  <si>
    <t>Everything else will populate based on your inputs from the Model Assumptions tab.</t>
  </si>
  <si>
    <t>LIR:</t>
  </si>
  <si>
    <t xml:space="preserve">A worksheet to track your Leading Indicator of Retention. </t>
  </si>
  <si>
    <t>Definitions</t>
  </si>
  <si>
    <t xml:space="preserve">You can change these to whatever language you use internally. </t>
  </si>
  <si>
    <t>TOFU</t>
  </si>
  <si>
    <t>Top of funnel leads</t>
  </si>
  <si>
    <t>Contacts</t>
  </si>
  <si>
    <t>A Contact in an accounts prospected for outbound</t>
  </si>
  <si>
    <t>MQL</t>
  </si>
  <si>
    <t>Marketing Qualified Lead for inbound leads</t>
  </si>
  <si>
    <t>SQL</t>
  </si>
  <si>
    <t>Sales Qualified lead  - qualified opportunities you add to your pipeline</t>
  </si>
  <si>
    <t>ACV</t>
  </si>
  <si>
    <t>Average 1 year contract value</t>
  </si>
  <si>
    <t>2024 Plan</t>
  </si>
  <si>
    <t>Fill in the cells in yellow</t>
  </si>
  <si>
    <t>Q1</t>
  </si>
  <si>
    <t>Q2</t>
  </si>
  <si>
    <t>Q3</t>
  </si>
  <si>
    <t>Q4</t>
  </si>
  <si>
    <t>TOTAL</t>
  </si>
  <si>
    <t>Revenue</t>
  </si>
  <si>
    <t>Starting ARR</t>
  </si>
  <si>
    <t xml:space="preserve">  New</t>
  </si>
  <si>
    <t xml:space="preserve">  Expansion</t>
  </si>
  <si>
    <t xml:space="preserve">  Contraction</t>
  </si>
  <si>
    <t xml:space="preserve">  Churn</t>
  </si>
  <si>
    <t>Total</t>
  </si>
  <si>
    <t>New Customers</t>
  </si>
  <si>
    <t>CaC payback (months)</t>
  </si>
  <si>
    <t>S/M expense as a % of Revenue</t>
  </si>
  <si>
    <t>Demand Gen - SQLs by Channel</t>
  </si>
  <si>
    <t xml:space="preserve">  Outbound</t>
  </si>
  <si>
    <t xml:space="preserve">  Inbound</t>
  </si>
  <si>
    <t xml:space="preserve">  Partner</t>
  </si>
  <si>
    <t>Leading Indicators of Unit Economics</t>
  </si>
  <si>
    <t>SQLs per Rep</t>
  </si>
  <si>
    <t>Deals per Rep</t>
  </si>
  <si>
    <t>CAC per Customer</t>
  </si>
  <si>
    <t>Headcount</t>
  </si>
  <si>
    <t xml:space="preserve">  AE</t>
  </si>
  <si>
    <t xml:space="preserve">  CS</t>
  </si>
  <si>
    <t xml:space="preserve">  SDR </t>
  </si>
  <si>
    <t>Cash</t>
  </si>
  <si>
    <t>Beginning Balance</t>
  </si>
  <si>
    <t>Change in Cash</t>
  </si>
  <si>
    <t>Ending Balance</t>
  </si>
  <si>
    <t>Runway</t>
  </si>
  <si>
    <t>ACTUAL</t>
  </si>
  <si>
    <t xml:space="preserve">  Starting ARR</t>
  </si>
  <si>
    <t>% to plan</t>
  </si>
  <si>
    <t>NRR</t>
  </si>
  <si>
    <t>Gross Margin</t>
  </si>
  <si>
    <t>S&amp;M Spend (CAC)</t>
  </si>
  <si>
    <t>Exchange</t>
  </si>
  <si>
    <r>
      <rPr>
        <rFont val="Arial"/>
        <b/>
        <color rgb="FF000000"/>
        <sz val="12.0"/>
      </rPr>
      <t xml:space="preserve">Model Assumptions: </t>
    </r>
    <r>
      <rPr>
        <rFont val="Arial"/>
        <b val="0"/>
        <color rgb="FF000000"/>
        <sz val="12.0"/>
      </rPr>
      <t>Fill in the</t>
    </r>
    <r>
      <rPr>
        <rFont val="Arial"/>
        <b val="0"/>
        <color rgb="FF4A86E8"/>
        <sz val="12.0"/>
      </rPr>
      <t xml:space="preserve"> BLUE </t>
    </r>
    <r>
      <rPr>
        <rFont val="Arial"/>
        <b val="0"/>
        <color rgb="FF000000"/>
        <sz val="12.0"/>
      </rPr>
      <t>numbers in the assumptions column.  You can override the autopopulation if you want to adjust by month.</t>
    </r>
  </si>
  <si>
    <r>
      <rPr>
        <rFont val="Arial"/>
        <b/>
        <color rgb="FF000000"/>
        <sz val="12.0"/>
      </rPr>
      <t>GTM Bottoms Up Model:</t>
    </r>
    <r>
      <rPr>
        <rFont val="Arial"/>
        <b val="0"/>
        <color rgb="FF000000"/>
        <sz val="12.0"/>
      </rPr>
      <t xml:space="preserve"> Fill in the hiring plan in blue.</t>
    </r>
    <r>
      <rPr>
        <rFont val="Arial"/>
        <b/>
        <color rgb="FF000000"/>
        <sz val="12.0"/>
      </rPr>
      <t xml:space="preserve"> </t>
    </r>
  </si>
  <si>
    <t>Model Assumptions</t>
  </si>
  <si>
    <t>Productivity</t>
  </si>
  <si>
    <t xml:space="preserve">AE </t>
  </si>
  <si>
    <t xml:space="preserve">Aggregate Average ACV </t>
  </si>
  <si>
    <t>New Customers Signed per Rep</t>
  </si>
  <si>
    <t>CS</t>
  </si>
  <si>
    <t>Average Expansion ACV</t>
  </si>
  <si>
    <t>Expansions per rep</t>
  </si>
  <si>
    <t>Demand Gen Channels - Deals Closed by channel</t>
  </si>
  <si>
    <t>Inbound</t>
  </si>
  <si>
    <t>Outbound</t>
  </si>
  <si>
    <t>Partners</t>
  </si>
  <si>
    <t>Demand Generation Performance</t>
  </si>
  <si>
    <t>Channel 1: Inbound</t>
  </si>
  <si>
    <t>Marketing Spend per Month per Rep</t>
  </si>
  <si>
    <t>TOFU Leads per Rep</t>
  </si>
  <si>
    <t>Lead to SQL Conversion (demo)</t>
  </si>
  <si>
    <t>Demo to Eval</t>
  </si>
  <si>
    <t>Eval to Contracting</t>
  </si>
  <si>
    <t>Cost per TOFU Lead</t>
  </si>
  <si>
    <t>Channel 2: Outbound</t>
  </si>
  <si>
    <t>SDR Accounts Needed #</t>
  </si>
  <si>
    <t>Contacts to SQL Conversion (demo)</t>
  </si>
  <si>
    <t>Outbound SQL to Pilot</t>
  </si>
  <si>
    <t>Pilot to Customer Conversion</t>
  </si>
  <si>
    <t>SDR to AE Ratio</t>
  </si>
  <si>
    <t>Channel 3: Partners</t>
  </si>
  <si>
    <t>Partner Compensation per Lead</t>
  </si>
  <si>
    <t>Partner Deals per Rep</t>
  </si>
  <si>
    <t>Partner TOFU Leads to SQL Conversion</t>
  </si>
  <si>
    <t>Partner SQL to Customer Conversion</t>
  </si>
  <si>
    <t>Headcount Cost (Annual)</t>
  </si>
  <si>
    <t>SR AE OTE ($K)</t>
  </si>
  <si>
    <t>AE OTE</t>
  </si>
  <si>
    <t>Head of Sales</t>
  </si>
  <si>
    <t>SDR</t>
  </si>
  <si>
    <t>Marketing</t>
  </si>
  <si>
    <t>Other Metrics</t>
  </si>
  <si>
    <t>Sales Team: Including Ramp</t>
  </si>
  <si>
    <t>AE Headcount</t>
  </si>
  <si>
    <t>VP Sales / Sales Leader ( )</t>
  </si>
  <si>
    <t>AEI Quota</t>
  </si>
  <si>
    <t xml:space="preserve">AE0 </t>
  </si>
  <si>
    <t xml:space="preserve">AE1 </t>
  </si>
  <si>
    <t xml:space="preserve">AE2 </t>
  </si>
  <si>
    <t xml:space="preserve">AE3 </t>
  </si>
  <si>
    <t xml:space="preserve">AE4 </t>
  </si>
  <si>
    <t>AE5</t>
  </si>
  <si>
    <t>Customer Success / AM Quota</t>
  </si>
  <si>
    <t>CS 1 TBH</t>
  </si>
  <si>
    <t>CS2</t>
  </si>
  <si>
    <t>CS3</t>
  </si>
  <si>
    <t>AEs</t>
  </si>
  <si>
    <t>CS Total</t>
  </si>
  <si>
    <t xml:space="preserve">SDRs Total Outbound </t>
  </si>
  <si>
    <t>New Revenue Projections</t>
  </si>
  <si>
    <t>Signed Revenue</t>
  </si>
  <si>
    <t>Total New ARR</t>
  </si>
  <si>
    <t>New Customer ARR</t>
  </si>
  <si>
    <t>Expansion Customers</t>
  </si>
  <si>
    <t>Expansion ARR</t>
  </si>
  <si>
    <t>Pipeline Needed</t>
  </si>
  <si>
    <t xml:space="preserve">  TOFU Leads</t>
  </si>
  <si>
    <t xml:space="preserve">  TOFU -Outbound Accounts</t>
  </si>
  <si>
    <t xml:space="preserve">  TOFU - Inbound MQLs</t>
  </si>
  <si>
    <t xml:space="preserve">  Opportunities (SQLs)</t>
  </si>
  <si>
    <t xml:space="preserve">  Pilots</t>
  </si>
  <si>
    <t xml:space="preserve">  New Customers</t>
  </si>
  <si>
    <t>Demand Gen Channels</t>
  </si>
  <si>
    <t xml:space="preserve"> Channel 1: Outbound </t>
  </si>
  <si>
    <t xml:space="preserve">    Top of Funnel Leads / Accounts Needed</t>
  </si>
  <si>
    <t xml:space="preserve">    SQL</t>
  </si>
  <si>
    <t>Pilot</t>
  </si>
  <si>
    <t xml:space="preserve">    Customers</t>
  </si>
  <si>
    <t xml:space="preserve">      SQLS per AE</t>
  </si>
  <si>
    <t xml:space="preserve">     SQLs per SDR</t>
  </si>
  <si>
    <t xml:space="preserve">Implied Metrics </t>
  </si>
  <si>
    <t xml:space="preserve">SDR Cost $ / Outbound SQL </t>
  </si>
  <si>
    <t>SDR Cost $ / Outbound Customer</t>
  </si>
  <si>
    <t>SQLs per Outbound SDR per month</t>
  </si>
  <si>
    <t>Customers per Outbound SDR per month</t>
  </si>
  <si>
    <t xml:space="preserve"> Channel 2: Inbound </t>
  </si>
  <si>
    <t xml:space="preserve">   MQLs</t>
  </si>
  <si>
    <t xml:space="preserve">    SQL (demos)</t>
  </si>
  <si>
    <t xml:space="preserve">   Pilot</t>
  </si>
  <si>
    <t xml:space="preserve">Marketing $ / Inbound SQL </t>
  </si>
  <si>
    <t>Marketing $ / Inbound Customer</t>
  </si>
  <si>
    <t>Inbound SQLs per AE per month</t>
  </si>
  <si>
    <t>Inbound Customers per AE per month</t>
  </si>
  <si>
    <t xml:space="preserve"> Channel 3: Partnerships</t>
  </si>
  <si>
    <t xml:space="preserve">Partner Cost $ / Partner SQL </t>
  </si>
  <si>
    <t>Partner Cost $ / Partner Customer</t>
  </si>
  <si>
    <t>Partner SQLs per AE per month</t>
  </si>
  <si>
    <t>Partner Customers per AE per month</t>
  </si>
  <si>
    <t>CAC</t>
  </si>
  <si>
    <t xml:space="preserve">Marketing Spend </t>
  </si>
  <si>
    <t>Marketing Salary</t>
  </si>
  <si>
    <t>Other Spend</t>
  </si>
  <si>
    <t>SDR Cost</t>
  </si>
  <si>
    <t>Partner</t>
  </si>
  <si>
    <t>Partner Cost</t>
  </si>
  <si>
    <t>AE Cost</t>
  </si>
  <si>
    <t># of AEs</t>
  </si>
  <si>
    <t>Total S&amp;M CAC</t>
  </si>
  <si>
    <t>New ARR</t>
  </si>
  <si>
    <t>Sales Headcount Cost</t>
  </si>
  <si>
    <t>Marketing Cost</t>
  </si>
  <si>
    <t>Gross Margin Adj. Magic Number</t>
  </si>
  <si>
    <t>Payback (Months)</t>
  </si>
  <si>
    <t>Active AEs</t>
  </si>
  <si>
    <t>SECTION NOT USED</t>
  </si>
  <si>
    <t>Aggregate Unit Economics</t>
  </si>
  <si>
    <t>S/M as a % of New ARR</t>
  </si>
  <si>
    <t xml:space="preserve">   SQLs per AE</t>
  </si>
  <si>
    <t xml:space="preserve">   Deals per AE</t>
  </si>
  <si>
    <t xml:space="preserve">   ACV</t>
  </si>
  <si>
    <t>Total Cost per SQL</t>
  </si>
  <si>
    <t xml:space="preserve">   Total Cost per Customer</t>
  </si>
  <si>
    <t>Rep &amp; Marketing Details</t>
  </si>
  <si>
    <t xml:space="preserve">Fill in the fields in grey. </t>
  </si>
  <si>
    <t>Rep Quotas - $ ARR</t>
  </si>
  <si>
    <t>Rep 1 - Abby</t>
  </si>
  <si>
    <t>Rep 2 - Danielle</t>
  </si>
  <si>
    <t>Rep 3</t>
  </si>
  <si>
    <t>Rep Attainment - $ ARR</t>
  </si>
  <si>
    <t>Total (MRR)</t>
  </si>
  <si>
    <t>Rep 1 Attainment %</t>
  </si>
  <si>
    <t>Rep 2 Attainment %</t>
  </si>
  <si>
    <t>Rep 3 Attainment %</t>
  </si>
  <si>
    <t>Total Attainment %</t>
  </si>
  <si>
    <t>Note: Rep OTE &amp; Sales Costs</t>
  </si>
  <si>
    <t>SDRs Total Cost - Lia</t>
  </si>
  <si>
    <t>Managers and other total cost</t>
  </si>
  <si>
    <t>Rep Accounts Touched - #</t>
  </si>
  <si>
    <t>Rep Deals - #</t>
  </si>
  <si>
    <t>Closed Deals by Rep - #</t>
  </si>
  <si>
    <t>Rep 1 SQO to win rate</t>
  </si>
  <si>
    <t>Rep 2 SQO to win rate</t>
  </si>
  <si>
    <t>Rep 3 SQO to win rate</t>
  </si>
  <si>
    <t>Total demo to win rate</t>
  </si>
  <si>
    <t>Rep 1 TOFU leads to SQO</t>
  </si>
  <si>
    <t>Rep 2 TOFU leads to SQO</t>
  </si>
  <si>
    <t>Rep 3 TOFU leads to SQO</t>
  </si>
  <si>
    <t>Total contacts to win rate</t>
  </si>
  <si>
    <t>SDR Productivity</t>
  </si>
  <si>
    <t># of SDRs</t>
  </si>
  <si>
    <t>TOFU leads (accounts worked)</t>
  </si>
  <si>
    <t>Discos</t>
  </si>
  <si>
    <t>Closed won (SDR generated)</t>
  </si>
  <si>
    <t>TOFU to SQO conversion</t>
  </si>
  <si>
    <t>SQO to Customer conversion</t>
  </si>
  <si>
    <t>Marketing Spend by Channel and Funnel</t>
  </si>
  <si>
    <t>Partner Channel</t>
  </si>
  <si>
    <t>Salary &amp; Other Expenses</t>
  </si>
  <si>
    <t>Revenue by Channel</t>
  </si>
  <si>
    <t>Top of Funnel Leads generated by channel</t>
  </si>
  <si>
    <t>SQOs by Channel</t>
  </si>
  <si>
    <t>Outbound lead to SQO</t>
  </si>
  <si>
    <t>Partner lead to SQO</t>
  </si>
  <si>
    <t>Total leads to SQOs</t>
  </si>
  <si>
    <t>Wins by Channel</t>
  </si>
  <si>
    <t>Outbound SQO to win</t>
  </si>
  <si>
    <t>Partner SQO to Win</t>
  </si>
  <si>
    <t>Total SQO to wins rate</t>
  </si>
  <si>
    <t>ACV by Channel</t>
  </si>
  <si>
    <t>https://app.amplitude.com/analytics/rallyuxr/chart/o5w4lyo/edit/69zjz4ud</t>
  </si>
  <si>
    <t xml:space="preserve">	slug</t>
  </si>
  <si>
    <t>close date</t>
  </si>
  <si>
    <t>quarter</t>
  </si>
  <si>
    <t xml:space="preserve">	hellofresh</t>
  </si>
  <si>
    <t xml:space="preserve">	consensys</t>
  </si>
  <si>
    <t xml:space="preserve">	pandadoc</t>
  </si>
  <si>
    <t xml:space="preserve">	xplor_technologies</t>
  </si>
  <si>
    <t xml:space="preserve">	angi</t>
  </si>
  <si>
    <t xml:space="preserve">	snowplow</t>
  </si>
  <si>
    <t xml:space="preserve">	findmypast</t>
  </si>
  <si>
    <t xml:space="preserve">	predictive_index</t>
  </si>
  <si>
    <t xml:space="preserve">	biorender</t>
  </si>
  <si>
    <t xml:space="preserve">	checkr</t>
  </si>
  <si>
    <t xml:space="preserve">	g-p</t>
  </si>
  <si>
    <t xml:space="preserve">	teachable</t>
  </si>
  <si>
    <t xml:space="preserve">	blackbaud</t>
  </si>
  <si>
    <t xml:space="preserve">	gong</t>
  </si>
  <si>
    <t xml:space="preserve">	safe</t>
  </si>
  <si>
    <t xml:space="preserve">	braze</t>
  </si>
  <si>
    <t xml:space="preserve">	discord</t>
  </si>
  <si>
    <t xml:space="preserve">	glassnode</t>
  </si>
  <si>
    <t xml:space="preserve">	mongodb</t>
  </si>
  <si>
    <t xml:space="preserve">	pointsbet</t>
  </si>
  <si>
    <t xml:space="preserve">	xometry</t>
  </si>
  <si>
    <t xml:space="preserve">	8x8</t>
  </si>
  <si>
    <t xml:space="preserve">	convera</t>
  </si>
  <si>
    <t xml:space="preserve">	glovo</t>
  </si>
  <si>
    <t xml:space="preserve">	webflow</t>
  </si>
  <si>
    <t xml:space="preserve">	gitlab</t>
  </si>
  <si>
    <t xml:space="preserve">	chegg</t>
  </si>
  <si>
    <t xml:space="preserve">	ezcater</t>
  </si>
  <si>
    <t xml:space="preserve">	impact</t>
  </si>
  <si>
    <t xml:space="preserve">	usertesting</t>
  </si>
  <si>
    <t xml:space="preserve">	faire</t>
  </si>
  <si>
    <t xml:space="preserve">	opentable</t>
  </si>
  <si>
    <t xml:space="preserve">	sage</t>
  </si>
  <si>
    <t xml:space="preserve">	sonos</t>
  </si>
  <si>
    <t xml:space="preserve">	soundtrap</t>
  </si>
  <si>
    <t xml:space="preserve">	yahoo</t>
  </si>
  <si>
    <t xml:space="preserve">	zwift</t>
  </si>
  <si>
    <t xml:space="preserve">	rockwell</t>
  </si>
  <si>
    <t xml:space="preserve">	sailpoint</t>
  </si>
  <si>
    <t xml:space="preserve">	stack_overflow</t>
  </si>
  <si>
    <t xml:space="preserve">	adobe</t>
  </si>
  <si>
    <t xml:space="preserve">	adobe_community</t>
  </si>
  <si>
    <t xml:space="preserve">	docuware</t>
  </si>
  <si>
    <t xml:space="preserve">	domo</t>
  </si>
  <si>
    <t xml:space="preserve">	mistplay</t>
  </si>
  <si>
    <t xml:space="preserve">	cloudflare</t>
  </si>
  <si>
    <t>stack overflow</t>
  </si>
  <si>
    <t>sailpoint</t>
  </si>
  <si>
    <t>adobe</t>
  </si>
  <si>
    <t>adobe community</t>
  </si>
  <si>
    <t>docuware</t>
  </si>
  <si>
    <t>domo</t>
  </si>
  <si>
    <t>mistplay</t>
  </si>
  <si>
    <t>cloudflare</t>
  </si>
  <si>
    <t>LIR - Studies Published Monthly</t>
  </si>
  <si>
    <t>KEY</t>
  </si>
  <si>
    <t>GOAL</t>
  </si>
  <si>
    <t>Threshold</t>
  </si>
  <si>
    <t>% Customers Achieving LIR</t>
  </si>
  <si>
    <t>LIR Achieved</t>
  </si>
  <si>
    <t>Goal</t>
  </si>
  <si>
    <t>LIR Not Achieved</t>
  </si>
  <si>
    <t>Company</t>
  </si>
  <si>
    <t>Month Closed</t>
  </si>
  <si>
    <t>Contract Year</t>
  </si>
  <si>
    <t>ICP?</t>
  </si>
  <si>
    <t>&lt;LIR Metric&gt;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</si>
  <si>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</si>
  <si>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</si>
  <si>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</si>
  <si>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</si>
  <si>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</si>
  <si>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</si>
  <si>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</si>
  <si>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</si>
  <si>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</si>
  <si>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</si>
  <si>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</si>
  <si>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</si>
  <si>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Current LIR</t>
  </si>
  <si>
    <t>Notes</t>
  </si>
  <si>
    <t>1</t>
  </si>
  <si>
    <t>slug</t>
  </si>
  <si>
    <t>Expected 1st Year Studies Published</t>
  </si>
  <si>
    <t>Logo</t>
  </si>
  <si>
    <t>Contract Start Date</t>
  </si>
  <si>
    <t># of Seats</t>
  </si>
  <si>
    <t>ARR</t>
  </si>
  <si>
    <t>Category</t>
  </si>
  <si>
    <t>Sub-Category</t>
  </si>
  <si>
    <t>Source</t>
  </si>
  <si>
    <t># of Employees</t>
  </si>
  <si>
    <t>Size of PWDR team (PM + Design)</t>
  </si>
  <si>
    <t>Size of UXR Team</t>
  </si>
  <si>
    <t>Size of ReOps Team</t>
  </si>
  <si>
    <t>8x8</t>
  </si>
  <si>
    <t>B2B</t>
  </si>
  <si>
    <t>Contact center</t>
  </si>
  <si>
    <t>Adobe</t>
  </si>
  <si>
    <t>B2C/B2B</t>
  </si>
  <si>
    <t>Creative, Marketing, Document Management</t>
  </si>
  <si>
    <t>Conference</t>
  </si>
  <si>
    <t>adobe_community</t>
  </si>
  <si>
    <t>Adobe Community</t>
  </si>
  <si>
    <t>angi</t>
  </si>
  <si>
    <t>Angi</t>
  </si>
  <si>
    <t>Marketplace</t>
  </si>
  <si>
    <t>Community</t>
  </si>
  <si>
    <t>biorender</t>
  </si>
  <si>
    <t>BioRender</t>
  </si>
  <si>
    <t>Design</t>
  </si>
  <si>
    <t>Design Partner</t>
  </si>
  <si>
    <t>blackbaud</t>
  </si>
  <si>
    <t>Blackbaud</t>
  </si>
  <si>
    <t>Education, non-profit</t>
  </si>
  <si>
    <t>braze</t>
  </si>
  <si>
    <t>Braze</t>
  </si>
  <si>
    <t>Martech</t>
  </si>
  <si>
    <t>checkr</t>
  </si>
  <si>
    <t>Checkr</t>
  </si>
  <si>
    <t>background checks</t>
  </si>
  <si>
    <t>chegg</t>
  </si>
  <si>
    <t>Chegg</t>
  </si>
  <si>
    <t>B2C</t>
  </si>
  <si>
    <t>Cloudflare</t>
  </si>
  <si>
    <t xml:space="preserve">B2B </t>
  </si>
  <si>
    <t>IT / Cyber</t>
  </si>
  <si>
    <t>consensys</t>
  </si>
  <si>
    <t>Consensys</t>
  </si>
  <si>
    <t>Web3</t>
  </si>
  <si>
    <t>Crypto</t>
  </si>
  <si>
    <t>NA</t>
  </si>
  <si>
    <t>convera</t>
  </si>
  <si>
    <t>Convera</t>
  </si>
  <si>
    <t>Fintech</t>
  </si>
  <si>
    <t>discord</t>
  </si>
  <si>
    <t>Discord</t>
  </si>
  <si>
    <t>Gaming / Rewards</t>
  </si>
  <si>
    <t>Docuware</t>
  </si>
  <si>
    <t>Document Management</t>
  </si>
  <si>
    <t>Domo</t>
  </si>
  <si>
    <t>BI / Data Vis</t>
  </si>
  <si>
    <t>ezcater</t>
  </si>
  <si>
    <t>EzCater</t>
  </si>
  <si>
    <t>Food/Restaurant</t>
  </si>
  <si>
    <t>faire</t>
  </si>
  <si>
    <t>Faire</t>
  </si>
  <si>
    <t>wholesale</t>
  </si>
  <si>
    <t>gitlab</t>
  </si>
  <si>
    <t>GitLab</t>
  </si>
  <si>
    <t>glovo</t>
  </si>
  <si>
    <t>Glovo</t>
  </si>
  <si>
    <t>Delivery</t>
  </si>
  <si>
    <t>gong</t>
  </si>
  <si>
    <t>Gong</t>
  </si>
  <si>
    <t>Sales tech</t>
  </si>
  <si>
    <t>gp-research</t>
  </si>
  <si>
    <t>G-P</t>
  </si>
  <si>
    <t xml:space="preserve">Talent/recrutiment </t>
  </si>
  <si>
    <t>hellofresh</t>
  </si>
  <si>
    <t xml:space="preserve">HelloFresh </t>
  </si>
  <si>
    <t>hyland</t>
  </si>
  <si>
    <t>Hyland</t>
  </si>
  <si>
    <t>Enterprise Content Management</t>
  </si>
  <si>
    <t>impact</t>
  </si>
  <si>
    <t>Impact</t>
  </si>
  <si>
    <t>Mistplay</t>
  </si>
  <si>
    <t>mongodb</t>
  </si>
  <si>
    <t>MongoDB</t>
  </si>
  <si>
    <t>muck_rack</t>
  </si>
  <si>
    <t>Muck Rack</t>
  </si>
  <si>
    <t>PR Management</t>
  </si>
  <si>
    <t>opentable</t>
  </si>
  <si>
    <t>OpenTable</t>
  </si>
  <si>
    <t>pandadoc</t>
  </si>
  <si>
    <t xml:space="preserve">PandaDoc </t>
  </si>
  <si>
    <t>Legaltech</t>
  </si>
  <si>
    <t>predictive_index</t>
  </si>
  <si>
    <t>The Predictive Index</t>
  </si>
  <si>
    <t>rockwell</t>
  </si>
  <si>
    <t>Rockwell Automation</t>
  </si>
  <si>
    <t>Robotics</t>
  </si>
  <si>
    <t>sage</t>
  </si>
  <si>
    <t>Sage</t>
  </si>
  <si>
    <t>Sailpoint Technologies</t>
  </si>
  <si>
    <t>snowplow</t>
  </si>
  <si>
    <t xml:space="preserve">Snowplow Anlaytics </t>
  </si>
  <si>
    <t>sonos</t>
  </si>
  <si>
    <t>Sonos</t>
  </si>
  <si>
    <t>Retail</t>
  </si>
  <si>
    <t>soundtrap</t>
  </si>
  <si>
    <t>SoundTrap</t>
  </si>
  <si>
    <t>Music/Entertainment</t>
  </si>
  <si>
    <t>stack_overflow</t>
  </si>
  <si>
    <t>Stack Overflow</t>
  </si>
  <si>
    <t>teachable</t>
  </si>
  <si>
    <t>Teachable</t>
  </si>
  <si>
    <t>Digital courses</t>
  </si>
  <si>
    <t>usertesting</t>
  </si>
  <si>
    <t>UserTesting</t>
  </si>
  <si>
    <t>Research</t>
  </si>
  <si>
    <t>webflow</t>
  </si>
  <si>
    <t>Webflow</t>
  </si>
  <si>
    <t>xometry</t>
  </si>
  <si>
    <t>Xometry</t>
  </si>
  <si>
    <t xml:space="preserve">Industrial </t>
  </si>
  <si>
    <t>xplor_technologies</t>
  </si>
  <si>
    <t>Xplor Technologies</t>
  </si>
  <si>
    <t>Ecommerce</t>
  </si>
  <si>
    <t>yahoo</t>
  </si>
  <si>
    <t>Yahoo!</t>
  </si>
  <si>
    <t>News</t>
  </si>
  <si>
    <t>zwift</t>
  </si>
  <si>
    <t>Zwift</t>
  </si>
  <si>
    <t>Exercise</t>
  </si>
  <si>
    <t>workspace</t>
  </si>
  <si>
    <t>arr</t>
  </si>
  <si>
    <t>contractStartDate</t>
  </si>
  <si>
    <t>numberOfPaidSeats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</si>
  <si>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</si>
  <si>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</si>
  <si>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</si>
  <si>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</si>
  <si>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</si>
  <si>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</si>
  <si>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</si>
  <si>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</si>
  <si>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</si>
  <si>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</si>
  <si>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</si>
  <si>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</si>
  <si>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safe</t>
  </si>
  <si>
    <t>ICP</t>
  </si>
  <si>
    <t>Expected Year 1 Usage</t>
  </si>
  <si>
    <t>Close 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</si>
</sst>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0">
    <numFmt numFmtId="164" formatCode="mmmm yyyy"/>
    <numFmt numFmtId="165" formatCode="&quot;$&quot;#,##0"/>
    <numFmt numFmtId="166" formatCode="0.0%"/>
    <numFmt numFmtId="167" formatCode="0.0"/>
    <numFmt numFmtId="168" formatCode="#,##0.00;(#,##0.00)"/>
    <numFmt numFmtId="169" formatCode="&quot;$&quot;#,##0.00"/>
    <numFmt numFmtId="170" formatCode="[$-409]mmm\-yy"/>
    <numFmt numFmtId="171" formatCode="&quot;$&quot;#,##0.0"/>
    <numFmt numFmtId="172" formatCode="&quot;$&quot;#,##0_);[Red]\(&quot;$&quot;#,##0\)"/>
    <numFmt numFmtId="173" formatCode="#,##0.0"/>
    <numFmt numFmtId="174" formatCode="yyyy\-mm\-dd"/>
    <numFmt numFmtId="175" formatCode="yyyy-mm-dd"/>
    <numFmt numFmtId="176" formatCode="m/d/yyyy"/>
    <numFmt numFmtId="177" formatCode="m/d"/>
    <numFmt numFmtId="178" formatCode="&quot;Month &quot;#;;&quot;Month 0&quot;"/>
    <numFmt numFmtId="179" formatCode="&quot;Cohort &quot;#;;&quot;Cohort 0&quot;"/>
    <numFmt numFmtId="180" formatCode="mmm\ yyyy"/>
    <numFmt numFmtId="181" formatCode="mmmm-yyyy"/>
    <numFmt numFmtId="182" formatCode="mmm-yyyy"/>
    <numFmt numFmtId="183" formatCode="mmm&quot;-&quot;yyyy"/>
  </numFmts>
  <fonts count="74">
    <font>
      <sz val="11.0"/>
      <color theme="1"/>
      <name val="Arial"/>
      <scheme val="minor"/>
    </font>
    <font>
      <u/>
      <sz val="14.0"/>
      <color theme="1"/>
      <name val="Arial"/>
    </font>
    <font>
      <b/>
      <i/>
      <sz val="11.0"/>
      <color theme="1"/>
      <name val="Arial"/>
    </font>
    <font>
      <color theme="1"/>
      <name val="Arial"/>
      <scheme val="minor"/>
    </font>
    <font>
      <sz val="11.0"/>
      <color theme="1"/>
      <name val="Arial"/>
    </font>
    <font>
      <b/>
      <i/>
      <color theme="1"/>
      <name val="Arial"/>
      <scheme val="minor"/>
    </font>
    <font>
      <b/>
      <color theme="1"/>
      <name val="Arial"/>
      <scheme val="minor"/>
    </font>
    <font>
      <b/>
      <sz val="11.0"/>
      <color theme="1"/>
      <name val="Arial"/>
    </font>
    <font>
      <b/>
      <sz val="12.0"/>
      <color theme="1"/>
      <name val="Arial"/>
      <scheme val="minor"/>
    </font>
    <font>
      <sz val="10.0"/>
      <color theme="1"/>
      <name val="Arial"/>
      <scheme val="minor"/>
    </font>
    <font>
      <b/>
      <sz val="10.0"/>
      <color theme="1"/>
      <name val="Arial"/>
      <scheme val="minor"/>
    </font>
    <font>
      <i/>
      <sz val="10.0"/>
      <color theme="1"/>
      <name val="Arial"/>
      <scheme val="minor"/>
    </font>
    <font>
      <i/>
      <color theme="1"/>
      <name val="Arial"/>
      <scheme val="minor"/>
    </font>
    <font>
      <sz val="9.0"/>
      <color theme="1"/>
      <name val="Arial"/>
      <scheme val="minor"/>
    </font>
    <font>
      <i/>
      <sz val="9.0"/>
      <color theme="1"/>
      <name val="Arial"/>
      <scheme val="minor"/>
    </font>
    <font>
      <b/>
      <i/>
      <sz val="10.0"/>
      <color theme="1"/>
      <name val="Arial"/>
      <scheme val="minor"/>
    </font>
    <font>
      <sz val="9.0"/>
      <color rgb="FF222222"/>
      <name val="Arial"/>
    </font>
    <font>
      <sz val="10.0"/>
      <color rgb="FF000000"/>
      <name val="Arial"/>
    </font>
    <font>
      <b/>
      <sz val="12.0"/>
      <color rgb="FF000000"/>
      <name val="Arial"/>
    </font>
    <font>
      <sz val="12.0"/>
      <color rgb="FF000000"/>
      <name val="Arial"/>
    </font>
    <font>
      <b/>
      <sz val="10.0"/>
      <color rgb="FF000000"/>
      <name val="Arial"/>
    </font>
    <font>
      <b/>
      <i/>
      <sz val="10.0"/>
      <color theme="1"/>
      <name val="Arial"/>
    </font>
    <font>
      <b/>
      <u/>
      <sz val="10.0"/>
      <color rgb="FFFFFFFF"/>
      <name val="Arial"/>
    </font>
    <font>
      <b/>
      <i/>
      <sz val="10.0"/>
      <color rgb="FF000000"/>
      <name val="Arial"/>
    </font>
    <font>
      <sz val="10.0"/>
      <color rgb="FF4472C4"/>
      <name val="Arial"/>
    </font>
    <font>
      <sz val="10.0"/>
      <color rgb="FF0000FF"/>
      <name val="Arial"/>
    </font>
    <font>
      <sz val="10.0"/>
      <color rgb="FF434343"/>
      <name val="Arial"/>
    </font>
    <font>
      <u/>
      <sz val="10.0"/>
      <color rgb="FF000000"/>
      <name val="Arial"/>
    </font>
    <font>
      <b/>
      <u/>
      <sz val="10.0"/>
      <color rgb="FF000000"/>
      <name val="Arial"/>
    </font>
    <font>
      <b/>
      <u/>
      <sz val="10.0"/>
      <color theme="0"/>
      <name val="Arial"/>
    </font>
    <font>
      <b/>
      <u/>
      <sz val="10.0"/>
      <color rgb="FF000000"/>
      <name val="Arial"/>
    </font>
    <font>
      <sz val="10.0"/>
      <color theme="1"/>
      <name val="Arial"/>
    </font>
    <font>
      <b/>
      <u/>
      <sz val="10.0"/>
      <color rgb="FF000000"/>
      <name val="Arial"/>
    </font>
    <font>
      <b/>
      <u/>
      <sz val="10.0"/>
      <color rgb="FFFFFFFF"/>
      <name val="Arial"/>
    </font>
    <font>
      <sz val="10.0"/>
      <color rgb="FFFFFFFF"/>
      <name val="Arial"/>
    </font>
    <font>
      <b/>
      <sz val="14.0"/>
      <color theme="1"/>
      <name val="Calibri"/>
    </font>
    <font>
      <sz val="11.0"/>
      <color theme="1"/>
      <name val="Calibri"/>
    </font>
    <font>
      <b/>
      <sz val="16.0"/>
      <color rgb="FFFFFFFF"/>
      <name val="Calibri"/>
    </font>
    <font>
      <b/>
      <sz val="8.0"/>
      <color rgb="FFA5A5A5"/>
      <name val="Calibri"/>
    </font>
    <font>
      <i/>
      <sz val="11.0"/>
      <color theme="0"/>
      <name val="Calibri"/>
    </font>
    <font>
      <sz val="11.0"/>
      <color rgb="FFFFFFFF"/>
      <name val="Calibri"/>
    </font>
    <font>
      <sz val="11.0"/>
      <color theme="0"/>
      <name val="Calibri"/>
    </font>
    <font>
      <sz val="8.0"/>
      <color theme="1"/>
      <name val="Calibri"/>
    </font>
    <font>
      <b/>
      <sz val="11.0"/>
      <color rgb="FFFFFFFF"/>
      <name val="Calibri"/>
    </font>
    <font>
      <b/>
      <sz val="11.0"/>
      <color theme="0"/>
      <name val="Calibri"/>
    </font>
    <font>
      <b/>
      <i/>
      <sz val="11.0"/>
      <color theme="1"/>
      <name val="Calibri"/>
    </font>
    <font>
      <sz val="11.0"/>
      <color rgb="FF0000FF"/>
      <name val="Calibri"/>
    </font>
    <font>
      <i/>
      <sz val="11.0"/>
      <color theme="1"/>
      <name val="Calibri"/>
    </font>
    <font>
      <b/>
      <sz val="11.0"/>
      <color theme="1"/>
      <name val="Calibri"/>
    </font>
    <font>
      <i/>
      <u/>
      <sz val="11.0"/>
      <color theme="1"/>
      <name val="Calibri"/>
    </font>
    <font>
      <sz val="11.0"/>
      <color rgb="FF4A86E8"/>
      <name val="Calibri"/>
    </font>
    <font>
      <sz val="11.0"/>
      <color rgb="FF000000"/>
      <name val="Calibri"/>
    </font>
    <font>
      <b/>
      <u/>
      <sz val="12.0"/>
      <color theme="1"/>
      <name val="Arial"/>
    </font>
    <font>
      <b/>
      <sz val="12.0"/>
      <color theme="1"/>
      <name val="Arial"/>
    </font>
    <font>
      <sz val="10.0"/>
      <color theme="1"/>
      <name val="Calibri"/>
    </font>
    <font>
      <sz val="10.0"/>
      <color rgb="FF000000"/>
      <name val="Calibri"/>
    </font>
    <font>
      <b/>
      <sz val="10.0"/>
      <color theme="1"/>
      <name val="Calibri"/>
    </font>
    <font>
      <i/>
      <sz val="10.0"/>
      <color theme="1"/>
      <name val="Calibri"/>
    </font>
    <font>
      <b/>
      <i/>
      <sz val="10.0"/>
      <color theme="1"/>
      <name val="Calibri"/>
    </font>
    <font>
      <b/>
      <u/>
      <sz val="10.0"/>
      <color theme="1"/>
      <name val="Calibri"/>
    </font>
    <font>
      <b/>
      <u/>
      <sz val="11.0"/>
      <color rgb="FF0000FF"/>
      <name val="Calibri"/>
    </font>
    <font>
      <sz val="11.0"/>
      <color rgb="FFFFFFFF"/>
      <name val="Arial"/>
      <scheme val="minor"/>
    </font>
    <font>
      <sz val="11.0"/>
      <color theme="0"/>
      <name val="Arial"/>
      <scheme val="minor"/>
    </font>
    <font>
      <b/>
      <sz val="19.0"/>
      <color theme="0"/>
      <name val="Inter"/>
    </font>
    <font>
      <b/>
      <sz val="11.0"/>
      <color theme="1"/>
      <name val="Inter"/>
    </font>
    <font>
      <sz val="11.0"/>
      <color theme="1"/>
      <name val="DM Serif Display"/>
    </font>
    <font>
      <sz val="11.0"/>
      <color theme="1"/>
      <name val="Inter"/>
    </font>
    <font>
      <b/>
      <sz val="11.0"/>
      <color rgb="FFFFFFFF"/>
      <name val="Inter"/>
    </font>
    <font/>
    <font>
      <b/>
      <sz val="11.0"/>
      <color rgb="FF0000FF"/>
      <name val="Inter"/>
    </font>
    <font>
      <i/>
      <sz val="11.0"/>
      <color theme="1"/>
      <name val="Inter"/>
    </font>
    <font>
      <sz val="11.0"/>
      <color rgb="FF0000FF"/>
      <name val="Inter"/>
    </font>
    <font>
      <b/>
      <color theme="1"/>
      <name val="Arial"/>
    </font>
    <font>
      <color theme="1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D9E2F3"/>
        <bgColor rgb="FFD9E2F3"/>
      </patternFill>
    </fill>
    <fill>
      <patternFill patternType="solid">
        <fgColor rgb="FF016978"/>
        <bgColor rgb="FF016978"/>
      </patternFill>
    </fill>
    <fill>
      <patternFill patternType="solid">
        <fgColor rgb="FFEFEFEF"/>
        <bgColor rgb="FFEFEFEF"/>
      </patternFill>
    </fill>
    <fill>
      <patternFill patternType="solid">
        <fgColor rgb="FF595959"/>
        <bgColor rgb="FF595959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00B050"/>
        <bgColor rgb="FF00B050"/>
      </patternFill>
    </fill>
    <fill>
      <patternFill patternType="solid">
        <fgColor rgb="FFBFBFBF"/>
        <bgColor rgb="FFBFBFBF"/>
      </patternFill>
    </fill>
  </fills>
  <borders count="31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/>
      <right/>
      <top/>
      <bottom/>
    </border>
    <border>
      <left/>
      <right/>
      <top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  <top/>
      <bottom/>
    </border>
    <border>
      <left/>
      <right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theme="0"/>
      </left>
      <right style="medium">
        <color theme="0"/>
      </right>
      <top/>
      <bottom style="medium">
        <color theme="0"/>
      </bottom>
    </border>
    <border>
      <left/>
      <top/>
    </border>
    <border>
      <left style="medium">
        <color theme="0"/>
      </left>
      <right style="medium">
        <color theme="0"/>
      </right>
      <top style="medium">
        <color theme="0"/>
      </top>
      <bottom/>
    </border>
    <border>
      <top/>
      <bottom/>
    </border>
    <border>
      <left/>
      <right/>
      <top style="thin">
        <color rgb="FF000000"/>
      </top>
      <bottom/>
    </border>
    <border>
      <bottom/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BFBFBF"/>
      </bottom>
    </border>
    <border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4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Font="1"/>
    <xf borderId="0" fillId="0" fontId="4" numFmtId="0" xfId="0" applyFont="1"/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Font="1"/>
    <xf borderId="0" fillId="0" fontId="8" numFmtId="0" xfId="0" applyAlignment="1" applyFont="1">
      <alignment readingOrder="0"/>
    </xf>
    <xf borderId="0" fillId="2" fontId="9" numFmtId="0" xfId="0" applyAlignment="1" applyFill="1" applyFont="1">
      <alignment readingOrder="0"/>
    </xf>
    <xf borderId="0" fillId="0" fontId="6" numFmtId="0" xfId="0" applyAlignment="1" applyFont="1">
      <alignment horizontal="center" readingOrder="0" shrinkToFit="0" wrapText="1"/>
    </xf>
    <xf borderId="0" fillId="0" fontId="10" numFmtId="0" xfId="0" applyAlignment="1" applyFont="1">
      <alignment horizontal="center"/>
    </xf>
    <xf borderId="0" fillId="0" fontId="10" numFmtId="164" xfId="0" applyAlignment="1" applyFont="1" applyNumberFormat="1">
      <alignment horizontal="center" readingOrder="0"/>
    </xf>
    <xf borderId="0" fillId="0" fontId="10" numFmtId="164" xfId="0" applyFont="1" applyNumberFormat="1"/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 readingOrder="0"/>
    </xf>
    <xf borderId="0" fillId="3" fontId="10" numFmtId="0" xfId="0" applyAlignment="1" applyFill="1" applyFont="1">
      <alignment readingOrder="0"/>
    </xf>
    <xf borderId="0" fillId="3" fontId="3" numFmtId="0" xfId="0" applyFont="1"/>
    <xf borderId="2" fillId="3" fontId="3" numFmtId="0" xfId="0" applyBorder="1" applyFont="1"/>
    <xf borderId="0" fillId="0" fontId="9" numFmtId="0" xfId="0" applyAlignment="1" applyFont="1">
      <alignment readingOrder="0"/>
    </xf>
    <xf borderId="0" fillId="2" fontId="9" numFmtId="165" xfId="0" applyAlignment="1" applyFont="1" applyNumberFormat="1">
      <alignment readingOrder="0"/>
    </xf>
    <xf borderId="0" fillId="0" fontId="9" numFmtId="165" xfId="0" applyFont="1" applyNumberFormat="1"/>
    <xf borderId="0" fillId="0" fontId="9" numFmtId="0" xfId="0" applyFont="1"/>
    <xf borderId="2" fillId="0" fontId="9" numFmtId="0" xfId="0" applyBorder="1" applyFont="1"/>
    <xf borderId="0" fillId="0" fontId="9" numFmtId="165" xfId="0" applyFont="1" applyNumberFormat="1"/>
    <xf borderId="2" fillId="0" fontId="9" numFmtId="165" xfId="0" applyBorder="1" applyFont="1" applyNumberFormat="1"/>
    <xf borderId="0" fillId="0" fontId="9" numFmtId="0" xfId="0" applyAlignment="1" applyFont="1">
      <alignment horizontal="left" readingOrder="0"/>
    </xf>
    <xf borderId="0" fillId="2" fontId="9" numFmtId="165" xfId="0" applyFont="1" applyNumberFormat="1"/>
    <xf borderId="0" fillId="0" fontId="10" numFmtId="0" xfId="0" applyFont="1"/>
    <xf borderId="0" fillId="0" fontId="10" numFmtId="165" xfId="0" applyFont="1" applyNumberFormat="1"/>
    <xf borderId="2" fillId="0" fontId="10" numFmtId="0" xfId="0" applyBorder="1" applyFont="1"/>
    <xf borderId="3" fillId="0" fontId="10" numFmtId="0" xfId="0" applyAlignment="1" applyBorder="1" applyFont="1">
      <alignment readingOrder="0"/>
    </xf>
    <xf borderId="3" fillId="0" fontId="10" numFmtId="165" xfId="0" applyBorder="1" applyFont="1" applyNumberFormat="1"/>
    <xf borderId="3" fillId="0" fontId="10" numFmtId="0" xfId="0" applyBorder="1" applyFont="1"/>
    <xf borderId="1" fillId="0" fontId="10" numFmtId="165" xfId="0" applyBorder="1" applyFont="1" applyNumberFormat="1"/>
    <xf borderId="0" fillId="0" fontId="10" numFmtId="0" xfId="0" applyAlignment="1" applyFont="1">
      <alignment readingOrder="0"/>
    </xf>
    <xf borderId="0" fillId="0" fontId="10" numFmtId="1" xfId="0" applyFont="1" applyNumberFormat="1"/>
    <xf borderId="0" fillId="0" fontId="10" numFmtId="3" xfId="0" applyFont="1" applyNumberFormat="1"/>
    <xf borderId="2" fillId="0" fontId="10" numFmtId="1" xfId="0" applyBorder="1" applyFont="1" applyNumberFormat="1"/>
    <xf borderId="0" fillId="0" fontId="6" numFmtId="0" xfId="0" applyFont="1"/>
    <xf borderId="0" fillId="0" fontId="9" numFmtId="2" xfId="0" applyFont="1" applyNumberFormat="1"/>
    <xf borderId="0" fillId="0" fontId="11" numFmtId="0" xfId="0" applyAlignment="1" applyFont="1">
      <alignment readingOrder="0" shrinkToFit="0" wrapText="1"/>
    </xf>
    <xf borderId="0" fillId="0" fontId="11" numFmtId="166" xfId="0" applyFont="1" applyNumberFormat="1"/>
    <xf borderId="0" fillId="0" fontId="11" numFmtId="0" xfId="0" applyFont="1"/>
    <xf borderId="2" fillId="0" fontId="11" numFmtId="0" xfId="0" applyBorder="1" applyFont="1"/>
    <xf borderId="0" fillId="0" fontId="12" numFmtId="0" xfId="0" applyFont="1"/>
    <xf borderId="0" fillId="4" fontId="10" numFmtId="0" xfId="0" applyAlignment="1" applyFill="1" applyFont="1">
      <alignment readingOrder="0"/>
    </xf>
    <xf borderId="0" fillId="4" fontId="3" numFmtId="0" xfId="0" applyFont="1"/>
    <xf borderId="0" fillId="5" fontId="9" numFmtId="0" xfId="0" applyFill="1" applyFont="1"/>
    <xf borderId="2" fillId="5" fontId="9" numFmtId="0" xfId="0" applyBorder="1" applyFont="1"/>
    <xf borderId="0" fillId="0" fontId="9" numFmtId="1" xfId="0" applyFont="1" applyNumberFormat="1"/>
    <xf borderId="2" fillId="0" fontId="9" numFmtId="1" xfId="0" applyBorder="1" applyFont="1" applyNumberFormat="1"/>
    <xf borderId="3" fillId="0" fontId="10" numFmtId="1" xfId="0" applyBorder="1" applyFont="1" applyNumberFormat="1"/>
    <xf borderId="1" fillId="0" fontId="10" numFmtId="1" xfId="0" applyBorder="1" applyFont="1" applyNumberFormat="1"/>
    <xf borderId="0" fillId="5" fontId="10" numFmtId="0" xfId="0" applyAlignment="1" applyFont="1">
      <alignment readingOrder="0"/>
    </xf>
    <xf borderId="0" fillId="5" fontId="3" numFmtId="0" xfId="0" applyFont="1"/>
    <xf borderId="0" fillId="0" fontId="9" numFmtId="167" xfId="0" applyFont="1" applyNumberFormat="1"/>
    <xf borderId="2" fillId="0" fontId="9" numFmtId="167" xfId="0" applyBorder="1" applyFont="1" applyNumberFormat="1"/>
    <xf borderId="4" fillId="0" fontId="10" numFmtId="0" xfId="0" applyBorder="1" applyFont="1"/>
    <xf borderId="3" fillId="0" fontId="3" numFmtId="0" xfId="0" applyBorder="1" applyFont="1"/>
    <xf borderId="0" fillId="0" fontId="11" numFmtId="0" xfId="0" applyAlignment="1" applyFont="1">
      <alignment readingOrder="0"/>
    </xf>
    <xf borderId="0" fillId="0" fontId="12" numFmtId="0" xfId="0" applyAlignment="1" applyFont="1">
      <alignment horizontal="right"/>
    </xf>
    <xf borderId="0" fillId="6" fontId="10" numFmtId="0" xfId="0" applyAlignment="1" applyFill="1" applyFont="1">
      <alignment readingOrder="0"/>
    </xf>
    <xf borderId="0" fillId="6" fontId="3" numFmtId="0" xfId="0" applyFont="1"/>
    <xf borderId="0" fillId="7" fontId="3" numFmtId="0" xfId="0" applyFill="1" applyFont="1"/>
    <xf borderId="0" fillId="7" fontId="10" numFmtId="0" xfId="0" applyAlignment="1" applyFont="1">
      <alignment readingOrder="0"/>
    </xf>
    <xf borderId="0" fillId="2" fontId="13" numFmtId="165" xfId="0" applyAlignment="1" applyFont="1" applyNumberFormat="1">
      <alignment readingOrder="0"/>
    </xf>
    <xf borderId="0" fillId="0" fontId="13" numFmtId="165" xfId="0" applyFont="1" applyNumberFormat="1"/>
    <xf borderId="0" fillId="0" fontId="13" numFmtId="0" xfId="0" applyFont="1"/>
    <xf borderId="0" fillId="2" fontId="13" numFmtId="165" xfId="0" applyFont="1" applyNumberFormat="1"/>
    <xf borderId="0" fillId="2" fontId="13" numFmtId="168" xfId="0" applyAlignment="1" applyFont="1" applyNumberFormat="1">
      <alignment readingOrder="0"/>
    </xf>
    <xf borderId="0" fillId="2" fontId="13" numFmtId="168" xfId="0" applyFont="1" applyNumberFormat="1"/>
    <xf borderId="3" fillId="0" fontId="13" numFmtId="165" xfId="0" applyBorder="1" applyFont="1" applyNumberFormat="1"/>
    <xf borderId="0" fillId="0" fontId="14" numFmtId="0" xfId="0" applyAlignment="1" applyFont="1">
      <alignment readingOrder="0"/>
    </xf>
    <xf borderId="0" fillId="0" fontId="14" numFmtId="9" xfId="0" applyFont="1" applyNumberFormat="1"/>
    <xf borderId="0" fillId="0" fontId="14" numFmtId="0" xfId="0" applyFont="1"/>
    <xf borderId="0" fillId="0" fontId="15" numFmtId="0" xfId="0" applyAlignment="1" applyFont="1">
      <alignment readingOrder="0"/>
    </xf>
    <xf borderId="0" fillId="2" fontId="13" numFmtId="9" xfId="0" applyAlignment="1" applyFont="1" applyNumberFormat="1">
      <alignment readingOrder="0"/>
    </xf>
    <xf borderId="0" fillId="2" fontId="13" numFmtId="10" xfId="0" applyAlignment="1" applyFont="1" applyNumberFormat="1">
      <alignment readingOrder="0"/>
    </xf>
    <xf borderId="0" fillId="2" fontId="13" numFmtId="0" xfId="0" applyFont="1"/>
    <xf borderId="0" fillId="2" fontId="13" numFmtId="0" xfId="0" applyAlignment="1" applyFont="1">
      <alignment readingOrder="0"/>
    </xf>
    <xf borderId="0" fillId="7" fontId="13" numFmtId="3" xfId="0" applyFont="1" applyNumberFormat="1"/>
    <xf borderId="0" fillId="7" fontId="13" numFmtId="9" xfId="0" applyAlignment="1" applyFont="1" applyNumberFormat="1">
      <alignment readingOrder="0"/>
    </xf>
    <xf borderId="3" fillId="0" fontId="13" numFmtId="0" xfId="0" applyBorder="1" applyFont="1"/>
    <xf borderId="0" fillId="0" fontId="13" numFmtId="169" xfId="0" applyFont="1" applyNumberFormat="1"/>
    <xf borderId="0" fillId="5" fontId="13" numFmtId="0" xfId="0" applyFont="1"/>
    <xf borderId="5" fillId="2" fontId="13" numFmtId="165" xfId="0" applyAlignment="1" applyBorder="1" applyFont="1" applyNumberFormat="1">
      <alignment readingOrder="0"/>
    </xf>
    <xf borderId="0" fillId="7" fontId="16" numFmtId="165" xfId="0" applyAlignment="1" applyFont="1" applyNumberFormat="1">
      <alignment horizontal="left" readingOrder="0"/>
    </xf>
    <xf borderId="3" fillId="0" fontId="13" numFmtId="165" xfId="0" applyAlignment="1" applyBorder="1" applyFont="1" applyNumberFormat="1">
      <alignment readingOrder="0"/>
    </xf>
    <xf borderId="0" fillId="0" fontId="14" numFmtId="0" xfId="0" applyAlignment="1" applyFont="1">
      <alignment horizontal="right"/>
    </xf>
    <xf borderId="0" fillId="0" fontId="17" numFmtId="0" xfId="0" applyFont="1"/>
    <xf borderId="6" fillId="8" fontId="17" numFmtId="0" xfId="0" applyBorder="1" applyFill="1" applyFont="1"/>
    <xf borderId="6" fillId="8" fontId="18" numFmtId="0" xfId="0" applyAlignment="1" applyBorder="1" applyFont="1">
      <alignment horizontal="left" readingOrder="0"/>
    </xf>
    <xf borderId="6" fillId="8" fontId="19" numFmtId="0" xfId="0" applyBorder="1" applyFont="1"/>
    <xf borderId="6" fillId="8" fontId="20" numFmtId="0" xfId="0" applyAlignment="1" applyBorder="1" applyFont="1">
      <alignment horizontal="center"/>
    </xf>
    <xf borderId="6" fillId="8" fontId="21" numFmtId="170" xfId="0" applyAlignment="1" applyBorder="1" applyFont="1" applyNumberFormat="1">
      <alignment horizontal="center" vertical="center"/>
    </xf>
    <xf borderId="0" fillId="8" fontId="21" numFmtId="170" xfId="0" applyAlignment="1" applyFont="1" applyNumberFormat="1">
      <alignment horizontal="center" vertical="center"/>
    </xf>
    <xf borderId="6" fillId="8" fontId="18" numFmtId="0" xfId="0" applyAlignment="1" applyBorder="1" applyFont="1">
      <alignment horizontal="left"/>
    </xf>
    <xf borderId="6" fillId="8" fontId="20" numFmtId="0" xfId="0" applyAlignment="1" applyBorder="1" applyFont="1">
      <alignment horizontal="left"/>
    </xf>
    <xf borderId="7" fillId="8" fontId="20" numFmtId="0" xfId="0" applyAlignment="1" applyBorder="1" applyFont="1">
      <alignment horizontal="center"/>
    </xf>
    <xf borderId="7" fillId="8" fontId="21" numFmtId="170" xfId="0" applyAlignment="1" applyBorder="1" applyFont="1" applyNumberFormat="1">
      <alignment horizontal="center" vertical="center"/>
    </xf>
    <xf borderId="0" fillId="0" fontId="20" numFmtId="0" xfId="0" applyAlignment="1" applyFont="1">
      <alignment horizontal="left"/>
    </xf>
    <xf borderId="8" fillId="9" fontId="20" numFmtId="0" xfId="0" applyAlignment="1" applyBorder="1" applyFill="1" applyFont="1">
      <alignment horizontal="center" readingOrder="0" shrinkToFit="0" wrapText="1"/>
    </xf>
    <xf borderId="0" fillId="4" fontId="21" numFmtId="170" xfId="0" applyAlignment="1" applyFont="1" applyNumberFormat="1">
      <alignment horizontal="center" readingOrder="0" vertical="center"/>
    </xf>
    <xf borderId="0" fillId="4" fontId="21" numFmtId="170" xfId="0" applyAlignment="1" applyFont="1" applyNumberFormat="1">
      <alignment horizontal="center" vertical="center"/>
    </xf>
    <xf borderId="6" fillId="10" fontId="22" numFmtId="0" xfId="0" applyAlignment="1" applyBorder="1" applyFill="1" applyFont="1">
      <alignment horizontal="left" readingOrder="0"/>
    </xf>
    <xf borderId="6" fillId="10" fontId="17" numFmtId="0" xfId="0" applyBorder="1" applyFont="1"/>
    <xf borderId="9" fillId="10" fontId="17" numFmtId="0" xfId="0" applyBorder="1" applyFont="1"/>
    <xf borderId="10" fillId="10" fontId="17" numFmtId="0" xfId="0" applyBorder="1" applyFont="1"/>
    <xf borderId="11" fillId="10" fontId="17" numFmtId="0" xfId="0" applyBorder="1" applyFont="1"/>
    <xf borderId="12" fillId="10" fontId="17" numFmtId="0" xfId="0" applyBorder="1" applyFont="1"/>
    <xf borderId="0" fillId="10" fontId="17" numFmtId="0" xfId="0" applyFont="1"/>
    <xf borderId="0" fillId="8" fontId="17" numFmtId="0" xfId="0" applyFont="1"/>
    <xf borderId="6" fillId="8" fontId="23" numFmtId="0" xfId="0" applyAlignment="1" applyBorder="1" applyFont="1">
      <alignment horizontal="left" readingOrder="0"/>
    </xf>
    <xf borderId="9" fillId="8" fontId="17" numFmtId="0" xfId="0" applyBorder="1" applyFont="1"/>
    <xf borderId="13" fillId="8" fontId="17" numFmtId="165" xfId="0" applyAlignment="1" applyBorder="1" applyFont="1" applyNumberFormat="1">
      <alignment readingOrder="0"/>
    </xf>
    <xf borderId="11" fillId="8" fontId="17" numFmtId="0" xfId="0" applyBorder="1" applyFont="1"/>
    <xf borderId="6" fillId="8" fontId="24" numFmtId="171" xfId="0" applyAlignment="1" applyBorder="1" applyFont="1" applyNumberFormat="1">
      <alignment horizontal="right" readingOrder="0"/>
    </xf>
    <xf borderId="0" fillId="8" fontId="24" numFmtId="171" xfId="0" applyAlignment="1" applyFont="1" applyNumberFormat="1">
      <alignment horizontal="right" readingOrder="0"/>
    </xf>
    <xf borderId="6" fillId="8" fontId="17" numFmtId="0" xfId="0" applyAlignment="1" applyBorder="1" applyFont="1">
      <alignment horizontal="left" readingOrder="0"/>
    </xf>
    <xf borderId="13" fillId="7" fontId="25" numFmtId="165" xfId="0" applyAlignment="1" applyBorder="1" applyFont="1" applyNumberFormat="1">
      <alignment readingOrder="0"/>
    </xf>
    <xf borderId="6" fillId="8" fontId="26" numFmtId="165" xfId="0" applyAlignment="1" applyBorder="1" applyFont="1" applyNumberFormat="1">
      <alignment horizontal="right" readingOrder="0"/>
    </xf>
    <xf borderId="6" fillId="8" fontId="17" numFmtId="0" xfId="0" applyAlignment="1" applyBorder="1" applyFont="1">
      <alignment horizontal="left"/>
    </xf>
    <xf borderId="13" fillId="8" fontId="25" numFmtId="0" xfId="0" applyAlignment="1" applyBorder="1" applyFont="1">
      <alignment readingOrder="0"/>
    </xf>
    <xf borderId="0" fillId="0" fontId="26" numFmtId="0" xfId="0" applyAlignment="1" applyFont="1">
      <alignment readingOrder="0"/>
    </xf>
    <xf borderId="13" fillId="8" fontId="25" numFmtId="172" xfId="0" applyAlignment="1" applyBorder="1" applyFont="1" applyNumberFormat="1">
      <alignment readingOrder="0"/>
    </xf>
    <xf borderId="0" fillId="0" fontId="26" numFmtId="165" xfId="0" applyAlignment="1" applyFont="1" applyNumberFormat="1">
      <alignment readingOrder="0"/>
    </xf>
    <xf borderId="0" fillId="0" fontId="17" numFmtId="0" xfId="0" applyAlignment="1" applyFont="1">
      <alignment horizontal="left" readingOrder="0"/>
    </xf>
    <xf borderId="2" fillId="0" fontId="25" numFmtId="1" xfId="0" applyAlignment="1" applyBorder="1" applyFont="1" applyNumberFormat="1">
      <alignment readingOrder="0"/>
    </xf>
    <xf borderId="0" fillId="0" fontId="26" numFmtId="1" xfId="0" applyFont="1" applyNumberFormat="1"/>
    <xf borderId="0" fillId="0" fontId="17" numFmtId="0" xfId="0" applyAlignment="1" applyFont="1">
      <alignment horizontal="left"/>
    </xf>
    <xf borderId="2" fillId="0" fontId="25" numFmtId="9" xfId="0" applyBorder="1" applyFont="1" applyNumberFormat="1"/>
    <xf borderId="0" fillId="0" fontId="26" numFmtId="10" xfId="0" applyAlignment="1" applyFont="1" applyNumberFormat="1">
      <alignment readingOrder="0"/>
    </xf>
    <xf borderId="0" fillId="7" fontId="17" numFmtId="0" xfId="0" applyFont="1"/>
    <xf borderId="0" fillId="7" fontId="27" numFmtId="0" xfId="0" applyAlignment="1" applyFont="1">
      <alignment horizontal="left" readingOrder="0"/>
    </xf>
    <xf borderId="2" fillId="7" fontId="25" numFmtId="9" xfId="0" applyAlignment="1" applyBorder="1" applyFont="1" applyNumberFormat="1">
      <alignment readingOrder="0"/>
    </xf>
    <xf borderId="0" fillId="7" fontId="17" numFmtId="9" xfId="0" applyFont="1" applyNumberFormat="1"/>
    <xf borderId="0" fillId="7" fontId="28" numFmtId="0" xfId="0" applyAlignment="1" applyFont="1">
      <alignment horizontal="left" readingOrder="0"/>
    </xf>
    <xf borderId="2" fillId="7" fontId="17" numFmtId="0" xfId="0" applyBorder="1" applyFont="1"/>
    <xf borderId="6" fillId="10" fontId="29" numFmtId="0" xfId="0" applyAlignment="1" applyBorder="1" applyFont="1">
      <alignment horizontal="left" readingOrder="0"/>
    </xf>
    <xf borderId="13" fillId="10" fontId="17" numFmtId="0" xfId="0" applyBorder="1" applyFont="1"/>
    <xf borderId="6" fillId="8" fontId="20" numFmtId="0" xfId="0" applyBorder="1" applyFont="1"/>
    <xf borderId="9" fillId="8" fontId="20" numFmtId="0" xfId="0" applyBorder="1" applyFont="1"/>
    <xf borderId="13" fillId="7" fontId="25" numFmtId="9" xfId="0" applyAlignment="1" applyBorder="1" applyFont="1" applyNumberFormat="1">
      <alignment readingOrder="0"/>
    </xf>
    <xf borderId="11" fillId="8" fontId="20" numFmtId="0" xfId="0" applyBorder="1" applyFont="1"/>
    <xf borderId="0" fillId="7" fontId="26" numFmtId="9" xfId="0" applyAlignment="1" applyFont="1" applyNumberFormat="1">
      <alignment readingOrder="0"/>
    </xf>
    <xf borderId="6" fillId="8" fontId="20" numFmtId="0" xfId="0" applyAlignment="1" applyBorder="1" applyFont="1">
      <alignment horizontal="left" readingOrder="0"/>
    </xf>
    <xf borderId="2" fillId="0" fontId="17" numFmtId="0" xfId="0" applyBorder="1" applyFont="1"/>
    <xf borderId="6" fillId="5" fontId="30" numFmtId="0" xfId="0" applyAlignment="1" applyBorder="1" applyFont="1">
      <alignment horizontal="left"/>
    </xf>
    <xf borderId="6" fillId="5" fontId="17" numFmtId="0" xfId="0" applyBorder="1" applyFont="1"/>
    <xf borderId="9" fillId="5" fontId="17" numFmtId="0" xfId="0" applyBorder="1" applyFont="1"/>
    <xf borderId="13" fillId="5" fontId="17" numFmtId="0" xfId="0" applyBorder="1" applyFont="1"/>
    <xf borderId="11" fillId="5" fontId="17" numFmtId="0" xfId="0" applyBorder="1" applyFont="1"/>
    <xf borderId="0" fillId="5" fontId="17" numFmtId="0" xfId="0" applyFont="1"/>
    <xf borderId="13" fillId="8" fontId="31" numFmtId="165" xfId="0" applyAlignment="1" applyBorder="1" applyFont="1" applyNumberFormat="1">
      <alignment horizontal="right"/>
    </xf>
    <xf borderId="6" fillId="8" fontId="31" numFmtId="165" xfId="0" applyAlignment="1" applyBorder="1" applyFont="1" applyNumberFormat="1">
      <alignment horizontal="right"/>
    </xf>
    <xf borderId="13" fillId="8" fontId="17" numFmtId="1" xfId="0" applyAlignment="1" applyBorder="1" applyFont="1" applyNumberFormat="1">
      <alignment horizontal="right"/>
    </xf>
    <xf borderId="6" fillId="8" fontId="17" numFmtId="1" xfId="0" applyAlignment="1" applyBorder="1" applyFont="1" applyNumberFormat="1">
      <alignment horizontal="right"/>
    </xf>
    <xf borderId="13" fillId="8" fontId="17" numFmtId="167" xfId="0" applyAlignment="1" applyBorder="1" applyFont="1" applyNumberFormat="1">
      <alignment horizontal="right"/>
    </xf>
    <xf borderId="6" fillId="8" fontId="17" numFmtId="167" xfId="0" applyAlignment="1" applyBorder="1" applyFont="1" applyNumberFormat="1">
      <alignment horizontal="right"/>
    </xf>
    <xf borderId="13" fillId="8" fontId="25" numFmtId="9" xfId="0" applyAlignment="1" applyBorder="1" applyFont="1" applyNumberFormat="1">
      <alignment readingOrder="0"/>
    </xf>
    <xf borderId="6" fillId="8" fontId="17" numFmtId="9" xfId="0" applyAlignment="1" applyBorder="1" applyFont="1" applyNumberFormat="1">
      <alignment horizontal="right"/>
    </xf>
    <xf borderId="6" fillId="8" fontId="17" numFmtId="9" xfId="0" applyAlignment="1" applyBorder="1" applyFont="1" applyNumberFormat="1">
      <alignment horizontal="right" readingOrder="0"/>
    </xf>
    <xf borderId="2" fillId="0" fontId="25" numFmtId="165" xfId="0" applyAlignment="1" applyBorder="1" applyFont="1" applyNumberFormat="1">
      <alignment readingOrder="0"/>
    </xf>
    <xf borderId="0" fillId="0" fontId="17" numFmtId="169" xfId="0" applyAlignment="1" applyFont="1" applyNumberFormat="1">
      <alignment horizontal="right" readingOrder="0"/>
    </xf>
    <xf borderId="6" fillId="11" fontId="32" numFmtId="0" xfId="0" applyAlignment="1" applyBorder="1" applyFill="1" applyFont="1">
      <alignment horizontal="left"/>
    </xf>
    <xf borderId="6" fillId="11" fontId="17" numFmtId="0" xfId="0" applyBorder="1" applyFont="1"/>
    <xf borderId="9" fillId="11" fontId="17" numFmtId="0" xfId="0" applyBorder="1" applyFont="1"/>
    <xf borderId="13" fillId="11" fontId="17" numFmtId="0" xfId="0" applyBorder="1" applyFont="1"/>
    <xf borderId="11" fillId="11" fontId="17" numFmtId="0" xfId="0" applyBorder="1" applyFont="1"/>
    <xf borderId="13" fillId="8" fontId="17" numFmtId="173" xfId="0" applyAlignment="1" applyBorder="1" applyFont="1" applyNumberFormat="1">
      <alignment readingOrder="0"/>
    </xf>
    <xf borderId="6" fillId="8" fontId="17" numFmtId="173" xfId="0" applyAlignment="1" applyBorder="1" applyFont="1" applyNumberFormat="1">
      <alignment readingOrder="0"/>
    </xf>
    <xf borderId="13" fillId="7" fontId="17" numFmtId="3" xfId="0" applyAlignment="1" applyBorder="1" applyFont="1" applyNumberFormat="1">
      <alignment readingOrder="0"/>
    </xf>
    <xf borderId="6" fillId="7" fontId="17" numFmtId="3" xfId="0" applyAlignment="1" applyBorder="1" applyFont="1" applyNumberFormat="1">
      <alignment readingOrder="0"/>
    </xf>
    <xf borderId="6" fillId="8" fontId="17" numFmtId="9" xfId="0" applyAlignment="1" applyBorder="1" applyFont="1" applyNumberFormat="1">
      <alignment readingOrder="0"/>
    </xf>
    <xf borderId="0" fillId="0" fontId="17" numFmtId="9" xfId="0" applyAlignment="1" applyFont="1" applyNumberFormat="1">
      <alignment readingOrder="0"/>
    </xf>
    <xf borderId="2" fillId="7" fontId="25" numFmtId="0" xfId="0" applyAlignment="1" applyBorder="1" applyFont="1">
      <alignment readingOrder="0"/>
    </xf>
    <xf borderId="0" fillId="0" fontId="17" numFmtId="0" xfId="0" applyAlignment="1" applyFont="1">
      <alignment readingOrder="0"/>
    </xf>
    <xf borderId="13" fillId="7" fontId="25" numFmtId="165" xfId="0" applyAlignment="1" applyBorder="1" applyFont="1" applyNumberFormat="1">
      <alignment readingOrder="0"/>
    </xf>
    <xf borderId="6" fillId="8" fontId="17" numFmtId="165" xfId="0" applyAlignment="1" applyBorder="1" applyFont="1" applyNumberFormat="1">
      <alignment readingOrder="0"/>
    </xf>
    <xf borderId="13" fillId="8" fontId="17" numFmtId="0" xfId="0" applyBorder="1" applyFont="1"/>
    <xf borderId="6" fillId="8" fontId="17" numFmtId="171" xfId="0" applyAlignment="1" applyBorder="1" applyFont="1" applyNumberFormat="1">
      <alignment readingOrder="0"/>
    </xf>
    <xf borderId="2" fillId="7" fontId="25" numFmtId="165" xfId="0" applyAlignment="1" applyBorder="1" applyFont="1" applyNumberFormat="1">
      <alignment readingOrder="0"/>
    </xf>
    <xf borderId="6" fillId="10" fontId="33" numFmtId="0" xfId="0" applyAlignment="1" applyBorder="1" applyFont="1">
      <alignment horizontal="left"/>
    </xf>
    <xf borderId="6" fillId="10" fontId="34" numFmtId="0" xfId="0" applyBorder="1" applyFont="1"/>
    <xf borderId="9" fillId="10" fontId="34" numFmtId="0" xfId="0" applyBorder="1" applyFont="1"/>
    <xf borderId="14" fillId="10" fontId="34" numFmtId="0" xfId="0" applyBorder="1" applyFont="1"/>
    <xf borderId="11" fillId="10" fontId="34" numFmtId="0" xfId="0" applyBorder="1" applyFont="1"/>
    <xf borderId="0" fillId="10" fontId="34" numFmtId="0" xfId="0" applyFont="1"/>
    <xf borderId="0" fillId="0" fontId="35" numFmtId="0" xfId="0" applyAlignment="1" applyFont="1">
      <alignment vertical="center"/>
    </xf>
    <xf borderId="0" fillId="0" fontId="36" numFmtId="0" xfId="0" applyFont="1"/>
    <xf borderId="6" fillId="12" fontId="37" numFmtId="0" xfId="0" applyBorder="1" applyFill="1" applyFont="1"/>
    <xf borderId="0" fillId="0" fontId="38" numFmtId="0" xfId="0" applyAlignment="1" applyFont="1">
      <alignment horizontal="center"/>
    </xf>
    <xf borderId="15" fillId="12" fontId="39" numFmtId="0" xfId="0" applyAlignment="1" applyBorder="1" applyFont="1">
      <alignment horizontal="right"/>
    </xf>
    <xf borderId="6" fillId="12" fontId="40" numFmtId="170" xfId="0" applyAlignment="1" applyBorder="1" applyFont="1" applyNumberFormat="1">
      <alignment horizontal="center" readingOrder="0"/>
    </xf>
    <xf borderId="6" fillId="12" fontId="41" numFmtId="170" xfId="0" applyAlignment="1" applyBorder="1" applyFont="1" applyNumberFormat="1">
      <alignment horizontal="center"/>
    </xf>
    <xf borderId="0" fillId="0" fontId="42" numFmtId="0" xfId="0" applyAlignment="1" applyFont="1">
      <alignment horizontal="right"/>
    </xf>
    <xf borderId="0" fillId="0" fontId="42" numFmtId="165" xfId="0" applyAlignment="1" applyFont="1" applyNumberFormat="1">
      <alignment horizontal="center"/>
    </xf>
    <xf borderId="6" fillId="13" fontId="43" numFmtId="0" xfId="0" applyAlignment="1" applyBorder="1" applyFill="1" applyFont="1">
      <alignment horizontal="left" readingOrder="0"/>
    </xf>
    <xf borderId="6" fillId="13" fontId="44" numFmtId="165" xfId="0" applyAlignment="1" applyBorder="1" applyFont="1" applyNumberFormat="1">
      <alignment horizontal="center"/>
    </xf>
    <xf borderId="0" fillId="0" fontId="45" numFmtId="0" xfId="0" applyAlignment="1" applyFont="1">
      <alignment horizontal="left"/>
    </xf>
    <xf borderId="0" fillId="0" fontId="36" numFmtId="0" xfId="0" applyAlignment="1" applyFont="1">
      <alignment horizontal="left"/>
    </xf>
    <xf borderId="0" fillId="0" fontId="46" numFmtId="173" xfId="0" applyAlignment="1" applyFont="1" applyNumberFormat="1">
      <alignment horizontal="center"/>
    </xf>
    <xf borderId="0" fillId="0" fontId="46" numFmtId="173" xfId="0" applyAlignment="1" applyFont="1" applyNumberFormat="1">
      <alignment horizontal="center" readingOrder="0"/>
    </xf>
    <xf borderId="0" fillId="11" fontId="47" numFmtId="0" xfId="0" applyAlignment="1" applyFont="1">
      <alignment horizontal="left" readingOrder="0"/>
    </xf>
    <xf borderId="6" fillId="11" fontId="36" numFmtId="165" xfId="0" applyAlignment="1" applyBorder="1" applyFont="1" applyNumberFormat="1">
      <alignment horizontal="center"/>
    </xf>
    <xf borderId="0" fillId="0" fontId="36" numFmtId="0" xfId="0" applyAlignment="1" applyFont="1">
      <alignment horizontal="left" readingOrder="0"/>
    </xf>
    <xf borderId="6" fillId="11" fontId="46" numFmtId="173" xfId="0" applyAlignment="1" applyBorder="1" applyFont="1" applyNumberFormat="1">
      <alignment horizontal="center"/>
    </xf>
    <xf borderId="9" fillId="11" fontId="46" numFmtId="173" xfId="0" applyAlignment="1" applyBorder="1" applyFont="1" applyNumberFormat="1">
      <alignment horizontal="center"/>
    </xf>
    <xf borderId="7" fillId="7" fontId="46" numFmtId="173" xfId="0" applyAlignment="1" applyBorder="1" applyFont="1" applyNumberFormat="1">
      <alignment horizontal="center"/>
    </xf>
    <xf borderId="16" fillId="7" fontId="46" numFmtId="173" xfId="0" applyAlignment="1" applyBorder="1" applyFont="1" applyNumberFormat="1">
      <alignment horizontal="center"/>
    </xf>
    <xf borderId="3" fillId="0" fontId="36" numFmtId="0" xfId="0" applyAlignment="1" applyBorder="1" applyFont="1">
      <alignment horizontal="right" readingOrder="0"/>
    </xf>
    <xf borderId="3" fillId="0" fontId="36" numFmtId="173" xfId="0" applyAlignment="1" applyBorder="1" applyFont="1" applyNumberFormat="1">
      <alignment horizontal="center"/>
    </xf>
    <xf borderId="0" fillId="0" fontId="36" numFmtId="0" xfId="0" applyAlignment="1" applyFont="1">
      <alignment horizontal="right"/>
    </xf>
    <xf borderId="0" fillId="0" fontId="36" numFmtId="167" xfId="0" applyAlignment="1" applyFont="1" applyNumberFormat="1">
      <alignment horizontal="center"/>
    </xf>
    <xf borderId="6" fillId="12" fontId="37" numFmtId="0" xfId="0" applyAlignment="1" applyBorder="1" applyFont="1">
      <alignment readingOrder="0"/>
    </xf>
    <xf borderId="17" fillId="12" fontId="39" numFmtId="0" xfId="0" applyAlignment="1" applyBorder="1" applyFont="1">
      <alignment horizontal="right"/>
    </xf>
    <xf borderId="0" fillId="12" fontId="41" numFmtId="170" xfId="0" applyAlignment="1" applyFont="1" applyNumberFormat="1">
      <alignment horizontal="center"/>
    </xf>
    <xf borderId="6" fillId="14" fontId="48" numFmtId="0" xfId="0" applyBorder="1" applyFill="1" applyFont="1"/>
    <xf borderId="18" fillId="14" fontId="36" numFmtId="0" xfId="0" applyBorder="1" applyFont="1"/>
    <xf borderId="6" fillId="15" fontId="48" numFmtId="0" xfId="0" applyAlignment="1" applyBorder="1" applyFill="1" applyFont="1">
      <alignment horizontal="left" readingOrder="0"/>
    </xf>
    <xf borderId="6" fillId="15" fontId="48" numFmtId="165" xfId="0" applyAlignment="1" applyBorder="1" applyFont="1" applyNumberFormat="1">
      <alignment horizontal="center"/>
    </xf>
    <xf borderId="0" fillId="0" fontId="48" numFmtId="0" xfId="0" applyAlignment="1" applyFont="1">
      <alignment horizontal="left"/>
    </xf>
    <xf borderId="19" fillId="16" fontId="48" numFmtId="0" xfId="0" applyAlignment="1" applyBorder="1" applyFill="1" applyFont="1">
      <alignment horizontal="left" readingOrder="0"/>
    </xf>
    <xf borderId="19" fillId="16" fontId="48" numFmtId="1" xfId="0" applyAlignment="1" applyBorder="1" applyFont="1" applyNumberFormat="1">
      <alignment horizontal="center"/>
    </xf>
    <xf borderId="0" fillId="0" fontId="36" numFmtId="165" xfId="0" applyAlignment="1" applyFont="1" applyNumberFormat="1">
      <alignment horizontal="center"/>
    </xf>
    <xf borderId="6" fillId="9" fontId="48" numFmtId="0" xfId="0" applyAlignment="1" applyBorder="1" applyFont="1">
      <alignment horizontal="left"/>
    </xf>
    <xf borderId="6" fillId="9" fontId="48" numFmtId="1" xfId="0" applyAlignment="1" applyBorder="1" applyFont="1" applyNumberFormat="1">
      <alignment horizontal="center"/>
    </xf>
    <xf borderId="9" fillId="9" fontId="48" numFmtId="1" xfId="0" applyAlignment="1" applyBorder="1" applyFont="1" applyNumberFormat="1">
      <alignment horizontal="center"/>
    </xf>
    <xf borderId="6" fillId="14" fontId="48" numFmtId="0" xfId="0" applyAlignment="1" applyBorder="1" applyFont="1">
      <alignment readingOrder="0"/>
    </xf>
    <xf borderId="0" fillId="14" fontId="36" numFmtId="0" xfId="0" applyFont="1"/>
    <xf borderId="0" fillId="17" fontId="48" numFmtId="0" xfId="0" applyAlignment="1" applyFill="1" applyFont="1">
      <alignment readingOrder="0"/>
    </xf>
    <xf borderId="0" fillId="17" fontId="36" numFmtId="0" xfId="0" applyFont="1"/>
    <xf borderId="0" fillId="8" fontId="36" numFmtId="0" xfId="0" applyAlignment="1" applyFont="1">
      <alignment readingOrder="0"/>
    </xf>
    <xf borderId="0" fillId="8" fontId="36" numFmtId="0" xfId="0" applyFont="1"/>
    <xf borderId="0" fillId="8" fontId="36" numFmtId="1" xfId="0" applyFont="1" applyNumberFormat="1"/>
    <xf borderId="6" fillId="15" fontId="48" numFmtId="0" xfId="0" applyAlignment="1" applyBorder="1" applyFont="1">
      <alignment horizontal="left"/>
    </xf>
    <xf borderId="18" fillId="15" fontId="36" numFmtId="0" xfId="0" applyBorder="1" applyFont="1"/>
    <xf borderId="3" fillId="0" fontId="36" numFmtId="0" xfId="0" applyAlignment="1" applyBorder="1" applyFont="1">
      <alignment readingOrder="0"/>
    </xf>
    <xf borderId="3" fillId="0" fontId="36" numFmtId="1" xfId="0" applyBorder="1" applyFont="1" applyNumberFormat="1"/>
    <xf borderId="0" fillId="0" fontId="36" numFmtId="1" xfId="0" applyFont="1" applyNumberFormat="1"/>
    <xf borderId="0" fillId="0" fontId="36" numFmtId="0" xfId="0" applyAlignment="1" applyFont="1">
      <alignment readingOrder="0"/>
    </xf>
    <xf borderId="0" fillId="0" fontId="47" numFmtId="0" xfId="0" applyFont="1"/>
    <xf borderId="0" fillId="0" fontId="47" numFmtId="1" xfId="0" applyFont="1" applyNumberFormat="1"/>
    <xf borderId="0" fillId="0" fontId="47" numFmtId="1" xfId="0" applyAlignment="1" applyFont="1" applyNumberFormat="1">
      <alignment horizontal="right"/>
    </xf>
    <xf borderId="0" fillId="0" fontId="49" numFmtId="0" xfId="0" applyAlignment="1" applyFont="1">
      <alignment horizontal="left"/>
    </xf>
    <xf borderId="0" fillId="0" fontId="47" numFmtId="0" xfId="0" applyAlignment="1" applyFont="1">
      <alignment horizontal="left"/>
    </xf>
    <xf borderId="0" fillId="0" fontId="47" numFmtId="165" xfId="0" applyAlignment="1" applyFont="1" applyNumberFormat="1">
      <alignment horizontal="right"/>
    </xf>
    <xf borderId="0" fillId="0" fontId="36" numFmtId="1" xfId="0" applyAlignment="1" applyFont="1" applyNumberFormat="1">
      <alignment horizontal="right"/>
    </xf>
    <xf borderId="0" fillId="0" fontId="36" numFmtId="165" xfId="0" applyFont="1" applyNumberFormat="1"/>
    <xf borderId="0" fillId="7" fontId="48" numFmtId="0" xfId="0" applyAlignment="1" applyFont="1">
      <alignment horizontal="left"/>
    </xf>
    <xf borderId="0" fillId="7" fontId="36" numFmtId="0" xfId="0" applyFont="1"/>
    <xf borderId="0" fillId="0" fontId="36" numFmtId="167" xfId="0" applyFont="1" applyNumberFormat="1"/>
    <xf borderId="0" fillId="0" fontId="48" numFmtId="0" xfId="0" applyFont="1"/>
    <xf borderId="0" fillId="7" fontId="50" numFmtId="0" xfId="0" applyFont="1"/>
    <xf borderId="3" fillId="0" fontId="36" numFmtId="165" xfId="0" applyBorder="1" applyFont="1" applyNumberFormat="1"/>
    <xf borderId="3" fillId="0" fontId="48" numFmtId="0" xfId="0" applyBorder="1" applyFont="1"/>
    <xf borderId="3" fillId="0" fontId="48" numFmtId="165" xfId="0" applyBorder="1" applyFont="1" applyNumberFormat="1"/>
    <xf borderId="6" fillId="18" fontId="36" numFmtId="0" xfId="0" applyBorder="1" applyFill="1" applyFont="1"/>
    <xf borderId="18" fillId="18" fontId="46" numFmtId="9" xfId="0" applyAlignment="1" applyBorder="1" applyFont="1" applyNumberFormat="1">
      <alignment horizontal="right"/>
    </xf>
    <xf borderId="18" fillId="18" fontId="36" numFmtId="165" xfId="0" applyBorder="1" applyFont="1" applyNumberFormat="1"/>
    <xf borderId="19" fillId="18" fontId="36" numFmtId="0" xfId="0" applyBorder="1" applyFont="1"/>
    <xf borderId="20" fillId="18" fontId="36" numFmtId="165" xfId="0" applyBorder="1" applyFont="1" applyNumberFormat="1"/>
    <xf borderId="18" fillId="18" fontId="36" numFmtId="2" xfId="0" applyBorder="1" applyFont="1" applyNumberFormat="1"/>
    <xf borderId="18" fillId="18" fontId="36" numFmtId="0" xfId="0" applyBorder="1" applyFont="1"/>
    <xf borderId="6" fillId="18" fontId="48" numFmtId="0" xfId="0" applyBorder="1" applyFont="1"/>
    <xf borderId="6" fillId="14" fontId="36" numFmtId="0" xfId="0" applyBorder="1" applyFont="1"/>
    <xf borderId="6" fillId="19" fontId="48" numFmtId="0" xfId="0" applyBorder="1" applyFill="1" applyFont="1"/>
    <xf borderId="18" fillId="19" fontId="36" numFmtId="0" xfId="0" applyBorder="1" applyFont="1"/>
    <xf borderId="0" fillId="0" fontId="51" numFmtId="9" xfId="0" applyAlignment="1" applyFont="1" applyNumberFormat="1">
      <alignment horizontal="right" readingOrder="0"/>
    </xf>
    <xf borderId="0" fillId="0" fontId="36" numFmtId="165" xfId="0" applyAlignment="1" applyFont="1" applyNumberFormat="1">
      <alignment horizontal="right"/>
    </xf>
    <xf borderId="0" fillId="0" fontId="36" numFmtId="2" xfId="0" applyFont="1" applyNumberFormat="1"/>
    <xf borderId="0" fillId="0" fontId="36" numFmtId="166" xfId="0" applyFont="1" applyNumberFormat="1"/>
    <xf borderId="6" fillId="20" fontId="48" numFmtId="0" xfId="0" applyBorder="1" applyFill="1" applyFont="1"/>
    <xf borderId="6" fillId="20" fontId="36" numFmtId="0" xfId="0" applyBorder="1" applyFont="1"/>
    <xf borderId="9" fillId="20" fontId="36" numFmtId="0" xfId="0" applyBorder="1" applyFont="1"/>
    <xf borderId="0" fillId="0" fontId="52" numFmtId="0" xfId="0" applyFont="1"/>
    <xf borderId="6" fillId="21" fontId="53" numFmtId="0" xfId="0" applyBorder="1" applyFill="1" applyFont="1"/>
    <xf borderId="0" fillId="0" fontId="54" numFmtId="0" xfId="0" applyFont="1"/>
    <xf borderId="6" fillId="22" fontId="55" numFmtId="170" xfId="0" applyAlignment="1" applyBorder="1" applyFill="1" applyFont="1" applyNumberFormat="1">
      <alignment horizontal="center" vertical="center"/>
    </xf>
    <xf borderId="6" fillId="14" fontId="56" numFmtId="0" xfId="0" applyAlignment="1" applyBorder="1" applyFont="1">
      <alignment readingOrder="0"/>
    </xf>
    <xf borderId="6" fillId="14" fontId="54" numFmtId="0" xfId="0" applyBorder="1" applyFont="1"/>
    <xf borderId="0" fillId="0" fontId="54" numFmtId="0" xfId="0" applyAlignment="1" applyFont="1">
      <alignment readingOrder="0"/>
    </xf>
    <xf borderId="6" fillId="23" fontId="54" numFmtId="165" xfId="0" applyAlignment="1" applyBorder="1" applyFill="1" applyFont="1" applyNumberFormat="1">
      <alignment readingOrder="0"/>
    </xf>
    <xf borderId="6" fillId="23" fontId="54" numFmtId="0" xfId="0" applyBorder="1" applyFont="1"/>
    <xf borderId="19" fillId="9" fontId="56" numFmtId="0" xfId="0" applyBorder="1" applyFont="1"/>
    <xf borderId="19" fillId="23" fontId="56" numFmtId="171" xfId="0" applyBorder="1" applyFont="1" applyNumberFormat="1"/>
    <xf borderId="0" fillId="0" fontId="57" numFmtId="0" xfId="0" applyAlignment="1" applyFont="1">
      <alignment horizontal="left"/>
    </xf>
    <xf borderId="0" fillId="0" fontId="57" numFmtId="9" xfId="0" applyFont="1" applyNumberFormat="1"/>
    <xf borderId="6" fillId="23" fontId="54" numFmtId="171" xfId="0" applyBorder="1" applyFont="1" applyNumberFormat="1"/>
    <xf borderId="6" fillId="23" fontId="54" numFmtId="171" xfId="0" applyAlignment="1" applyBorder="1" applyFont="1" applyNumberFormat="1">
      <alignment readingOrder="0"/>
    </xf>
    <xf borderId="19" fillId="9" fontId="56" numFmtId="0" xfId="0" applyAlignment="1" applyBorder="1" applyFont="1">
      <alignment readingOrder="0"/>
    </xf>
    <xf borderId="6" fillId="9" fontId="56" numFmtId="171" xfId="0" applyBorder="1" applyFont="1" applyNumberFormat="1"/>
    <xf borderId="0" fillId="0" fontId="57" numFmtId="165" xfId="0" applyFont="1" applyNumberFormat="1"/>
    <xf borderId="0" fillId="0" fontId="57" numFmtId="0" xfId="0" applyFont="1"/>
    <xf borderId="3" fillId="0" fontId="58" numFmtId="0" xfId="0" applyBorder="1" applyFont="1"/>
    <xf borderId="3" fillId="0" fontId="58" numFmtId="166" xfId="0" applyBorder="1" applyFont="1" applyNumberFormat="1"/>
    <xf borderId="6" fillId="14" fontId="56" numFmtId="0" xfId="0" applyBorder="1" applyFont="1"/>
    <xf borderId="6" fillId="23" fontId="54" numFmtId="0" xfId="0" applyAlignment="1" applyBorder="1" applyFont="1">
      <alignment readingOrder="0"/>
    </xf>
    <xf borderId="19" fillId="9" fontId="56" numFmtId="171" xfId="0" applyBorder="1" applyFont="1" applyNumberFormat="1"/>
    <xf borderId="6" fillId="9" fontId="56" numFmtId="0" xfId="0" applyBorder="1" applyFont="1"/>
    <xf borderId="0" fillId="0" fontId="57" numFmtId="166" xfId="0" applyFont="1" applyNumberFormat="1"/>
    <xf borderId="19" fillId="20" fontId="56" numFmtId="0" xfId="0" applyBorder="1" applyFont="1"/>
    <xf borderId="19" fillId="20" fontId="58" numFmtId="9" xfId="0" applyBorder="1" applyFont="1" applyNumberFormat="1"/>
    <xf borderId="19" fillId="20" fontId="58" numFmtId="166" xfId="0" applyBorder="1" applyFont="1" applyNumberFormat="1"/>
    <xf borderId="0" fillId="0" fontId="54" numFmtId="9" xfId="0" applyFont="1" applyNumberFormat="1"/>
    <xf borderId="0" fillId="0" fontId="59" numFmtId="0" xfId="0" applyFont="1"/>
    <xf borderId="19" fillId="20" fontId="56" numFmtId="0" xfId="0" applyAlignment="1" applyBorder="1" applyFont="1">
      <alignment horizontal="left"/>
    </xf>
    <xf borderId="19" fillId="20" fontId="57" numFmtId="9" xfId="0" applyBorder="1" applyFont="1" applyNumberFormat="1"/>
    <xf borderId="19" fillId="20" fontId="57" numFmtId="0" xfId="0" applyBorder="1" applyFont="1"/>
    <xf borderId="0" fillId="0" fontId="60" numFmtId="0" xfId="0" applyFont="1"/>
    <xf borderId="0" fillId="0" fontId="48" numFmtId="174" xfId="0" applyFont="1" applyNumberFormat="1"/>
    <xf borderId="0" fillId="0" fontId="48" numFmtId="14" xfId="0" applyAlignment="1" applyFont="1" applyNumberFormat="1">
      <alignment horizontal="right" vertical="bottom"/>
    </xf>
    <xf borderId="0" fillId="0" fontId="48" numFmtId="174" xfId="0" applyAlignment="1" applyFont="1" applyNumberFormat="1">
      <alignment horizontal="right" vertical="bottom"/>
    </xf>
    <xf borderId="0" fillId="0" fontId="48" numFmtId="175" xfId="0" applyAlignment="1" applyFont="1" applyNumberFormat="1">
      <alignment horizontal="right" vertical="bottom"/>
    </xf>
    <xf borderId="0" fillId="0" fontId="36" numFmtId="176" xfId="0" applyFont="1" applyNumberFormat="1"/>
    <xf borderId="0" fillId="0" fontId="4" numFmtId="176" xfId="0" applyAlignment="1" applyFont="1" applyNumberFormat="1">
      <alignment horizontal="right"/>
    </xf>
    <xf borderId="0" fillId="0" fontId="4" numFmtId="165" xfId="0" applyAlignment="1" applyFont="1" applyNumberFormat="1">
      <alignment horizontal="right"/>
    </xf>
    <xf borderId="0" fillId="24" fontId="36" numFmtId="0" xfId="0" applyAlignment="1" applyFill="1" applyFont="1">
      <alignment horizontal="right" vertical="bottom"/>
    </xf>
    <xf borderId="0" fillId="0" fontId="36" numFmtId="0" xfId="0" applyAlignment="1" applyFont="1">
      <alignment horizontal="right" vertical="bottom"/>
    </xf>
    <xf borderId="0" fillId="0" fontId="36" numFmtId="0" xfId="0" applyAlignment="1" applyFont="1">
      <alignment horizontal="right" readingOrder="0" vertical="bottom"/>
    </xf>
    <xf borderId="0" fillId="0" fontId="36" numFmtId="0" xfId="0" applyAlignment="1" applyFont="1">
      <alignment horizontal="right" vertical="bottom"/>
    </xf>
    <xf borderId="0" fillId="24" fontId="36" numFmtId="0" xfId="0" applyAlignment="1" applyFont="1">
      <alignment horizontal="right" readingOrder="0" vertical="bottom"/>
    </xf>
    <xf borderId="0" fillId="0" fontId="36" numFmtId="0" xfId="0" applyAlignment="1" applyFont="1">
      <alignment vertical="bottom"/>
    </xf>
    <xf borderId="0" fillId="0" fontId="3" numFmtId="177" xfId="0" applyAlignment="1" applyFont="1" applyNumberFormat="1">
      <alignment readingOrder="0"/>
    </xf>
    <xf borderId="0" fillId="0" fontId="4" numFmtId="165" xfId="0" applyAlignment="1" applyFont="1" applyNumberFormat="1">
      <alignment horizontal="right" readingOrder="0" vertical="bottom"/>
    </xf>
    <xf borderId="0" fillId="24" fontId="36" numFmtId="0" xfId="0" applyAlignment="1" applyFont="1">
      <alignment horizontal="right" vertical="bottom"/>
    </xf>
    <xf borderId="0" fillId="0" fontId="48" numFmtId="0" xfId="0" applyAlignment="1" applyFont="1">
      <alignment vertical="bottom"/>
    </xf>
    <xf borderId="0" fillId="0" fontId="36" numFmtId="176" xfId="0" applyAlignment="1" applyFont="1" applyNumberFormat="1">
      <alignment horizontal="right" vertical="bottom"/>
    </xf>
    <xf borderId="0" fillId="0" fontId="4" numFmtId="176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6" fillId="25" fontId="61" numFmtId="0" xfId="0" applyBorder="1" applyFill="1" applyFont="1"/>
    <xf borderId="6" fillId="25" fontId="62" numFmtId="0" xfId="0" applyBorder="1" applyFont="1"/>
    <xf borderId="6" fillId="25" fontId="63" numFmtId="0" xfId="0" applyAlignment="1" applyBorder="1" applyFont="1">
      <alignment readingOrder="0"/>
    </xf>
    <xf borderId="6" fillId="25" fontId="64" numFmtId="0" xfId="0" applyBorder="1" applyFont="1"/>
    <xf borderId="6" fillId="25" fontId="65" numFmtId="0" xfId="0" applyBorder="1" applyFont="1"/>
    <xf borderId="0" fillId="0" fontId="65" numFmtId="0" xfId="0" applyFont="1"/>
    <xf borderId="0" fillId="0" fontId="66" numFmtId="0" xfId="0" applyFont="1"/>
    <xf borderId="21" fillId="25" fontId="67" numFmtId="0" xfId="0" applyAlignment="1" applyBorder="1" applyFont="1">
      <alignment horizontal="center" vertical="center"/>
    </xf>
    <xf borderId="22" fillId="0" fontId="68" numFmtId="0" xfId="0" applyBorder="1" applyFont="1"/>
    <xf borderId="23" fillId="0" fontId="68" numFmtId="0" xfId="0" applyBorder="1" applyFont="1"/>
    <xf borderId="0" fillId="25" fontId="67" numFmtId="0" xfId="0" applyAlignment="1" applyFont="1">
      <alignment horizontal="center" vertical="center"/>
    </xf>
    <xf borderId="24" fillId="25" fontId="67" numFmtId="0" xfId="0" applyAlignment="1" applyBorder="1" applyFont="1">
      <alignment horizontal="center" readingOrder="0" vertical="center"/>
    </xf>
    <xf borderId="3" fillId="0" fontId="68" numFmtId="0" xfId="0" applyBorder="1" applyFont="1"/>
    <xf borderId="25" fillId="0" fontId="68" numFmtId="0" xfId="0" applyBorder="1" applyFont="1"/>
    <xf borderId="1" fillId="0" fontId="69" numFmtId="9" xfId="0" applyAlignment="1" applyBorder="1" applyFont="1" applyNumberFormat="1">
      <alignment horizontal="center" readingOrder="0"/>
    </xf>
    <xf borderId="26" fillId="0" fontId="66" numFmtId="0" xfId="0" applyBorder="1" applyFont="1"/>
    <xf borderId="24" fillId="0" fontId="3" numFmtId="0" xfId="0" applyBorder="1" applyFont="1"/>
    <xf borderId="3" fillId="0" fontId="66" numFmtId="0" xfId="0" applyBorder="1" applyFont="1"/>
    <xf borderId="3" fillId="0" fontId="64" numFmtId="0" xfId="0" applyBorder="1" applyFont="1"/>
    <xf borderId="3" fillId="0" fontId="64" numFmtId="0" xfId="0" applyAlignment="1" applyBorder="1" applyFont="1">
      <alignment horizontal="right"/>
    </xf>
    <xf borderId="4" fillId="0" fontId="64" numFmtId="9" xfId="0" applyBorder="1" applyFont="1" applyNumberFormat="1"/>
    <xf borderId="0" fillId="0" fontId="64" numFmtId="9" xfId="0" applyFont="1" applyNumberFormat="1"/>
    <xf borderId="0" fillId="0" fontId="70" numFmtId="0" xfId="0" applyFont="1"/>
    <xf borderId="13" fillId="26" fontId="66" numFmtId="0" xfId="0" applyAlignment="1" applyBorder="1" applyFill="1" applyFont="1">
      <alignment horizontal="center" vertical="center"/>
    </xf>
    <xf borderId="0" fillId="0" fontId="66" numFmtId="0" xfId="0" applyAlignment="1" applyFont="1">
      <alignment vertical="center"/>
    </xf>
    <xf borderId="26" fillId="0" fontId="66" numFmtId="0" xfId="0" applyAlignment="1" applyBorder="1" applyFont="1">
      <alignment vertical="center"/>
    </xf>
    <xf borderId="27" fillId="0" fontId="3" numFmtId="0" xfId="0" applyBorder="1" applyFont="1"/>
    <xf borderId="5" fillId="0" fontId="66" numFmtId="0" xfId="0" applyBorder="1" applyFont="1"/>
    <xf borderId="5" fillId="0" fontId="64" numFmtId="0" xfId="0" applyAlignment="1" applyBorder="1" applyFont="1">
      <alignment horizontal="right"/>
    </xf>
    <xf borderId="28" fillId="0" fontId="64" numFmtId="9" xfId="0" applyBorder="1" applyFont="1" applyNumberFormat="1"/>
    <xf borderId="14" fillId="18" fontId="66" numFmtId="0" xfId="0" applyAlignment="1" applyBorder="1" applyFont="1">
      <alignment horizontal="center" vertical="center"/>
    </xf>
    <xf borderId="5" fillId="0" fontId="66" numFmtId="0" xfId="0" applyAlignment="1" applyBorder="1" applyFont="1">
      <alignment vertical="center"/>
    </xf>
    <xf borderId="28" fillId="0" fontId="66" numFmtId="0" xfId="0" applyAlignment="1" applyBorder="1" applyFont="1">
      <alignment vertical="center"/>
    </xf>
    <xf borderId="6" fillId="27" fontId="66" numFmtId="0" xfId="0" applyBorder="1" applyFill="1" applyFont="1"/>
    <xf borderId="9" fillId="27" fontId="70" numFmtId="0" xfId="0" applyAlignment="1" applyBorder="1" applyFont="1">
      <alignment horizontal="center"/>
    </xf>
    <xf borderId="18" fillId="0" fontId="68" numFmtId="0" xfId="0" applyBorder="1" applyFont="1"/>
    <xf borderId="11" fillId="0" fontId="68" numFmtId="0" xfId="0" applyBorder="1" applyFont="1"/>
    <xf borderId="18" fillId="27" fontId="70" numFmtId="0" xfId="0" applyAlignment="1" applyBorder="1" applyFont="1">
      <alignment horizontal="center"/>
    </xf>
    <xf borderId="0" fillId="0" fontId="66" numFmtId="0" xfId="0" applyAlignment="1" applyFont="1">
      <alignment readingOrder="0"/>
    </xf>
    <xf borderId="5" fillId="0" fontId="64" numFmtId="0" xfId="0" applyAlignment="1" applyBorder="1" applyFont="1">
      <alignment horizontal="center" shrinkToFit="0" wrapText="1"/>
    </xf>
    <xf borderId="5" fillId="0" fontId="64" numFmtId="0" xfId="0" applyAlignment="1" applyBorder="1" applyFont="1">
      <alignment horizontal="center"/>
    </xf>
    <xf borderId="5" fillId="0" fontId="64" numFmtId="0" xfId="0" applyAlignment="1" applyBorder="1" applyFont="1">
      <alignment horizontal="center" readingOrder="0" shrinkToFit="0" wrapText="1"/>
    </xf>
    <xf borderId="5" fillId="0" fontId="64" numFmtId="0" xfId="0" applyAlignment="1" applyBorder="1" applyFont="1">
      <alignment horizontal="center" readingOrder="0"/>
    </xf>
    <xf borderId="5" fillId="0" fontId="64" numFmtId="178" xfId="0" applyAlignment="1" applyBorder="1" applyFont="1" applyNumberFormat="1">
      <alignment horizontal="center"/>
    </xf>
    <xf borderId="5" fillId="0" fontId="64" numFmtId="178" xfId="0" applyAlignment="1" applyBorder="1" applyFont="1" applyNumberFormat="1">
      <alignment horizontal="center" readingOrder="0"/>
    </xf>
    <xf borderId="29" fillId="0" fontId="66" numFmtId="179" xfId="0" applyAlignment="1" applyBorder="1" applyFont="1" applyNumberFormat="1">
      <alignment horizontal="center"/>
    </xf>
    <xf borderId="29" fillId="0" fontId="66" numFmtId="180" xfId="0" applyAlignment="1" applyBorder="1" applyFont="1" applyNumberFormat="1">
      <alignment horizontal="center"/>
    </xf>
    <xf borderId="29" fillId="0" fontId="66" numFmtId="165" xfId="0" applyAlignment="1" applyBorder="1" applyFont="1" applyNumberFormat="1">
      <alignment horizontal="center"/>
    </xf>
    <xf borderId="29" fillId="0" fontId="66" numFmtId="49" xfId="0" applyAlignment="1" applyBorder="1" applyFont="1" applyNumberFormat="1">
      <alignment horizontal="center" readingOrder="0"/>
    </xf>
    <xf borderId="29" fillId="0" fontId="66" numFmtId="165" xfId="0" applyAlignment="1" applyBorder="1" applyFont="1" applyNumberFormat="1">
      <alignment horizontal="center" readingOrder="0"/>
    </xf>
    <xf borderId="30" fillId="0" fontId="71" numFmtId="0" xfId="0" applyAlignment="1" applyBorder="1" applyFont="1">
      <alignment horizontal="center" readingOrder="0"/>
    </xf>
    <xf borderId="30" fillId="0" fontId="66" numFmtId="0" xfId="0" applyBorder="1" applyFont="1"/>
    <xf borderId="30" fillId="0" fontId="64" numFmtId="0" xfId="0" applyAlignment="1" applyBorder="1" applyFont="1">
      <alignment readingOrder="0"/>
    </xf>
    <xf borderId="0" fillId="17" fontId="72" numFmtId="0" xfId="0" applyAlignment="1" applyFont="1">
      <alignment readingOrder="0" shrinkToFit="0" vertical="bottom" wrapText="1"/>
    </xf>
    <xf borderId="0" fillId="17" fontId="72" numFmtId="0" xfId="0" applyAlignment="1" applyFont="1">
      <alignment shrinkToFit="0" vertical="bottom" wrapText="1"/>
    </xf>
    <xf borderId="0" fillId="17" fontId="3" numFmtId="0" xfId="0" applyAlignment="1" applyFont="1">
      <alignment shrinkToFit="0" wrapText="1"/>
    </xf>
    <xf borderId="0" fillId="0" fontId="36" numFmtId="179" xfId="0" applyAlignment="1" applyFont="1" applyNumberFormat="1">
      <alignment vertical="bottom"/>
    </xf>
    <xf borderId="0" fillId="0" fontId="73" numFmtId="0" xfId="0" applyAlignment="1" applyFont="1">
      <alignment horizontal="right" readingOrder="0" vertical="bottom"/>
    </xf>
    <xf borderId="0" fillId="0" fontId="73" numFmtId="0" xfId="0" applyAlignment="1" applyFont="1">
      <alignment vertical="bottom"/>
    </xf>
    <xf borderId="0" fillId="0" fontId="73" numFmtId="181" xfId="0" applyAlignment="1" applyFont="1" applyNumberFormat="1">
      <alignment readingOrder="0" vertical="bottom"/>
    </xf>
    <xf borderId="0" fillId="0" fontId="73" numFmtId="0" xfId="0" applyAlignment="1" applyFont="1">
      <alignment readingOrder="0" vertical="bottom"/>
    </xf>
    <xf borderId="0" fillId="0" fontId="73" numFmtId="0" xfId="0" applyAlignment="1" applyFont="1">
      <alignment horizontal="right" vertical="bottom"/>
    </xf>
    <xf borderId="0" fillId="0" fontId="73" numFmtId="165" xfId="0" applyAlignment="1" applyFont="1" applyNumberFormat="1">
      <alignment horizontal="right" vertical="bottom"/>
    </xf>
    <xf borderId="0" fillId="0" fontId="73" numFmtId="182" xfId="0" applyAlignment="1" applyFont="1" applyNumberFormat="1">
      <alignment readingOrder="0" vertical="bottom"/>
    </xf>
    <xf borderId="0" fillId="0" fontId="73" numFmtId="165" xfId="0" applyAlignment="1" applyFont="1" applyNumberFormat="1">
      <alignment horizontal="right" readingOrder="0" vertical="bottom"/>
    </xf>
    <xf borderId="0" fillId="0" fontId="36" numFmtId="179" xfId="0" applyAlignment="1" applyFont="1" applyNumberFormat="1">
      <alignment shrinkToFit="0" vertical="bottom" wrapText="0"/>
    </xf>
    <xf borderId="0" fillId="0" fontId="36" numFmtId="179" xfId="0" applyAlignment="1" applyFont="1" applyNumberFormat="1">
      <alignment readingOrder="0" vertical="bottom"/>
    </xf>
    <xf borderId="0" fillId="0" fontId="3" numFmtId="0" xfId="0" applyAlignment="1" applyFont="1">
      <alignment readingOrder="0"/>
    </xf>
    <xf borderId="29" fillId="0" fontId="71" numFmtId="183" xfId="0" applyAlignment="1" applyBorder="1" applyFont="1" applyNumberFormat="1">
      <alignment horizontal="center"/>
    </xf>
    <xf borderId="29" fillId="0" fontId="71" numFmtId="165" xfId="0" applyAlignment="1" applyBorder="1" applyFont="1" applyNumberFormat="1">
      <alignment horizontal="center" readingOrder="0"/>
    </xf>
    <xf borderId="29" fillId="0" fontId="71" numFmtId="0" xfId="0" applyAlignment="1" applyBorder="1" applyFont="1">
      <alignment horizontal="center"/>
    </xf>
    <xf borderId="29" fillId="0" fontId="71" numFmtId="0" xfId="0" applyBorder="1" applyFont="1"/>
    <xf borderId="0" fillId="0" fontId="71" numFmtId="0" xfId="0" applyAlignment="1" applyFont="1">
      <alignment horizontal="right"/>
    </xf>
    <xf borderId="30" fillId="0" fontId="71" numFmtId="0" xfId="0" applyBorder="1" applyFont="1"/>
    <xf borderId="0" fillId="0" fontId="71" numFmtId="0" xfId="0" applyFont="1"/>
    <xf borderId="30" fillId="0" fontId="71" numFmtId="0" xfId="0" applyAlignment="1" applyBorder="1" applyFont="1">
      <alignment horizontal="center"/>
    </xf>
    <xf borderId="0" fillId="0" fontId="6" numFmtId="169" xfId="0" applyAlignment="1" applyFont="1" applyNumberFormat="1">
      <alignment readingOrder="0"/>
    </xf>
    <xf borderId="0" fillId="0" fontId="6" numFmtId="178" xfId="0" applyFont="1" applyNumberFormat="1"/>
    <xf borderId="0" fillId="0" fontId="3" numFmtId="0" xfId="0" applyFont="1"/>
    <xf borderId="0" fillId="0" fontId="3" numFmtId="14" xfId="0" applyFont="1" applyNumberFormat="1"/>
    <xf borderId="0" fillId="0" fontId="3" numFmtId="169" xfId="0" applyFont="1" applyNumberFormat="1"/>
  </cellXfs>
  <cellStyles count="1">
    <cellStyle xfId="0" name="Normal" builtinId="0"/>
  </cellStyles>
  <dxfs count="2">
    <dxf>
      <font>
        <color rgb="FFFF0845"/>
      </font>
      <fill>
        <patternFill patternType="solid">
          <fgColor rgb="FFFF0845"/>
          <bgColor rgb="FFFF0845"/>
        </patternFill>
      </fill>
      <border/>
    </dxf>
    <dxf>
      <font>
        <color rgb="FF00B050"/>
      </font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123825</xdr:colOff>
      <xdr:row>0</xdr:row>
      <xdr:rowOff>0</xdr:rowOff>
    </xdr:from>
    <xdr:ext cx="2533650" cy="704850"/>
    <xdr:pic>
      <xdr:nvPicPr>
        <xdr:cNvPr descr="Home | Stage 2 Capital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app.amplitude.com/analytics/rallyuxr/chart/o5w4lyo/edit/69zjz4ud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app.amplitude.com/analytics/rallyuxr/chart/o5w4lyo/edit/69zjz4ud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4.13"/>
    <col customWidth="1" min="2" max="2" width="10.63"/>
    <col customWidth="1" min="3" max="3" width="14.63"/>
    <col customWidth="1" min="4" max="26" width="10.63"/>
  </cols>
  <sheetData>
    <row r="1" ht="13.5" customHeight="1"/>
    <row r="2" ht="13.5" customHeight="1"/>
    <row r="3" ht="13.5" customHeight="1"/>
    <row r="4" ht="13.5" customHeight="1"/>
    <row r="5" ht="13.5" customHeight="1"/>
    <row r="6" ht="13.5" customHeight="1"/>
    <row r="7" ht="13.5" customHeight="1">
      <c r="A7" s="1" t="s">
        <v>0</v>
      </c>
    </row>
    <row r="8" ht="13.5" customHeight="1">
      <c r="B8" s="2" t="s">
        <v>1</v>
      </c>
      <c r="D8" s="3" t="s">
        <v>2</v>
      </c>
    </row>
    <row r="9" ht="13.5" customHeight="1">
      <c r="B9" s="4"/>
    </row>
    <row r="10" ht="13.5" customHeight="1">
      <c r="B10" s="4" t="s">
        <v>3</v>
      </c>
      <c r="D10" s="3" t="s">
        <v>4</v>
      </c>
    </row>
    <row r="11" ht="13.5" customHeight="1">
      <c r="D11" s="5" t="s">
        <v>5</v>
      </c>
    </row>
    <row r="12" ht="13.5" customHeight="1"/>
    <row r="13" ht="13.5" customHeight="1">
      <c r="B13" s="4" t="s">
        <v>6</v>
      </c>
      <c r="D13" s="5" t="s">
        <v>7</v>
      </c>
    </row>
    <row r="14" ht="13.5" customHeight="1">
      <c r="D14" s="5" t="s">
        <v>8</v>
      </c>
    </row>
    <row r="15" ht="13.5" customHeight="1">
      <c r="B15" s="6" t="s">
        <v>9</v>
      </c>
      <c r="D15" s="3" t="s">
        <v>10</v>
      </c>
    </row>
    <row r="16" ht="13.5" customHeight="1"/>
    <row r="17" ht="13.5" customHeight="1"/>
    <row r="18" ht="13.5" customHeight="1">
      <c r="A18" s="1" t="s">
        <v>11</v>
      </c>
      <c r="C18" s="5" t="s">
        <v>12</v>
      </c>
    </row>
    <row r="19" ht="13.5" customHeight="1">
      <c r="B19" s="7" t="s">
        <v>13</v>
      </c>
      <c r="C19" s="3" t="s">
        <v>14</v>
      </c>
    </row>
    <row r="20" ht="13.5" customHeight="1">
      <c r="B20" s="8" t="s">
        <v>15</v>
      </c>
      <c r="C20" s="9" t="s">
        <v>16</v>
      </c>
    </row>
    <row r="21" ht="13.5" customHeight="1">
      <c r="B21" s="10" t="s">
        <v>17</v>
      </c>
      <c r="C21" s="5" t="s">
        <v>18</v>
      </c>
    </row>
    <row r="22" ht="13.5" customHeight="1">
      <c r="B22" s="10" t="s">
        <v>19</v>
      </c>
      <c r="C22" s="9" t="s">
        <v>20</v>
      </c>
    </row>
    <row r="23" ht="13.5" customHeight="1">
      <c r="B23" s="10" t="s">
        <v>21</v>
      </c>
      <c r="C23" s="5" t="s">
        <v>22</v>
      </c>
    </row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0"/>
  <cols>
    <col customWidth="1" min="1" max="1" width="19.75"/>
  </cols>
  <sheetData>
    <row r="1">
      <c r="A1" s="11" t="s">
        <v>23</v>
      </c>
    </row>
    <row r="2">
      <c r="A2" s="12" t="s">
        <v>24</v>
      </c>
      <c r="O2" s="13">
        <v>2025.0</v>
      </c>
    </row>
    <row r="3">
      <c r="A3" s="14"/>
      <c r="B3" s="15">
        <v>45658.0</v>
      </c>
      <c r="C3" s="16">
        <f t="shared" ref="C3:M3" si="1">EDATE(B3,1)</f>
        <v>45689</v>
      </c>
      <c r="D3" s="16">
        <f t="shared" si="1"/>
        <v>45717</v>
      </c>
      <c r="E3" s="16">
        <f t="shared" si="1"/>
        <v>45748</v>
      </c>
      <c r="F3" s="16">
        <f t="shared" si="1"/>
        <v>45778</v>
      </c>
      <c r="G3" s="16">
        <f t="shared" si="1"/>
        <v>45809</v>
      </c>
      <c r="H3" s="16">
        <f t="shared" si="1"/>
        <v>45839</v>
      </c>
      <c r="I3" s="16">
        <f t="shared" si="1"/>
        <v>45870</v>
      </c>
      <c r="J3" s="16">
        <f t="shared" si="1"/>
        <v>45901</v>
      </c>
      <c r="K3" s="16">
        <f t="shared" si="1"/>
        <v>45931</v>
      </c>
      <c r="L3" s="16">
        <f t="shared" si="1"/>
        <v>45962</v>
      </c>
      <c r="M3" s="16">
        <f t="shared" si="1"/>
        <v>45992</v>
      </c>
      <c r="N3" s="17"/>
      <c r="O3" s="17" t="s">
        <v>25</v>
      </c>
      <c r="P3" s="17" t="s">
        <v>26</v>
      </c>
      <c r="Q3" s="17" t="s">
        <v>27</v>
      </c>
      <c r="R3" s="17" t="s">
        <v>28</v>
      </c>
      <c r="S3" s="18" t="s">
        <v>29</v>
      </c>
      <c r="T3" s="14"/>
      <c r="U3" s="14"/>
      <c r="V3" s="14"/>
      <c r="W3" s="14"/>
      <c r="X3" s="14"/>
      <c r="Y3" s="14"/>
      <c r="Z3" s="14"/>
    </row>
    <row r="4">
      <c r="A4" s="19" t="s">
        <v>30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</row>
    <row r="5">
      <c r="A5" s="22" t="s">
        <v>31</v>
      </c>
      <c r="B5" s="23">
        <v>0.0</v>
      </c>
      <c r="C5" s="24">
        <f t="shared" ref="C5:M5" si="2">B10</f>
        <v>63000</v>
      </c>
      <c r="D5" s="24">
        <f t="shared" si="2"/>
        <v>124740</v>
      </c>
      <c r="E5" s="24">
        <f t="shared" si="2"/>
        <v>185245.2</v>
      </c>
      <c r="F5" s="24">
        <f t="shared" si="2"/>
        <v>274540.296</v>
      </c>
      <c r="G5" s="24">
        <f t="shared" si="2"/>
        <v>362049.4901</v>
      </c>
      <c r="H5" s="24">
        <f t="shared" si="2"/>
        <v>447808.5003</v>
      </c>
      <c r="I5" s="24">
        <f t="shared" si="2"/>
        <v>571227.3303</v>
      </c>
      <c r="J5" s="24">
        <f t="shared" si="2"/>
        <v>725927.7837</v>
      </c>
      <c r="K5" s="24">
        <f t="shared" si="2"/>
        <v>894409.228</v>
      </c>
      <c r="L5" s="24">
        <f t="shared" si="2"/>
        <v>1098896.043</v>
      </c>
      <c r="M5" s="24">
        <f t="shared" si="2"/>
        <v>1321793.123</v>
      </c>
      <c r="N5" s="25"/>
      <c r="O5" s="25"/>
      <c r="P5" s="25"/>
      <c r="Q5" s="25"/>
      <c r="R5" s="24"/>
      <c r="S5" s="26"/>
    </row>
    <row r="6">
      <c r="A6" s="22" t="s">
        <v>32</v>
      </c>
      <c r="B6" s="27">
        <f>'GTM Bottoms up Model'!B30</f>
        <v>60000</v>
      </c>
      <c r="C6" s="27">
        <f>'GTM Bottoms up Model'!C30</f>
        <v>60000</v>
      </c>
      <c r="D6" s="27">
        <f>'GTM Bottoms up Model'!D30</f>
        <v>60000</v>
      </c>
      <c r="E6" s="27">
        <f>'GTM Bottoms up Model'!E30</f>
        <v>90000</v>
      </c>
      <c r="F6" s="27">
        <f>'GTM Bottoms up Model'!F30</f>
        <v>90000</v>
      </c>
      <c r="G6" s="27">
        <f>'GTM Bottoms up Model'!G30</f>
        <v>90000</v>
      </c>
      <c r="H6" s="27">
        <f>'GTM Bottoms up Model'!H30</f>
        <v>129375</v>
      </c>
      <c r="I6" s="27">
        <f>'GTM Bottoms up Model'!I30</f>
        <v>163125</v>
      </c>
      <c r="J6" s="27">
        <f>'GTM Bottoms up Model'!J30</f>
        <v>180000</v>
      </c>
      <c r="K6" s="27">
        <f>'GTM Bottoms up Model'!K30</f>
        <v>219375</v>
      </c>
      <c r="L6" s="27">
        <f>'GTM Bottoms up Model'!L30</f>
        <v>241875</v>
      </c>
      <c r="M6" s="27">
        <f>'GTM Bottoms up Model'!M30</f>
        <v>241875</v>
      </c>
      <c r="N6" s="25"/>
      <c r="O6" s="27">
        <f t="shared" ref="O6:O7" si="3">sum(B6:D6)</f>
        <v>180000</v>
      </c>
      <c r="P6" s="27">
        <f t="shared" ref="P6:P7" si="4">sum(E6:G6)</f>
        <v>270000</v>
      </c>
      <c r="Q6" s="27">
        <f t="shared" ref="Q6:Q7" si="5">sum(H6:J6)</f>
        <v>472500</v>
      </c>
      <c r="R6" s="24">
        <f t="shared" ref="R6:R7" si="6">sum(K6:M6)</f>
        <v>703125</v>
      </c>
      <c r="S6" s="28">
        <f t="shared" ref="S6:S7" si="7">sum(O6:R6)</f>
        <v>1625625</v>
      </c>
    </row>
    <row r="7">
      <c r="A7" s="22" t="s">
        <v>33</v>
      </c>
      <c r="B7" s="27">
        <f>'GTM Bottoms up Model'!B32</f>
        <v>6000</v>
      </c>
      <c r="C7" s="27">
        <f>'GTM Bottoms up Model'!C32</f>
        <v>6000</v>
      </c>
      <c r="D7" s="27">
        <f>'GTM Bottoms up Model'!D32</f>
        <v>6000</v>
      </c>
      <c r="E7" s="27">
        <f>'GTM Bottoms up Model'!E32</f>
        <v>6000</v>
      </c>
      <c r="F7" s="27">
        <f>'GTM Bottoms up Model'!F32</f>
        <v>6000</v>
      </c>
      <c r="G7" s="27">
        <f>'GTM Bottoms up Model'!G32</f>
        <v>6000</v>
      </c>
      <c r="H7" s="27">
        <f>'GTM Bottoms up Model'!H32</f>
        <v>6000</v>
      </c>
      <c r="I7" s="27">
        <f>'GTM Bottoms up Model'!I32</f>
        <v>6000</v>
      </c>
      <c r="J7" s="27">
        <f>'GTM Bottoms up Model'!J32</f>
        <v>6000</v>
      </c>
      <c r="K7" s="27">
        <f>'GTM Bottoms up Model'!K32</f>
        <v>6000</v>
      </c>
      <c r="L7" s="27">
        <f>'GTM Bottoms up Model'!L32</f>
        <v>6000</v>
      </c>
      <c r="M7" s="27">
        <f>'GTM Bottoms up Model'!M32</f>
        <v>6000</v>
      </c>
      <c r="N7" s="25"/>
      <c r="O7" s="27">
        <f t="shared" si="3"/>
        <v>18000</v>
      </c>
      <c r="P7" s="27">
        <f t="shared" si="4"/>
        <v>18000</v>
      </c>
      <c r="Q7" s="27">
        <f t="shared" si="5"/>
        <v>18000</v>
      </c>
      <c r="R7" s="24">
        <f t="shared" si="6"/>
        <v>18000</v>
      </c>
      <c r="S7" s="28">
        <f t="shared" si="7"/>
        <v>72000</v>
      </c>
    </row>
    <row r="8">
      <c r="A8" s="29" t="s">
        <v>34</v>
      </c>
      <c r="B8" s="30">
        <v>-3000.0</v>
      </c>
      <c r="C8" s="30">
        <v>-3000.0</v>
      </c>
      <c r="D8" s="30">
        <v>-3000.0</v>
      </c>
      <c r="E8" s="30">
        <v>-3000.0</v>
      </c>
      <c r="F8" s="30">
        <v>-3000.0</v>
      </c>
      <c r="G8" s="30">
        <v>-3000.0</v>
      </c>
      <c r="H8" s="30">
        <v>-3000.0</v>
      </c>
      <c r="I8" s="30">
        <v>-3000.0</v>
      </c>
      <c r="J8" s="30">
        <v>-3000.0</v>
      </c>
      <c r="K8" s="30">
        <v>-3000.0</v>
      </c>
      <c r="L8" s="30">
        <v>-3000.0</v>
      </c>
      <c r="M8" s="30">
        <v>-3000.0</v>
      </c>
      <c r="N8" s="31"/>
      <c r="O8" s="31"/>
      <c r="P8" s="31"/>
      <c r="Q8" s="31"/>
      <c r="R8" s="32"/>
      <c r="S8" s="33"/>
    </row>
    <row r="9">
      <c r="A9" s="22" t="s">
        <v>35</v>
      </c>
      <c r="B9" s="24">
        <f t="shared" ref="B9:M9" si="8">-sum(B5*0.02)</f>
        <v>0</v>
      </c>
      <c r="C9" s="24">
        <f t="shared" si="8"/>
        <v>-1260</v>
      </c>
      <c r="D9" s="24">
        <f t="shared" si="8"/>
        <v>-2494.8</v>
      </c>
      <c r="E9" s="24">
        <f t="shared" si="8"/>
        <v>-3704.904</v>
      </c>
      <c r="F9" s="24">
        <f t="shared" si="8"/>
        <v>-5490.80592</v>
      </c>
      <c r="G9" s="24">
        <f t="shared" si="8"/>
        <v>-7240.989802</v>
      </c>
      <c r="H9" s="24">
        <f t="shared" si="8"/>
        <v>-8956.170006</v>
      </c>
      <c r="I9" s="24">
        <f t="shared" si="8"/>
        <v>-11424.54661</v>
      </c>
      <c r="J9" s="24">
        <f t="shared" si="8"/>
        <v>-14518.55567</v>
      </c>
      <c r="K9" s="24">
        <f t="shared" si="8"/>
        <v>-17888.18456</v>
      </c>
      <c r="L9" s="24">
        <f t="shared" si="8"/>
        <v>-21977.92087</v>
      </c>
      <c r="M9" s="24">
        <f t="shared" si="8"/>
        <v>-26435.86245</v>
      </c>
      <c r="N9" s="31"/>
      <c r="O9" s="31"/>
      <c r="P9" s="31"/>
      <c r="Q9" s="31"/>
      <c r="R9" s="32"/>
      <c r="S9" s="33"/>
    </row>
    <row r="10">
      <c r="A10" s="34" t="s">
        <v>36</v>
      </c>
      <c r="B10" s="35">
        <f t="shared" ref="B10:M10" si="9">sum(B5:B9)</f>
        <v>63000</v>
      </c>
      <c r="C10" s="35">
        <f t="shared" si="9"/>
        <v>124740</v>
      </c>
      <c r="D10" s="35">
        <f t="shared" si="9"/>
        <v>185245.2</v>
      </c>
      <c r="E10" s="35">
        <f t="shared" si="9"/>
        <v>274540.296</v>
      </c>
      <c r="F10" s="35">
        <f t="shared" si="9"/>
        <v>362049.4901</v>
      </c>
      <c r="G10" s="35">
        <f t="shared" si="9"/>
        <v>447808.5003</v>
      </c>
      <c r="H10" s="35">
        <f t="shared" si="9"/>
        <v>571227.3303</v>
      </c>
      <c r="I10" s="35">
        <f t="shared" si="9"/>
        <v>725927.7837</v>
      </c>
      <c r="J10" s="35">
        <f t="shared" si="9"/>
        <v>894409.228</v>
      </c>
      <c r="K10" s="35">
        <f t="shared" si="9"/>
        <v>1098896.043</v>
      </c>
      <c r="L10" s="35">
        <f t="shared" si="9"/>
        <v>1321793.123</v>
      </c>
      <c r="M10" s="35">
        <f t="shared" si="9"/>
        <v>1540232.26</v>
      </c>
      <c r="N10" s="36"/>
      <c r="O10" s="35">
        <f t="shared" ref="O10:O11" si="10">sum(B10:D10)</f>
        <v>372985.2</v>
      </c>
      <c r="P10" s="35">
        <f t="shared" ref="P10:P11" si="11">sum(E10:G10)</f>
        <v>1084398.286</v>
      </c>
      <c r="Q10" s="35">
        <f t="shared" ref="Q10:Q11" si="12">sum(H10:J10)</f>
        <v>2191564.342</v>
      </c>
      <c r="R10" s="35">
        <f t="shared" ref="R10:R11" si="13">sum(K10:M10)</f>
        <v>3960921.426</v>
      </c>
      <c r="S10" s="37">
        <f t="shared" ref="S10:S11" si="14">sum(O10:R10)</f>
        <v>7609869.254</v>
      </c>
    </row>
    <row r="11">
      <c r="A11" s="38" t="s">
        <v>37</v>
      </c>
      <c r="B11" s="39">
        <f>'GTM Bottoms up Model'!B29</f>
        <v>4</v>
      </c>
      <c r="C11" s="39">
        <f>'GTM Bottoms up Model'!C29</f>
        <v>4</v>
      </c>
      <c r="D11" s="39">
        <f>'GTM Bottoms up Model'!D29</f>
        <v>4</v>
      </c>
      <c r="E11" s="39">
        <f>'GTM Bottoms up Model'!E29</f>
        <v>4</v>
      </c>
      <c r="F11" s="39">
        <f>'GTM Bottoms up Model'!F29</f>
        <v>4</v>
      </c>
      <c r="G11" s="39">
        <f>'GTM Bottoms up Model'!G29</f>
        <v>4</v>
      </c>
      <c r="H11" s="39">
        <f>'GTM Bottoms up Model'!H29</f>
        <v>5.75</v>
      </c>
      <c r="I11" s="39">
        <f>'GTM Bottoms up Model'!I29</f>
        <v>7.25</v>
      </c>
      <c r="J11" s="39">
        <f>'GTM Bottoms up Model'!J29</f>
        <v>8</v>
      </c>
      <c r="K11" s="39">
        <f>'GTM Bottoms up Model'!K29</f>
        <v>9.75</v>
      </c>
      <c r="L11" s="39">
        <f>'GTM Bottoms up Model'!L29</f>
        <v>10.75</v>
      </c>
      <c r="M11" s="39">
        <f>'GTM Bottoms up Model'!M29</f>
        <v>10.75</v>
      </c>
      <c r="N11" s="31"/>
      <c r="O11" s="39">
        <f t="shared" si="10"/>
        <v>12</v>
      </c>
      <c r="P11" s="39">
        <f t="shared" si="11"/>
        <v>12</v>
      </c>
      <c r="Q11" s="39">
        <f t="shared" si="12"/>
        <v>21</v>
      </c>
      <c r="R11" s="40">
        <f t="shared" si="13"/>
        <v>31.25</v>
      </c>
      <c r="S11" s="41">
        <f t="shared" si="14"/>
        <v>76.25</v>
      </c>
      <c r="T11" s="42"/>
      <c r="U11" s="42"/>
      <c r="V11" s="42"/>
      <c r="W11" s="42"/>
      <c r="X11" s="42"/>
      <c r="Y11" s="42"/>
      <c r="Z11" s="42"/>
    </row>
    <row r="12">
      <c r="A12" s="38" t="s">
        <v>38</v>
      </c>
      <c r="B12" s="43">
        <f>'GTM Bottoms up Model'!B123</f>
        <v>9.570412007</v>
      </c>
      <c r="C12" s="43">
        <f>'GTM Bottoms up Model'!C123</f>
        <v>9.570412007</v>
      </c>
      <c r="D12" s="43">
        <f>'GTM Bottoms up Model'!D123</f>
        <v>9.570412007</v>
      </c>
      <c r="E12" s="43">
        <f>'GTM Bottoms up Model'!E123</f>
        <v>10.74632492</v>
      </c>
      <c r="F12" s="43">
        <f>'GTM Bottoms up Model'!F123</f>
        <v>10.74632492</v>
      </c>
      <c r="G12" s="43">
        <f>'GTM Bottoms up Model'!G123</f>
        <v>12.04840825</v>
      </c>
      <c r="H12" s="43">
        <f>'GTM Bottoms up Model'!H123</f>
        <v>10.41222781</v>
      </c>
      <c r="I12" s="43">
        <f>'GTM Bottoms up Model'!I123</f>
        <v>8.349138426</v>
      </c>
      <c r="J12" s="43">
        <f>'GTM Bottoms up Model'!J123</f>
        <v>8.94244293</v>
      </c>
      <c r="K12" s="43">
        <f>'GTM Bottoms up Model'!K123</f>
        <v>7.39302288</v>
      </c>
      <c r="L12" s="43">
        <f>'GTM Bottoms up Model'!L123</f>
        <v>7.737223721</v>
      </c>
      <c r="M12" s="43">
        <f>'GTM Bottoms up Model'!M123</f>
        <v>7.737223721</v>
      </c>
      <c r="N12" s="25"/>
      <c r="O12" s="43">
        <f t="shared" ref="O12:O13" si="15">average(B12:D12)</f>
        <v>9.570412007</v>
      </c>
      <c r="P12" s="43">
        <f t="shared" ref="P12:P13" si="16">average(E12:G12)</f>
        <v>11.1803527</v>
      </c>
      <c r="Q12" s="43">
        <f t="shared" ref="Q12:Q13" si="17">average(H12:J12)</f>
        <v>9.234603054</v>
      </c>
      <c r="R12" s="43">
        <f t="shared" ref="R12:R13" si="18">average(K12:M12)</f>
        <v>7.622490107</v>
      </c>
      <c r="S12" s="26"/>
    </row>
    <row r="13">
      <c r="A13" s="44" t="s">
        <v>39</v>
      </c>
      <c r="B13" s="45">
        <f>'GTM Bottoms up Model'!B124</f>
        <v>0.6380274671</v>
      </c>
      <c r="C13" s="45">
        <f>'GTM Bottoms up Model'!C124</f>
        <v>0.6380274671</v>
      </c>
      <c r="D13" s="45">
        <f>'GTM Bottoms up Model'!D124</f>
        <v>0.6380274671</v>
      </c>
      <c r="E13" s="45">
        <f>'GTM Bottoms up Model'!E124</f>
        <v>0.7164216614</v>
      </c>
      <c r="F13" s="45">
        <f>'GTM Bottoms up Model'!F124</f>
        <v>0.7164216614</v>
      </c>
      <c r="G13" s="45">
        <f>'GTM Bottoms up Model'!G124</f>
        <v>0.803227217</v>
      </c>
      <c r="H13" s="45">
        <f>'GTM Bottoms up Model'!H124</f>
        <v>0.6941485204</v>
      </c>
      <c r="I13" s="45">
        <f>'GTM Bottoms up Model'!I124</f>
        <v>0.5566092284</v>
      </c>
      <c r="J13" s="45">
        <f>'GTM Bottoms up Model'!J124</f>
        <v>0.596162862</v>
      </c>
      <c r="K13" s="45">
        <f>'GTM Bottoms up Model'!K124</f>
        <v>0.492868192</v>
      </c>
      <c r="L13" s="45">
        <f>'GTM Bottoms up Model'!L124</f>
        <v>0.5158149147</v>
      </c>
      <c r="M13" s="45">
        <f>'GTM Bottoms up Model'!M124</f>
        <v>0.5158149147</v>
      </c>
      <c r="N13" s="46"/>
      <c r="O13" s="45">
        <f t="shared" si="15"/>
        <v>0.6380274671</v>
      </c>
      <c r="P13" s="45">
        <f t="shared" si="16"/>
        <v>0.7453568466</v>
      </c>
      <c r="Q13" s="45">
        <f t="shared" si="17"/>
        <v>0.6156402036</v>
      </c>
      <c r="R13" s="45">
        <f t="shared" si="18"/>
        <v>0.5081660071</v>
      </c>
      <c r="S13" s="47"/>
      <c r="T13" s="48"/>
      <c r="U13" s="48"/>
      <c r="V13" s="48"/>
      <c r="W13" s="48"/>
      <c r="X13" s="48"/>
      <c r="Y13" s="48"/>
      <c r="Z13" s="48"/>
    </row>
    <row r="14">
      <c r="A14" s="22"/>
      <c r="N14" s="25"/>
      <c r="O14" s="25"/>
      <c r="P14" s="25"/>
      <c r="Q14" s="25"/>
      <c r="R14" s="25"/>
      <c r="S14" s="26"/>
    </row>
    <row r="15">
      <c r="A15" s="49" t="s">
        <v>40</v>
      </c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1"/>
      <c r="O15" s="51"/>
      <c r="P15" s="51"/>
      <c r="Q15" s="51"/>
      <c r="R15" s="51"/>
      <c r="S15" s="52"/>
    </row>
    <row r="16">
      <c r="A16" s="22" t="s">
        <v>41</v>
      </c>
      <c r="B16" s="53">
        <f>'GTM Bottoms up Model'!B45</f>
        <v>2.250351617</v>
      </c>
      <c r="C16" s="53">
        <f>'GTM Bottoms up Model'!C45</f>
        <v>2.250351617</v>
      </c>
      <c r="D16" s="53">
        <f>'GTM Bottoms up Model'!D45</f>
        <v>2.250351617</v>
      </c>
      <c r="E16" s="53">
        <f>'GTM Bottoms up Model'!E45</f>
        <v>2.250351617</v>
      </c>
      <c r="F16" s="53">
        <f>'GTM Bottoms up Model'!F45</f>
        <v>2.250351617</v>
      </c>
      <c r="G16" s="53">
        <f>'GTM Bottoms up Model'!G45</f>
        <v>2.250351617</v>
      </c>
      <c r="H16" s="53">
        <f>'GTM Bottoms up Model'!H45</f>
        <v>3.23488045</v>
      </c>
      <c r="I16" s="53">
        <f>'GTM Bottoms up Model'!I45</f>
        <v>4.078762307</v>
      </c>
      <c r="J16" s="53">
        <f>'GTM Bottoms up Model'!J45</f>
        <v>4.500703235</v>
      </c>
      <c r="K16" s="53">
        <f>'GTM Bottoms up Model'!K45</f>
        <v>5.485232068</v>
      </c>
      <c r="L16" s="53">
        <f>'GTM Bottoms up Model'!L45</f>
        <v>6.047819972</v>
      </c>
      <c r="M16" s="53">
        <f>'GTM Bottoms up Model'!M45</f>
        <v>6.047819972</v>
      </c>
      <c r="N16" s="53"/>
      <c r="O16" s="53">
        <f t="shared" ref="O16:O19" si="19">sum(B16:D16)</f>
        <v>6.751054852</v>
      </c>
      <c r="P16" s="53">
        <f t="shared" ref="P16:P19" si="20">sum(E16:G16)</f>
        <v>6.751054852</v>
      </c>
      <c r="Q16" s="53">
        <f t="shared" ref="Q16:Q19" si="21">sum(H16:J16)</f>
        <v>11.81434599</v>
      </c>
      <c r="R16" s="53">
        <f t="shared" ref="R16:R19" si="22">sum(K16:M16)</f>
        <v>17.58087201</v>
      </c>
      <c r="S16" s="54">
        <f t="shared" ref="S16:S19" si="23">sum(O16:R16)</f>
        <v>42.89732771</v>
      </c>
    </row>
    <row r="17">
      <c r="A17" s="22" t="s">
        <v>42</v>
      </c>
      <c r="B17" s="53">
        <f>'GTM Bottoms up Model'!B59</f>
        <v>9.00140647</v>
      </c>
      <c r="C17" s="53">
        <f>'GTM Bottoms up Model'!C59</f>
        <v>9.00140647</v>
      </c>
      <c r="D17" s="53">
        <f>'GTM Bottoms up Model'!D59</f>
        <v>9.00140647</v>
      </c>
      <c r="E17" s="53">
        <f>'GTM Bottoms up Model'!E59</f>
        <v>9.00140647</v>
      </c>
      <c r="F17" s="53">
        <f>'GTM Bottoms up Model'!F59</f>
        <v>9.00140647</v>
      </c>
      <c r="G17" s="53">
        <f>'GTM Bottoms up Model'!G59</f>
        <v>9.00140647</v>
      </c>
      <c r="H17" s="53">
        <f>'GTM Bottoms up Model'!H59</f>
        <v>12.9395218</v>
      </c>
      <c r="I17" s="53">
        <f>'GTM Bottoms up Model'!I59</f>
        <v>16.31504923</v>
      </c>
      <c r="J17" s="53">
        <f>'GTM Bottoms up Model'!J59</f>
        <v>18.00281294</v>
      </c>
      <c r="K17" s="53">
        <f>'GTM Bottoms up Model'!K59</f>
        <v>21.94092827</v>
      </c>
      <c r="L17" s="53">
        <f>'GTM Bottoms up Model'!L59</f>
        <v>24.19127989</v>
      </c>
      <c r="M17" s="53">
        <f>'GTM Bottoms up Model'!M59</f>
        <v>24.19127989</v>
      </c>
      <c r="N17" s="25"/>
      <c r="O17" s="53">
        <f t="shared" si="19"/>
        <v>27.00421941</v>
      </c>
      <c r="P17" s="53">
        <f t="shared" si="20"/>
        <v>27.00421941</v>
      </c>
      <c r="Q17" s="53">
        <f t="shared" si="21"/>
        <v>47.25738397</v>
      </c>
      <c r="R17" s="53">
        <f t="shared" si="22"/>
        <v>70.32348805</v>
      </c>
      <c r="S17" s="54">
        <f t="shared" si="23"/>
        <v>171.5893108</v>
      </c>
    </row>
    <row r="18">
      <c r="A18" s="22" t="s">
        <v>43</v>
      </c>
      <c r="B18" s="53">
        <f>'GTM Bottoms up Model'!B70</f>
        <v>0</v>
      </c>
      <c r="C18" s="53">
        <f>'GTM Bottoms up Model'!C70</f>
        <v>0</v>
      </c>
      <c r="D18" s="53">
        <f>'GTM Bottoms up Model'!D70</f>
        <v>0</v>
      </c>
      <c r="E18" s="53">
        <f>'GTM Bottoms up Model'!E70</f>
        <v>0</v>
      </c>
      <c r="F18" s="53">
        <f>'GTM Bottoms up Model'!F70</f>
        <v>0</v>
      </c>
      <c r="G18" s="53">
        <f>'GTM Bottoms up Model'!G70</f>
        <v>0</v>
      </c>
      <c r="H18" s="53">
        <f>'GTM Bottoms up Model'!H70</f>
        <v>0</v>
      </c>
      <c r="I18" s="53">
        <f>'GTM Bottoms up Model'!I70</f>
        <v>0</v>
      </c>
      <c r="J18" s="53">
        <f>'GTM Bottoms up Model'!J70</f>
        <v>0</v>
      </c>
      <c r="K18" s="53">
        <f>'GTM Bottoms up Model'!K70</f>
        <v>0</v>
      </c>
      <c r="L18" s="53">
        <f>'GTM Bottoms up Model'!L70</f>
        <v>0</v>
      </c>
      <c r="M18" s="53">
        <f>'GTM Bottoms up Model'!M70</f>
        <v>0</v>
      </c>
      <c r="N18" s="25"/>
      <c r="O18" s="53">
        <f t="shared" si="19"/>
        <v>0</v>
      </c>
      <c r="P18" s="53">
        <f t="shared" si="20"/>
        <v>0</v>
      </c>
      <c r="Q18" s="53">
        <f t="shared" si="21"/>
        <v>0</v>
      </c>
      <c r="R18" s="53">
        <f t="shared" si="22"/>
        <v>0</v>
      </c>
      <c r="S18" s="54">
        <f t="shared" si="23"/>
        <v>0</v>
      </c>
    </row>
    <row r="19">
      <c r="A19" s="34" t="s">
        <v>36</v>
      </c>
      <c r="B19" s="55">
        <f t="shared" ref="B19:M19" si="24">sum(B16:B18)</f>
        <v>11.25175809</v>
      </c>
      <c r="C19" s="55">
        <f t="shared" si="24"/>
        <v>11.25175809</v>
      </c>
      <c r="D19" s="55">
        <f t="shared" si="24"/>
        <v>11.25175809</v>
      </c>
      <c r="E19" s="55">
        <f t="shared" si="24"/>
        <v>11.25175809</v>
      </c>
      <c r="F19" s="55">
        <f t="shared" si="24"/>
        <v>11.25175809</v>
      </c>
      <c r="G19" s="55">
        <f t="shared" si="24"/>
        <v>11.25175809</v>
      </c>
      <c r="H19" s="55">
        <f t="shared" si="24"/>
        <v>16.17440225</v>
      </c>
      <c r="I19" s="55">
        <f t="shared" si="24"/>
        <v>20.39381153</v>
      </c>
      <c r="J19" s="55">
        <f t="shared" si="24"/>
        <v>22.50351617</v>
      </c>
      <c r="K19" s="55">
        <f t="shared" si="24"/>
        <v>27.42616034</v>
      </c>
      <c r="L19" s="55">
        <f t="shared" si="24"/>
        <v>30.23909986</v>
      </c>
      <c r="M19" s="55">
        <f t="shared" si="24"/>
        <v>30.23909986</v>
      </c>
      <c r="N19" s="36"/>
      <c r="O19" s="55">
        <f t="shared" si="19"/>
        <v>33.75527426</v>
      </c>
      <c r="P19" s="55">
        <f t="shared" si="20"/>
        <v>33.75527426</v>
      </c>
      <c r="Q19" s="55">
        <f t="shared" si="21"/>
        <v>59.07172996</v>
      </c>
      <c r="R19" s="55">
        <f t="shared" si="22"/>
        <v>87.90436006</v>
      </c>
      <c r="S19" s="56">
        <f t="shared" si="23"/>
        <v>214.4866385</v>
      </c>
    </row>
    <row r="20">
      <c r="A20" s="25"/>
      <c r="N20" s="25"/>
      <c r="O20" s="25"/>
      <c r="P20" s="25"/>
      <c r="Q20" s="25"/>
      <c r="R20" s="25"/>
      <c r="S20" s="26"/>
    </row>
    <row r="21">
      <c r="A21" s="57" t="s">
        <v>44</v>
      </c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8"/>
      <c r="N21" s="51"/>
      <c r="O21" s="51"/>
      <c r="P21" s="51"/>
      <c r="Q21" s="51"/>
      <c r="R21" s="51"/>
      <c r="S21" s="52"/>
    </row>
    <row r="22">
      <c r="A22" s="22" t="s">
        <v>45</v>
      </c>
      <c r="B22" s="53">
        <f>'GTM Bottoms up Model'!B126</f>
        <v>5.625879044</v>
      </c>
      <c r="C22" s="53">
        <f>'GTM Bottoms up Model'!C126</f>
        <v>5.625879044</v>
      </c>
      <c r="D22" s="53">
        <f>'GTM Bottoms up Model'!D126</f>
        <v>5.625879044</v>
      </c>
      <c r="E22" s="53">
        <f>'GTM Bottoms up Model'!E126</f>
        <v>5.625879044</v>
      </c>
      <c r="F22" s="53">
        <f>'GTM Bottoms up Model'!F126</f>
        <v>5.625879044</v>
      </c>
      <c r="G22" s="53">
        <f>'GTM Bottoms up Model'!G126</f>
        <v>5.625879044</v>
      </c>
      <c r="H22" s="53">
        <f>'GTM Bottoms up Model'!H126</f>
        <v>5.391467417</v>
      </c>
      <c r="I22" s="53">
        <f>'GTM Bottoms up Model'!I126</f>
        <v>6.797937178</v>
      </c>
      <c r="J22" s="53">
        <f>'GTM Bottoms up Model'!J126</f>
        <v>5.625879044</v>
      </c>
      <c r="K22" s="53">
        <f>'GTM Bottoms up Model'!K126</f>
        <v>6.856540084</v>
      </c>
      <c r="L22" s="53">
        <f>'GTM Bottoms up Model'!L126</f>
        <v>6.047819972</v>
      </c>
      <c r="M22" s="53">
        <f>'GTM Bottoms up Model'!M126</f>
        <v>6.047819972</v>
      </c>
      <c r="N22" s="25"/>
      <c r="O22" s="53">
        <f t="shared" ref="O22:O25" si="25">average(B22:D22)</f>
        <v>5.625879044</v>
      </c>
      <c r="P22" s="53">
        <f t="shared" ref="P22:P25" si="26">average(E22:G22)</f>
        <v>5.625879044</v>
      </c>
      <c r="Q22" s="53">
        <f t="shared" ref="Q22:Q25" si="27">average(H22:J22)</f>
        <v>5.938427879</v>
      </c>
      <c r="R22" s="53">
        <f t="shared" ref="R22:R25" si="28">average(K22:M22)</f>
        <v>6.317393343</v>
      </c>
      <c r="S22" s="54">
        <f t="shared" ref="S22:S25" si="29">average(O22:R22)</f>
        <v>5.876894827</v>
      </c>
    </row>
    <row r="23">
      <c r="A23" s="22" t="s">
        <v>46</v>
      </c>
      <c r="B23" s="59">
        <f>'GTM Bottoms up Model'!B127</f>
        <v>2</v>
      </c>
      <c r="C23" s="59">
        <f>'GTM Bottoms up Model'!C127</f>
        <v>2</v>
      </c>
      <c r="D23" s="59">
        <f>'GTM Bottoms up Model'!D127</f>
        <v>2</v>
      </c>
      <c r="E23" s="59">
        <f>'GTM Bottoms up Model'!E127</f>
        <v>2</v>
      </c>
      <c r="F23" s="59">
        <f>'GTM Bottoms up Model'!F127</f>
        <v>2</v>
      </c>
      <c r="G23" s="59">
        <f>'GTM Bottoms up Model'!G127</f>
        <v>2</v>
      </c>
      <c r="H23" s="59">
        <f>'GTM Bottoms up Model'!H127</f>
        <v>2.5</v>
      </c>
      <c r="I23" s="59">
        <f>'GTM Bottoms up Model'!I127</f>
        <v>2.5</v>
      </c>
      <c r="J23" s="59">
        <f>'GTM Bottoms up Model'!J127</f>
        <v>2.5</v>
      </c>
      <c r="K23" s="59">
        <f>'GTM Bottoms up Model'!K127</f>
        <v>2.5</v>
      </c>
      <c r="L23" s="59">
        <f>'GTM Bottoms up Model'!L127</f>
        <v>2.5</v>
      </c>
      <c r="M23" s="59">
        <f>'GTM Bottoms up Model'!M127</f>
        <v>2.5</v>
      </c>
      <c r="N23" s="25"/>
      <c r="O23" s="59">
        <f t="shared" si="25"/>
        <v>2</v>
      </c>
      <c r="P23" s="59">
        <f t="shared" si="26"/>
        <v>2</v>
      </c>
      <c r="Q23" s="59">
        <f t="shared" si="27"/>
        <v>2.5</v>
      </c>
      <c r="R23" s="59">
        <f t="shared" si="28"/>
        <v>2.5</v>
      </c>
      <c r="S23" s="60">
        <f t="shared" si="29"/>
        <v>2.25</v>
      </c>
    </row>
    <row r="24">
      <c r="A24" s="22" t="s">
        <v>21</v>
      </c>
      <c r="B24" s="27">
        <f>'GTM Bottoms up Model'!B128</f>
        <v>15000</v>
      </c>
      <c r="C24" s="27">
        <f>'GTM Bottoms up Model'!C128</f>
        <v>15000</v>
      </c>
      <c r="D24" s="27">
        <f>'GTM Bottoms up Model'!D128</f>
        <v>15000</v>
      </c>
      <c r="E24" s="27">
        <f>'GTM Bottoms up Model'!E128</f>
        <v>22500</v>
      </c>
      <c r="F24" s="27">
        <f>'GTM Bottoms up Model'!F128</f>
        <v>22500</v>
      </c>
      <c r="G24" s="27">
        <f>'GTM Bottoms up Model'!G128</f>
        <v>22500</v>
      </c>
      <c r="H24" s="27">
        <f>'GTM Bottoms up Model'!H128</f>
        <v>22500</v>
      </c>
      <c r="I24" s="27">
        <f>'GTM Bottoms up Model'!I128</f>
        <v>22500</v>
      </c>
      <c r="J24" s="27">
        <f>'GTM Bottoms up Model'!J128</f>
        <v>22500</v>
      </c>
      <c r="K24" s="27">
        <f>'GTM Bottoms up Model'!K128</f>
        <v>22500</v>
      </c>
      <c r="L24" s="27">
        <f>'GTM Bottoms up Model'!L128</f>
        <v>22500</v>
      </c>
      <c r="M24" s="27">
        <f>'GTM Bottoms up Model'!M128</f>
        <v>22500</v>
      </c>
      <c r="N24" s="25"/>
      <c r="O24" s="27">
        <f t="shared" si="25"/>
        <v>15000</v>
      </c>
      <c r="P24" s="27">
        <f t="shared" si="26"/>
        <v>22500</v>
      </c>
      <c r="Q24" s="27">
        <f t="shared" si="27"/>
        <v>22500</v>
      </c>
      <c r="R24" s="27">
        <f t="shared" si="28"/>
        <v>22500</v>
      </c>
      <c r="S24" s="28">
        <f t="shared" si="29"/>
        <v>20625</v>
      </c>
    </row>
    <row r="25">
      <c r="A25" s="22" t="s">
        <v>47</v>
      </c>
      <c r="B25" s="27">
        <f>'GTM Bottoms up Model'!B130</f>
        <v>10527.45321</v>
      </c>
      <c r="C25" s="27">
        <f>'GTM Bottoms up Model'!C130</f>
        <v>10527.45321</v>
      </c>
      <c r="D25" s="27">
        <f>'GTM Bottoms up Model'!D130</f>
        <v>10527.45321</v>
      </c>
      <c r="E25" s="27">
        <f>'GTM Bottoms up Model'!E130</f>
        <v>17194.11987</v>
      </c>
      <c r="F25" s="27">
        <f>'GTM Bottoms up Model'!F130</f>
        <v>17194.11987</v>
      </c>
      <c r="G25" s="27">
        <f>'GTM Bottoms up Model'!G130</f>
        <v>19277.45321</v>
      </c>
      <c r="H25" s="27">
        <f>'GTM Bottoms up Model'!H130</f>
        <v>16342.6706</v>
      </c>
      <c r="I25" s="27">
        <f>'GTM Bottoms up Model'!I130</f>
        <v>12984.34976</v>
      </c>
      <c r="J25" s="27">
        <f>'GTM Bottoms up Model'!J130</f>
        <v>13860.78654</v>
      </c>
      <c r="K25" s="27">
        <f>'GTM Bottoms up Model'!K130</f>
        <v>11392.83782</v>
      </c>
      <c r="L25" s="27">
        <f>'GTM Bottoms up Model'!L130</f>
        <v>11893.73228</v>
      </c>
      <c r="M25" s="27">
        <f>'GTM Bottoms up Model'!M130</f>
        <v>11893.73228</v>
      </c>
      <c r="N25" s="25"/>
      <c r="O25" s="27">
        <f t="shared" si="25"/>
        <v>10527.45321</v>
      </c>
      <c r="P25" s="27">
        <f t="shared" si="26"/>
        <v>17888.56432</v>
      </c>
      <c r="Q25" s="27">
        <f t="shared" si="27"/>
        <v>14395.93563</v>
      </c>
      <c r="R25" s="27">
        <f t="shared" si="28"/>
        <v>11726.76746</v>
      </c>
      <c r="S25" s="28">
        <f t="shared" si="29"/>
        <v>13634.68015</v>
      </c>
    </row>
    <row r="26">
      <c r="A26" s="38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6"/>
    </row>
    <row r="27">
      <c r="A27" s="57" t="s">
        <v>48</v>
      </c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2"/>
    </row>
    <row r="28">
      <c r="A28" s="22" t="s">
        <v>49</v>
      </c>
      <c r="B28" s="25">
        <f>ROUNDUP('GTM Bottoms up Model'!B19,0)</f>
        <v>2</v>
      </c>
      <c r="C28" s="25">
        <f>ROUNDUP('GTM Bottoms up Model'!C19,0)</f>
        <v>2</v>
      </c>
      <c r="D28" s="25">
        <f>ROUNDUP('GTM Bottoms up Model'!D19,0)</f>
        <v>2</v>
      </c>
      <c r="E28" s="22">
        <v>1.0</v>
      </c>
      <c r="F28" s="25">
        <f>ROUNDUP('GTM Bottoms up Model'!F19,0)</f>
        <v>2</v>
      </c>
      <c r="G28" s="25">
        <f>ROUNDUP('GTM Bottoms up Model'!G19,0)</f>
        <v>2</v>
      </c>
      <c r="H28" s="25">
        <f>ROUNDUP('GTM Bottoms up Model'!H19,0)</f>
        <v>3</v>
      </c>
      <c r="I28" s="25">
        <f>ROUNDUP('GTM Bottoms up Model'!I19,0)</f>
        <v>3</v>
      </c>
      <c r="J28" s="25">
        <f>ROUNDUP('GTM Bottoms up Model'!J19,0)</f>
        <v>4</v>
      </c>
      <c r="K28" s="25">
        <f>ROUNDUP('GTM Bottoms up Model'!K19,0)</f>
        <v>4</v>
      </c>
      <c r="L28" s="25">
        <f>ROUNDUP('GTM Bottoms up Model'!L19,0)</f>
        <v>5</v>
      </c>
      <c r="M28" s="25">
        <f>ROUNDUP('GTM Bottoms up Model'!M19,0)</f>
        <v>5</v>
      </c>
      <c r="N28" s="25"/>
      <c r="O28" s="25">
        <f t="shared" ref="O28:O31" si="30">D28</f>
        <v>2</v>
      </c>
      <c r="P28" s="25">
        <f t="shared" ref="P28:P31" si="31">G28</f>
        <v>2</v>
      </c>
      <c r="Q28" s="25">
        <f t="shared" ref="Q28:Q31" si="32">J28</f>
        <v>4</v>
      </c>
      <c r="R28" s="25">
        <f t="shared" ref="R28:R31" si="33">M28</f>
        <v>5</v>
      </c>
      <c r="S28" s="26">
        <f t="shared" ref="S28:S31" si="34">R28</f>
        <v>5</v>
      </c>
    </row>
    <row r="29">
      <c r="A29" s="22" t="s">
        <v>50</v>
      </c>
      <c r="B29" s="25">
        <f>ROUNDUP('GTM Bottoms up Model'!B20,0)</f>
        <v>1</v>
      </c>
      <c r="C29" s="25">
        <f>ROUNDUP('GTM Bottoms up Model'!C20,0)</f>
        <v>1</v>
      </c>
      <c r="D29" s="25">
        <f>ROUNDUP('GTM Bottoms up Model'!D20,0)</f>
        <v>1</v>
      </c>
      <c r="E29" s="25">
        <f>ROUNDUP('GTM Bottoms up Model'!E20,0)</f>
        <v>1</v>
      </c>
      <c r="F29" s="25">
        <f>ROUNDUP('GTM Bottoms up Model'!F20,0)</f>
        <v>1</v>
      </c>
      <c r="G29" s="25">
        <f>ROUNDUP('GTM Bottoms up Model'!G20,0)</f>
        <v>1</v>
      </c>
      <c r="H29" s="25">
        <f>ROUNDUP('GTM Bottoms up Model'!H20,0)</f>
        <v>1</v>
      </c>
      <c r="I29" s="25">
        <f>ROUNDUP('GTM Bottoms up Model'!I20,0)</f>
        <v>1</v>
      </c>
      <c r="J29" s="25">
        <f>ROUNDUP('GTM Bottoms up Model'!J20,0)</f>
        <v>1</v>
      </c>
      <c r="K29" s="25">
        <f>ROUNDUP('GTM Bottoms up Model'!K20,0)</f>
        <v>1</v>
      </c>
      <c r="L29" s="25">
        <f>ROUNDUP('GTM Bottoms up Model'!L20,0)</f>
        <v>1</v>
      </c>
      <c r="M29" s="25">
        <f>ROUNDUP('GTM Bottoms up Model'!M20,0)</f>
        <v>1</v>
      </c>
      <c r="N29" s="25"/>
      <c r="O29" s="25">
        <f t="shared" si="30"/>
        <v>1</v>
      </c>
      <c r="P29" s="25">
        <f t="shared" si="31"/>
        <v>1</v>
      </c>
      <c r="Q29" s="25">
        <f t="shared" si="32"/>
        <v>1</v>
      </c>
      <c r="R29" s="25">
        <f t="shared" si="33"/>
        <v>1</v>
      </c>
      <c r="S29" s="26">
        <f t="shared" si="34"/>
        <v>1</v>
      </c>
    </row>
    <row r="30">
      <c r="A30" s="22" t="s">
        <v>51</v>
      </c>
      <c r="B30" s="25">
        <f>ROUNDUP('GTM Bottoms up Model'!B21,0)</f>
        <v>1</v>
      </c>
      <c r="C30" s="25">
        <f>ROUNDUP('GTM Bottoms up Model'!C21,0)</f>
        <v>1</v>
      </c>
      <c r="D30" s="25">
        <f>ROUNDUP('GTM Bottoms up Model'!D21,0)</f>
        <v>1</v>
      </c>
      <c r="E30" s="25">
        <f>ROUNDUP('GTM Bottoms up Model'!E21,0)</f>
        <v>1</v>
      </c>
      <c r="F30" s="25">
        <f>ROUNDUP('GTM Bottoms up Model'!F21,0)</f>
        <v>1</v>
      </c>
      <c r="G30" s="25">
        <f>ROUNDUP('GTM Bottoms up Model'!G21,0)</f>
        <v>2</v>
      </c>
      <c r="H30" s="25">
        <f>ROUNDUP('GTM Bottoms up Model'!H21,0)</f>
        <v>2</v>
      </c>
      <c r="I30" s="25">
        <f>ROUNDUP('GTM Bottoms up Model'!I21,0)</f>
        <v>2</v>
      </c>
      <c r="J30" s="25">
        <f>ROUNDUP('GTM Bottoms up Model'!J21,0)</f>
        <v>2</v>
      </c>
      <c r="K30" s="25">
        <f>ROUNDUP('GTM Bottoms up Model'!K21,0)</f>
        <v>2</v>
      </c>
      <c r="L30" s="25">
        <f>ROUNDUP('GTM Bottoms up Model'!L21,0)</f>
        <v>2</v>
      </c>
      <c r="M30" s="25">
        <f>ROUNDUP('GTM Bottoms up Model'!M21,0)</f>
        <v>2</v>
      </c>
      <c r="N30" s="25"/>
      <c r="O30" s="25">
        <f t="shared" si="30"/>
        <v>1</v>
      </c>
      <c r="P30" s="25">
        <f t="shared" si="31"/>
        <v>2</v>
      </c>
      <c r="Q30" s="25">
        <f t="shared" si="32"/>
        <v>2</v>
      </c>
      <c r="R30" s="25">
        <f t="shared" si="33"/>
        <v>2</v>
      </c>
      <c r="S30" s="26">
        <f t="shared" si="34"/>
        <v>2</v>
      </c>
    </row>
    <row r="31">
      <c r="A31" s="34" t="s">
        <v>36</v>
      </c>
      <c r="B31" s="36">
        <f t="shared" ref="B31:M31" si="35">sum(B28:B30)</f>
        <v>4</v>
      </c>
      <c r="C31" s="36">
        <f t="shared" si="35"/>
        <v>4</v>
      </c>
      <c r="D31" s="36">
        <f t="shared" si="35"/>
        <v>4</v>
      </c>
      <c r="E31" s="36">
        <f t="shared" si="35"/>
        <v>3</v>
      </c>
      <c r="F31" s="36">
        <f t="shared" si="35"/>
        <v>4</v>
      </c>
      <c r="G31" s="36">
        <f t="shared" si="35"/>
        <v>5</v>
      </c>
      <c r="H31" s="36">
        <f t="shared" si="35"/>
        <v>6</v>
      </c>
      <c r="I31" s="36">
        <f t="shared" si="35"/>
        <v>6</v>
      </c>
      <c r="J31" s="36">
        <f t="shared" si="35"/>
        <v>7</v>
      </c>
      <c r="K31" s="36">
        <f t="shared" si="35"/>
        <v>7</v>
      </c>
      <c r="L31" s="36">
        <f t="shared" si="35"/>
        <v>8</v>
      </c>
      <c r="M31" s="36">
        <f t="shared" si="35"/>
        <v>8</v>
      </c>
      <c r="N31" s="36"/>
      <c r="O31" s="36">
        <f t="shared" si="30"/>
        <v>4</v>
      </c>
      <c r="P31" s="36">
        <f t="shared" si="31"/>
        <v>5</v>
      </c>
      <c r="Q31" s="36">
        <f t="shared" si="32"/>
        <v>7</v>
      </c>
      <c r="R31" s="36">
        <f t="shared" si="33"/>
        <v>8</v>
      </c>
      <c r="S31" s="61">
        <f t="shared" si="34"/>
        <v>8</v>
      </c>
    </row>
    <row r="32">
      <c r="A32" s="25"/>
    </row>
    <row r="33">
      <c r="A33" s="57" t="s">
        <v>52</v>
      </c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2"/>
    </row>
    <row r="34">
      <c r="A34" s="22" t="s">
        <v>53</v>
      </c>
    </row>
    <row r="35">
      <c r="A35" s="22" t="s">
        <v>54</v>
      </c>
    </row>
    <row r="36">
      <c r="A36" s="34" t="s">
        <v>55</v>
      </c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</row>
    <row r="37">
      <c r="A37" s="63" t="s">
        <v>56</v>
      </c>
      <c r="B37" s="64" t="str">
        <f t="shared" ref="B37:M37" si="36">iferror((B36/B35)*12,"NA")</f>
        <v>NA</v>
      </c>
      <c r="C37" s="64" t="str">
        <f t="shared" si="36"/>
        <v>NA</v>
      </c>
      <c r="D37" s="64" t="str">
        <f t="shared" si="36"/>
        <v>NA</v>
      </c>
      <c r="E37" s="64" t="str">
        <f t="shared" si="36"/>
        <v>NA</v>
      </c>
      <c r="F37" s="64" t="str">
        <f t="shared" si="36"/>
        <v>NA</v>
      </c>
      <c r="G37" s="64" t="str">
        <f t="shared" si="36"/>
        <v>NA</v>
      </c>
      <c r="H37" s="64" t="str">
        <f t="shared" si="36"/>
        <v>NA</v>
      </c>
      <c r="I37" s="64" t="str">
        <f t="shared" si="36"/>
        <v>NA</v>
      </c>
      <c r="J37" s="64" t="str">
        <f t="shared" si="36"/>
        <v>NA</v>
      </c>
      <c r="K37" s="64" t="str">
        <f t="shared" si="36"/>
        <v>NA</v>
      </c>
      <c r="L37" s="64" t="str">
        <f t="shared" si="36"/>
        <v>NA</v>
      </c>
      <c r="M37" s="64" t="str">
        <f t="shared" si="36"/>
        <v>NA</v>
      </c>
    </row>
    <row r="38">
      <c r="A38" s="25"/>
    </row>
    <row r="39">
      <c r="A39" s="65" t="s">
        <v>57</v>
      </c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>
      <c r="A40" s="12" t="s">
        <v>24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>
      <c r="A41" s="68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>
      <c r="A42" s="19" t="s">
        <v>30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>
      <c r="A43" s="22" t="s">
        <v>58</v>
      </c>
      <c r="B43" s="69"/>
      <c r="C43" s="70">
        <f t="shared" ref="C43:M43" si="37">B48</f>
        <v>0</v>
      </c>
      <c r="D43" s="70">
        <f t="shared" si="37"/>
        <v>0</v>
      </c>
      <c r="E43" s="70">
        <f t="shared" si="37"/>
        <v>0</v>
      </c>
      <c r="F43" s="70">
        <f t="shared" si="37"/>
        <v>0</v>
      </c>
      <c r="G43" s="70">
        <f t="shared" si="37"/>
        <v>0</v>
      </c>
      <c r="H43" s="70">
        <f t="shared" si="37"/>
        <v>0</v>
      </c>
      <c r="I43" s="70">
        <f t="shared" si="37"/>
        <v>0</v>
      </c>
      <c r="J43" s="70">
        <f t="shared" si="37"/>
        <v>0</v>
      </c>
      <c r="K43" s="70">
        <f t="shared" si="37"/>
        <v>0</v>
      </c>
      <c r="L43" s="70">
        <f t="shared" si="37"/>
        <v>0</v>
      </c>
      <c r="M43" s="70">
        <f t="shared" si="37"/>
        <v>0</v>
      </c>
      <c r="N43" s="71"/>
      <c r="O43" s="71"/>
      <c r="P43" s="71"/>
      <c r="Q43" s="71"/>
      <c r="R43" s="71"/>
      <c r="S43" s="71"/>
      <c r="T43" s="71"/>
      <c r="U43" s="71"/>
      <c r="V43" s="71"/>
      <c r="W43" s="71"/>
    </row>
    <row r="44">
      <c r="A44" s="22" t="s">
        <v>32</v>
      </c>
      <c r="B44" s="69"/>
      <c r="C44" s="69"/>
      <c r="D44" s="69"/>
      <c r="E44" s="69"/>
      <c r="F44" s="72"/>
      <c r="G44" s="72"/>
      <c r="H44" s="72"/>
      <c r="I44" s="72"/>
      <c r="J44" s="72"/>
      <c r="K44" s="72"/>
      <c r="L44" s="72"/>
      <c r="M44" s="72"/>
      <c r="N44" s="71"/>
      <c r="O44" s="71"/>
      <c r="P44" s="71"/>
      <c r="Q44" s="71"/>
      <c r="R44" s="71"/>
      <c r="S44" s="71"/>
      <c r="T44" s="71"/>
      <c r="U44" s="71"/>
      <c r="V44" s="71"/>
      <c r="W44" s="71"/>
    </row>
    <row r="45">
      <c r="A45" s="22" t="s">
        <v>33</v>
      </c>
      <c r="B45" s="69"/>
      <c r="C45" s="69"/>
      <c r="D45" s="69"/>
      <c r="E45" s="69"/>
      <c r="F45" s="72"/>
      <c r="G45" s="72"/>
      <c r="H45" s="72"/>
      <c r="I45" s="72"/>
      <c r="J45" s="72"/>
      <c r="K45" s="72"/>
      <c r="L45" s="72"/>
      <c r="M45" s="72"/>
      <c r="N45" s="71"/>
      <c r="O45" s="71"/>
      <c r="P45" s="71"/>
      <c r="Q45" s="71"/>
      <c r="R45" s="71"/>
      <c r="S45" s="71"/>
      <c r="T45" s="71"/>
      <c r="U45" s="71"/>
      <c r="V45" s="71"/>
      <c r="W45" s="71"/>
    </row>
    <row r="46">
      <c r="A46" s="22" t="s">
        <v>34</v>
      </c>
      <c r="B46" s="73"/>
      <c r="C46" s="73"/>
      <c r="D46" s="73"/>
      <c r="E46" s="73"/>
      <c r="F46" s="74"/>
      <c r="G46" s="74"/>
      <c r="H46" s="74"/>
      <c r="I46" s="74"/>
      <c r="J46" s="74"/>
      <c r="K46" s="74"/>
      <c r="L46" s="74"/>
      <c r="M46" s="74"/>
      <c r="N46" s="71"/>
      <c r="O46" s="71"/>
      <c r="P46" s="71"/>
      <c r="Q46" s="71"/>
      <c r="R46" s="71"/>
      <c r="S46" s="71"/>
      <c r="T46" s="71"/>
      <c r="U46" s="71"/>
      <c r="V46" s="71"/>
      <c r="W46" s="71"/>
    </row>
    <row r="47">
      <c r="A47" s="22" t="s">
        <v>35</v>
      </c>
      <c r="B47" s="73"/>
      <c r="C47" s="73"/>
      <c r="D47" s="73"/>
      <c r="E47" s="73"/>
      <c r="F47" s="74"/>
      <c r="G47" s="74"/>
      <c r="H47" s="74"/>
      <c r="I47" s="74"/>
      <c r="J47" s="74"/>
      <c r="K47" s="74"/>
      <c r="L47" s="74"/>
      <c r="M47" s="74"/>
      <c r="N47" s="71"/>
      <c r="O47" s="71"/>
      <c r="P47" s="71"/>
      <c r="Q47" s="71"/>
      <c r="R47" s="71"/>
      <c r="S47" s="71"/>
      <c r="T47" s="71"/>
      <c r="U47" s="71"/>
      <c r="V47" s="71"/>
      <c r="W47" s="71"/>
    </row>
    <row r="48">
      <c r="A48" s="34" t="s">
        <v>36</v>
      </c>
      <c r="B48" s="75">
        <f t="shared" ref="B48:M48" si="38">sum(B43:B47)</f>
        <v>0</v>
      </c>
      <c r="C48" s="75">
        <f t="shared" si="38"/>
        <v>0</v>
      </c>
      <c r="D48" s="75">
        <f t="shared" si="38"/>
        <v>0</v>
      </c>
      <c r="E48" s="75">
        <f t="shared" si="38"/>
        <v>0</v>
      </c>
      <c r="F48" s="75">
        <f t="shared" si="38"/>
        <v>0</v>
      </c>
      <c r="G48" s="75">
        <f t="shared" si="38"/>
        <v>0</v>
      </c>
      <c r="H48" s="75">
        <f t="shared" si="38"/>
        <v>0</v>
      </c>
      <c r="I48" s="75">
        <f t="shared" si="38"/>
        <v>0</v>
      </c>
      <c r="J48" s="75">
        <f t="shared" si="38"/>
        <v>0</v>
      </c>
      <c r="K48" s="75">
        <f t="shared" si="38"/>
        <v>0</v>
      </c>
      <c r="L48" s="75">
        <f t="shared" si="38"/>
        <v>0</v>
      </c>
      <c r="M48" s="75">
        <f t="shared" si="38"/>
        <v>0</v>
      </c>
      <c r="N48" s="71"/>
      <c r="O48" s="71"/>
      <c r="P48" s="71"/>
      <c r="Q48" s="71"/>
      <c r="R48" s="71"/>
      <c r="S48" s="71"/>
      <c r="T48" s="71"/>
      <c r="U48" s="71"/>
      <c r="V48" s="71"/>
      <c r="W48" s="71"/>
    </row>
    <row r="49">
      <c r="A49" s="76" t="s">
        <v>59</v>
      </c>
      <c r="B49" s="77">
        <f t="shared" ref="B49:M49" si="39">B48/B10</f>
        <v>0</v>
      </c>
      <c r="C49" s="77">
        <f t="shared" si="39"/>
        <v>0</v>
      </c>
      <c r="D49" s="77">
        <f t="shared" si="39"/>
        <v>0</v>
      </c>
      <c r="E49" s="77">
        <f t="shared" si="39"/>
        <v>0</v>
      </c>
      <c r="F49" s="77">
        <f t="shared" si="39"/>
        <v>0</v>
      </c>
      <c r="G49" s="77">
        <f t="shared" si="39"/>
        <v>0</v>
      </c>
      <c r="H49" s="77">
        <f t="shared" si="39"/>
        <v>0</v>
      </c>
      <c r="I49" s="77">
        <f t="shared" si="39"/>
        <v>0</v>
      </c>
      <c r="J49" s="77">
        <f t="shared" si="39"/>
        <v>0</v>
      </c>
      <c r="K49" s="77">
        <f t="shared" si="39"/>
        <v>0</v>
      </c>
      <c r="L49" s="77">
        <f t="shared" si="39"/>
        <v>0</v>
      </c>
      <c r="M49" s="77">
        <f t="shared" si="39"/>
        <v>0</v>
      </c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48"/>
      <c r="Y49" s="48"/>
      <c r="Z49" s="48"/>
    </row>
    <row r="50">
      <c r="A50" s="79" t="s">
        <v>60</v>
      </c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48"/>
      <c r="Y50" s="48"/>
      <c r="Z50" s="48"/>
    </row>
    <row r="51">
      <c r="A51" s="22" t="s">
        <v>61</v>
      </c>
      <c r="B51" s="80"/>
      <c r="C51" s="80"/>
      <c r="D51" s="81"/>
      <c r="E51" s="82"/>
      <c r="F51" s="82"/>
      <c r="G51" s="82"/>
      <c r="H51" s="82"/>
      <c r="I51" s="82"/>
      <c r="J51" s="82"/>
      <c r="K51" s="82"/>
      <c r="L51" s="82"/>
      <c r="M51" s="82"/>
      <c r="N51" s="71"/>
      <c r="O51" s="71"/>
      <c r="P51" s="71"/>
      <c r="Q51" s="71"/>
      <c r="R51" s="71"/>
      <c r="S51" s="71"/>
      <c r="T51" s="71"/>
      <c r="U51" s="71"/>
      <c r="V51" s="71"/>
      <c r="W51" s="71"/>
    </row>
    <row r="52">
      <c r="A52" s="22" t="s">
        <v>37</v>
      </c>
      <c r="B52" s="83"/>
      <c r="C52" s="83"/>
      <c r="D52" s="83"/>
      <c r="E52" s="83"/>
      <c r="F52" s="82"/>
      <c r="G52" s="82"/>
      <c r="H52" s="82"/>
      <c r="I52" s="82"/>
      <c r="J52" s="82"/>
      <c r="K52" s="82"/>
      <c r="L52" s="82"/>
      <c r="M52" s="82"/>
      <c r="N52" s="71"/>
      <c r="O52" s="71"/>
      <c r="P52" s="71"/>
      <c r="Q52" s="71"/>
      <c r="R52" s="71"/>
      <c r="S52" s="71"/>
      <c r="T52" s="71"/>
      <c r="U52" s="71"/>
      <c r="V52" s="71"/>
      <c r="W52" s="71"/>
    </row>
    <row r="53">
      <c r="A53" s="22" t="s">
        <v>62</v>
      </c>
      <c r="B53" s="69"/>
      <c r="C53" s="69"/>
      <c r="D53" s="69"/>
      <c r="E53" s="69"/>
      <c r="F53" s="82"/>
      <c r="G53" s="82"/>
      <c r="H53" s="82"/>
      <c r="I53" s="82"/>
      <c r="J53" s="82"/>
      <c r="K53" s="82"/>
      <c r="L53" s="82"/>
      <c r="M53" s="82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38" t="s">
        <v>38</v>
      </c>
      <c r="B54" s="84" t="str">
        <f t="shared" ref="B54:M54" si="40">SUM(B53/((B44/12)*B51))</f>
        <v>#DIV/0!</v>
      </c>
      <c r="C54" s="84" t="str">
        <f t="shared" si="40"/>
        <v>#DIV/0!</v>
      </c>
      <c r="D54" s="84" t="str">
        <f t="shared" si="40"/>
        <v>#DIV/0!</v>
      </c>
      <c r="E54" s="84" t="str">
        <f t="shared" si="40"/>
        <v>#DIV/0!</v>
      </c>
      <c r="F54" s="84" t="str">
        <f t="shared" si="40"/>
        <v>#DIV/0!</v>
      </c>
      <c r="G54" s="84" t="str">
        <f t="shared" si="40"/>
        <v>#DIV/0!</v>
      </c>
      <c r="H54" s="84" t="str">
        <f t="shared" si="40"/>
        <v>#DIV/0!</v>
      </c>
      <c r="I54" s="84" t="str">
        <f t="shared" si="40"/>
        <v>#DIV/0!</v>
      </c>
      <c r="J54" s="84" t="str">
        <f t="shared" si="40"/>
        <v>#DIV/0!</v>
      </c>
      <c r="K54" s="84" t="str">
        <f t="shared" si="40"/>
        <v>#DIV/0!</v>
      </c>
      <c r="L54" s="84" t="str">
        <f t="shared" si="40"/>
        <v>#DIV/0!</v>
      </c>
      <c r="M54" s="84" t="str">
        <f t="shared" si="40"/>
        <v>#DIV/0!</v>
      </c>
    </row>
    <row r="55">
      <c r="A55" s="44" t="s">
        <v>39</v>
      </c>
      <c r="B55" s="85" t="str">
        <f t="shared" ref="B55:M55" si="41">B53/B48</f>
        <v>#DIV/0!</v>
      </c>
      <c r="C55" s="85" t="str">
        <f t="shared" si="41"/>
        <v>#DIV/0!</v>
      </c>
      <c r="D55" s="85" t="str">
        <f t="shared" si="41"/>
        <v>#DIV/0!</v>
      </c>
      <c r="E55" s="85" t="str">
        <f t="shared" si="41"/>
        <v>#DIV/0!</v>
      </c>
      <c r="F55" s="85" t="str">
        <f t="shared" si="41"/>
        <v>#DIV/0!</v>
      </c>
      <c r="G55" s="85" t="str">
        <f t="shared" si="41"/>
        <v>#DIV/0!</v>
      </c>
      <c r="H55" s="85" t="str">
        <f t="shared" si="41"/>
        <v>#DIV/0!</v>
      </c>
      <c r="I55" s="85" t="str">
        <f t="shared" si="41"/>
        <v>#DIV/0!</v>
      </c>
      <c r="J55" s="85" t="str">
        <f t="shared" si="41"/>
        <v>#DIV/0!</v>
      </c>
      <c r="K55" s="85" t="str">
        <f t="shared" si="41"/>
        <v>#DIV/0!</v>
      </c>
      <c r="L55" s="85" t="str">
        <f t="shared" si="41"/>
        <v>#DIV/0!</v>
      </c>
      <c r="M55" s="85" t="str">
        <f t="shared" si="41"/>
        <v>#DIV/0!</v>
      </c>
    </row>
    <row r="56">
      <c r="A56" s="22"/>
    </row>
    <row r="57">
      <c r="A57" s="49" t="s">
        <v>40</v>
      </c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</row>
    <row r="58">
      <c r="A58" s="22" t="s">
        <v>41</v>
      </c>
      <c r="B58" s="83"/>
      <c r="C58" s="83"/>
      <c r="D58" s="83"/>
      <c r="E58" s="83"/>
      <c r="F58" s="82"/>
      <c r="G58" s="82"/>
      <c r="H58" s="82"/>
      <c r="I58" s="82"/>
      <c r="J58" s="82"/>
      <c r="K58" s="82"/>
      <c r="L58" s="82"/>
      <c r="M58" s="82"/>
    </row>
    <row r="59">
      <c r="A59" s="22" t="s">
        <v>42</v>
      </c>
      <c r="B59" s="83"/>
      <c r="C59" s="83"/>
      <c r="D59" s="83"/>
      <c r="E59" s="83"/>
      <c r="F59" s="82"/>
      <c r="G59" s="82"/>
      <c r="H59" s="82"/>
      <c r="I59" s="82"/>
      <c r="J59" s="82"/>
      <c r="K59" s="82"/>
      <c r="L59" s="82"/>
      <c r="M59" s="82"/>
    </row>
    <row r="60">
      <c r="A60" s="22" t="s">
        <v>43</v>
      </c>
      <c r="B60" s="83"/>
      <c r="C60" s="83"/>
      <c r="D60" s="83"/>
      <c r="E60" s="83"/>
      <c r="F60" s="82"/>
      <c r="G60" s="82"/>
      <c r="H60" s="82"/>
      <c r="I60" s="82"/>
      <c r="J60" s="82"/>
      <c r="K60" s="82"/>
      <c r="L60" s="82"/>
      <c r="M60" s="82"/>
    </row>
    <row r="61">
      <c r="A61" s="34" t="s">
        <v>36</v>
      </c>
      <c r="B61" s="86">
        <f t="shared" ref="B61:M61" si="42">sum(B58:B60)</f>
        <v>0</v>
      </c>
      <c r="C61" s="86">
        <f t="shared" si="42"/>
        <v>0</v>
      </c>
      <c r="D61" s="86">
        <f t="shared" si="42"/>
        <v>0</v>
      </c>
      <c r="E61" s="86">
        <f t="shared" si="42"/>
        <v>0</v>
      </c>
      <c r="F61" s="86">
        <f t="shared" si="42"/>
        <v>0</v>
      </c>
      <c r="G61" s="86">
        <f t="shared" si="42"/>
        <v>0</v>
      </c>
      <c r="H61" s="86">
        <f t="shared" si="42"/>
        <v>0</v>
      </c>
      <c r="I61" s="86">
        <f t="shared" si="42"/>
        <v>0</v>
      </c>
      <c r="J61" s="86">
        <f t="shared" si="42"/>
        <v>0</v>
      </c>
      <c r="K61" s="86">
        <f t="shared" si="42"/>
        <v>0</v>
      </c>
      <c r="L61" s="86">
        <f t="shared" si="42"/>
        <v>0</v>
      </c>
      <c r="M61" s="86">
        <f t="shared" si="42"/>
        <v>0</v>
      </c>
    </row>
    <row r="62">
      <c r="A62" s="76" t="s">
        <v>59</v>
      </c>
      <c r="B62" s="77">
        <f t="shared" ref="B62:M62" si="43">B61/B19</f>
        <v>0</v>
      </c>
      <c r="C62" s="77">
        <f t="shared" si="43"/>
        <v>0</v>
      </c>
      <c r="D62" s="77">
        <f t="shared" si="43"/>
        <v>0</v>
      </c>
      <c r="E62" s="77">
        <f t="shared" si="43"/>
        <v>0</v>
      </c>
      <c r="F62" s="77">
        <f t="shared" si="43"/>
        <v>0</v>
      </c>
      <c r="G62" s="77">
        <f t="shared" si="43"/>
        <v>0</v>
      </c>
      <c r="H62" s="77">
        <f t="shared" si="43"/>
        <v>0</v>
      </c>
      <c r="I62" s="77">
        <f t="shared" si="43"/>
        <v>0</v>
      </c>
      <c r="J62" s="77">
        <f t="shared" si="43"/>
        <v>0</v>
      </c>
      <c r="K62" s="77">
        <f t="shared" si="43"/>
        <v>0</v>
      </c>
      <c r="L62" s="77">
        <f t="shared" si="43"/>
        <v>0</v>
      </c>
      <c r="M62" s="77">
        <f t="shared" si="43"/>
        <v>0</v>
      </c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>
      <c r="A63" s="57" t="s">
        <v>44</v>
      </c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</row>
    <row r="64">
      <c r="A64" s="22" t="s">
        <v>45</v>
      </c>
      <c r="B64" s="71" t="str">
        <f t="shared" ref="B64:M64" si="44">B61/B70</f>
        <v>#DIV/0!</v>
      </c>
      <c r="C64" s="71" t="str">
        <f t="shared" si="44"/>
        <v>#DIV/0!</v>
      </c>
      <c r="D64" s="71" t="str">
        <f t="shared" si="44"/>
        <v>#DIV/0!</v>
      </c>
      <c r="E64" s="71" t="str">
        <f t="shared" si="44"/>
        <v>#DIV/0!</v>
      </c>
      <c r="F64" s="71" t="str">
        <f t="shared" si="44"/>
        <v>#DIV/0!</v>
      </c>
      <c r="G64" s="71" t="str">
        <f t="shared" si="44"/>
        <v>#DIV/0!</v>
      </c>
      <c r="H64" s="71" t="str">
        <f t="shared" si="44"/>
        <v>#DIV/0!</v>
      </c>
      <c r="I64" s="71" t="str">
        <f t="shared" si="44"/>
        <v>#DIV/0!</v>
      </c>
      <c r="J64" s="71" t="str">
        <f t="shared" si="44"/>
        <v>#DIV/0!</v>
      </c>
      <c r="K64" s="71" t="str">
        <f t="shared" si="44"/>
        <v>#DIV/0!</v>
      </c>
      <c r="L64" s="71" t="str">
        <f t="shared" si="44"/>
        <v>#DIV/0!</v>
      </c>
      <c r="M64" s="71" t="str">
        <f t="shared" si="44"/>
        <v>#DIV/0!</v>
      </c>
    </row>
    <row r="65">
      <c r="A65" s="22" t="s">
        <v>46</v>
      </c>
      <c r="B65" s="71" t="str">
        <f t="shared" ref="B65:M65" si="45">B52/B70</f>
        <v>#DIV/0!</v>
      </c>
      <c r="C65" s="71" t="str">
        <f t="shared" si="45"/>
        <v>#DIV/0!</v>
      </c>
      <c r="D65" s="71" t="str">
        <f t="shared" si="45"/>
        <v>#DIV/0!</v>
      </c>
      <c r="E65" s="71" t="str">
        <f t="shared" si="45"/>
        <v>#DIV/0!</v>
      </c>
      <c r="F65" s="71" t="str">
        <f t="shared" si="45"/>
        <v>#DIV/0!</v>
      </c>
      <c r="G65" s="71" t="str">
        <f t="shared" si="45"/>
        <v>#DIV/0!</v>
      </c>
      <c r="H65" s="71" t="str">
        <f t="shared" si="45"/>
        <v>#DIV/0!</v>
      </c>
      <c r="I65" s="71" t="str">
        <f t="shared" si="45"/>
        <v>#DIV/0!</v>
      </c>
      <c r="J65" s="71" t="str">
        <f t="shared" si="45"/>
        <v>#DIV/0!</v>
      </c>
      <c r="K65" s="71" t="str">
        <f t="shared" si="45"/>
        <v>#DIV/0!</v>
      </c>
      <c r="L65" s="71" t="str">
        <f t="shared" si="45"/>
        <v>#DIV/0!</v>
      </c>
      <c r="M65" s="71" t="str">
        <f t="shared" si="45"/>
        <v>#DIV/0!</v>
      </c>
    </row>
    <row r="66">
      <c r="A66" s="22" t="s">
        <v>21</v>
      </c>
      <c r="B66" s="71" t="str">
        <f t="shared" ref="B66:M66" si="46">B44/B52</f>
        <v>#DIV/0!</v>
      </c>
      <c r="C66" s="71" t="str">
        <f t="shared" si="46"/>
        <v>#DIV/0!</v>
      </c>
      <c r="D66" s="71" t="str">
        <f t="shared" si="46"/>
        <v>#DIV/0!</v>
      </c>
      <c r="E66" s="71" t="str">
        <f t="shared" si="46"/>
        <v>#DIV/0!</v>
      </c>
      <c r="F66" s="71" t="str">
        <f t="shared" si="46"/>
        <v>#DIV/0!</v>
      </c>
      <c r="G66" s="71" t="str">
        <f t="shared" si="46"/>
        <v>#DIV/0!</v>
      </c>
      <c r="H66" s="71" t="str">
        <f t="shared" si="46"/>
        <v>#DIV/0!</v>
      </c>
      <c r="I66" s="71" t="str">
        <f t="shared" si="46"/>
        <v>#DIV/0!</v>
      </c>
      <c r="J66" s="71" t="str">
        <f t="shared" si="46"/>
        <v>#DIV/0!</v>
      </c>
      <c r="K66" s="71" t="str">
        <f t="shared" si="46"/>
        <v>#DIV/0!</v>
      </c>
      <c r="L66" s="71" t="str">
        <f t="shared" si="46"/>
        <v>#DIV/0!</v>
      </c>
      <c r="M66" s="71" t="str">
        <f t="shared" si="46"/>
        <v>#DIV/0!</v>
      </c>
    </row>
    <row r="67">
      <c r="A67" s="22" t="s">
        <v>47</v>
      </c>
      <c r="B67" s="71" t="str">
        <f t="shared" ref="B67:M67" si="47">B53/B52</f>
        <v>#DIV/0!</v>
      </c>
      <c r="C67" s="71" t="str">
        <f t="shared" si="47"/>
        <v>#DIV/0!</v>
      </c>
      <c r="D67" s="87" t="str">
        <f t="shared" si="47"/>
        <v>#DIV/0!</v>
      </c>
      <c r="E67" s="71" t="str">
        <f t="shared" si="47"/>
        <v>#DIV/0!</v>
      </c>
      <c r="F67" s="71" t="str">
        <f t="shared" si="47"/>
        <v>#DIV/0!</v>
      </c>
      <c r="G67" s="71" t="str">
        <f t="shared" si="47"/>
        <v>#DIV/0!</v>
      </c>
      <c r="H67" s="71" t="str">
        <f t="shared" si="47"/>
        <v>#DIV/0!</v>
      </c>
      <c r="I67" s="71" t="str">
        <f t="shared" si="47"/>
        <v>#DIV/0!</v>
      </c>
      <c r="J67" s="71" t="str">
        <f t="shared" si="47"/>
        <v>#DIV/0!</v>
      </c>
      <c r="K67" s="71" t="str">
        <f t="shared" si="47"/>
        <v>#DIV/0!</v>
      </c>
      <c r="L67" s="71" t="str">
        <f t="shared" si="47"/>
        <v>#DIV/0!</v>
      </c>
      <c r="M67" s="71" t="str">
        <f t="shared" si="47"/>
        <v>#DIV/0!</v>
      </c>
    </row>
    <row r="68">
      <c r="A68" s="38"/>
    </row>
    <row r="69">
      <c r="A69" s="57" t="s">
        <v>48</v>
      </c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</row>
    <row r="70">
      <c r="A70" s="22" t="s">
        <v>49</v>
      </c>
      <c r="B70" s="83"/>
      <c r="C70" s="83"/>
      <c r="D70" s="83"/>
      <c r="E70" s="83"/>
      <c r="F70" s="82"/>
      <c r="G70" s="82"/>
      <c r="H70" s="82"/>
      <c r="I70" s="82"/>
      <c r="J70" s="82"/>
      <c r="K70" s="82"/>
      <c r="L70" s="82"/>
      <c r="M70" s="82"/>
    </row>
    <row r="71">
      <c r="A71" s="22" t="s">
        <v>50</v>
      </c>
      <c r="B71" s="83"/>
      <c r="C71" s="83"/>
      <c r="D71" s="83"/>
      <c r="E71" s="83"/>
      <c r="F71" s="82"/>
      <c r="G71" s="82"/>
      <c r="H71" s="82"/>
      <c r="I71" s="82"/>
      <c r="J71" s="82"/>
      <c r="K71" s="82"/>
      <c r="L71" s="82"/>
      <c r="M71" s="82"/>
    </row>
    <row r="72">
      <c r="A72" s="22" t="s">
        <v>51</v>
      </c>
      <c r="B72" s="83"/>
      <c r="C72" s="83"/>
      <c r="D72" s="83"/>
      <c r="E72" s="83"/>
      <c r="F72" s="82"/>
      <c r="G72" s="82"/>
      <c r="H72" s="82"/>
      <c r="I72" s="82"/>
      <c r="J72" s="82"/>
      <c r="K72" s="82"/>
      <c r="L72" s="82"/>
      <c r="M72" s="82"/>
    </row>
    <row r="73">
      <c r="A73" s="34" t="s">
        <v>36</v>
      </c>
      <c r="B73" s="86">
        <f t="shared" ref="B73:M73" si="48">sum(B70:B72)</f>
        <v>0</v>
      </c>
      <c r="C73" s="86">
        <f t="shared" si="48"/>
        <v>0</v>
      </c>
      <c r="D73" s="86">
        <f t="shared" si="48"/>
        <v>0</v>
      </c>
      <c r="E73" s="86">
        <f t="shared" si="48"/>
        <v>0</v>
      </c>
      <c r="F73" s="86">
        <f t="shared" si="48"/>
        <v>0</v>
      </c>
      <c r="G73" s="86">
        <f t="shared" si="48"/>
        <v>0</v>
      </c>
      <c r="H73" s="86">
        <f t="shared" si="48"/>
        <v>0</v>
      </c>
      <c r="I73" s="86">
        <f t="shared" si="48"/>
        <v>0</v>
      </c>
      <c r="J73" s="86">
        <f t="shared" si="48"/>
        <v>0</v>
      </c>
      <c r="K73" s="86">
        <f t="shared" si="48"/>
        <v>0</v>
      </c>
      <c r="L73" s="86">
        <f t="shared" si="48"/>
        <v>0</v>
      </c>
      <c r="M73" s="86">
        <f t="shared" si="48"/>
        <v>0</v>
      </c>
    </row>
    <row r="74">
      <c r="A74" s="76" t="s">
        <v>59</v>
      </c>
      <c r="B74" s="78">
        <f t="shared" ref="B74:M74" si="49">B73/B31</f>
        <v>0</v>
      </c>
      <c r="C74" s="78">
        <f t="shared" si="49"/>
        <v>0</v>
      </c>
      <c r="D74" s="78">
        <f t="shared" si="49"/>
        <v>0</v>
      </c>
      <c r="E74" s="78">
        <f t="shared" si="49"/>
        <v>0</v>
      </c>
      <c r="F74" s="78">
        <f t="shared" si="49"/>
        <v>0</v>
      </c>
      <c r="G74" s="78">
        <f t="shared" si="49"/>
        <v>0</v>
      </c>
      <c r="H74" s="78">
        <f t="shared" si="49"/>
        <v>0</v>
      </c>
      <c r="I74" s="78">
        <f t="shared" si="49"/>
        <v>0</v>
      </c>
      <c r="J74" s="78">
        <f t="shared" si="49"/>
        <v>0</v>
      </c>
      <c r="K74" s="78">
        <f t="shared" si="49"/>
        <v>0</v>
      </c>
      <c r="L74" s="78">
        <f t="shared" si="49"/>
        <v>0</v>
      </c>
      <c r="M74" s="78">
        <f t="shared" si="49"/>
        <v>0</v>
      </c>
    </row>
    <row r="75">
      <c r="A75" s="25"/>
    </row>
    <row r="76">
      <c r="A76" s="57" t="s">
        <v>52</v>
      </c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</row>
    <row r="77">
      <c r="A77" s="22" t="s">
        <v>53</v>
      </c>
      <c r="B77" s="69"/>
      <c r="C77" s="70">
        <f t="shared" ref="C77:M77" si="50">B79</f>
        <v>0</v>
      </c>
      <c r="D77" s="70">
        <f t="shared" si="50"/>
        <v>0</v>
      </c>
      <c r="E77" s="70" t="str">
        <f t="shared" si="50"/>
        <v/>
      </c>
      <c r="F77" s="70" t="str">
        <f t="shared" si="50"/>
        <v/>
      </c>
      <c r="G77" s="70" t="str">
        <f t="shared" si="50"/>
        <v/>
      </c>
      <c r="H77" s="70" t="str">
        <f t="shared" si="50"/>
        <v/>
      </c>
      <c r="I77" s="70" t="str">
        <f t="shared" si="50"/>
        <v/>
      </c>
      <c r="J77" s="70" t="str">
        <f t="shared" si="50"/>
        <v/>
      </c>
      <c r="K77" s="70" t="str">
        <f t="shared" si="50"/>
        <v/>
      </c>
      <c r="L77" s="70" t="str">
        <f t="shared" si="50"/>
        <v/>
      </c>
      <c r="M77" s="70" t="str">
        <f t="shared" si="50"/>
        <v/>
      </c>
    </row>
    <row r="78">
      <c r="A78" s="22" t="s">
        <v>54</v>
      </c>
      <c r="B78" s="69"/>
      <c r="C78" s="69"/>
      <c r="D78" s="89"/>
      <c r="E78" s="89"/>
      <c r="F78" s="72"/>
      <c r="G78" s="72"/>
      <c r="H78" s="72"/>
      <c r="I78" s="72"/>
      <c r="J78" s="72"/>
      <c r="K78" s="72"/>
      <c r="L78" s="72"/>
      <c r="M78" s="72"/>
    </row>
    <row r="79">
      <c r="A79" s="34" t="s">
        <v>55</v>
      </c>
      <c r="B79" s="75">
        <f t="shared" ref="B79:C79" si="51">SUM(B77:B78)</f>
        <v>0</v>
      </c>
      <c r="C79" s="75">
        <f t="shared" si="51"/>
        <v>0</v>
      </c>
      <c r="D79" s="90"/>
      <c r="E79" s="91"/>
      <c r="F79" s="86"/>
      <c r="G79" s="86"/>
      <c r="H79" s="86"/>
      <c r="I79" s="86"/>
      <c r="J79" s="86"/>
      <c r="K79" s="86"/>
      <c r="L79" s="86"/>
      <c r="M79" s="86"/>
    </row>
    <row r="80">
      <c r="A80" s="63" t="s">
        <v>56</v>
      </c>
      <c r="B80" s="92" t="str">
        <f t="shared" ref="B80:M80" si="52">iferror((B79/-B78)*12,"NA")</f>
        <v>NA</v>
      </c>
      <c r="C80" s="92" t="str">
        <f t="shared" si="52"/>
        <v>NA</v>
      </c>
      <c r="D80" s="92" t="str">
        <f t="shared" si="52"/>
        <v>NA</v>
      </c>
      <c r="E80" s="92" t="str">
        <f t="shared" si="52"/>
        <v>NA</v>
      </c>
      <c r="F80" s="92" t="str">
        <f t="shared" si="52"/>
        <v>NA</v>
      </c>
      <c r="G80" s="92" t="str">
        <f t="shared" si="52"/>
        <v>NA</v>
      </c>
      <c r="H80" s="92" t="str">
        <f t="shared" si="52"/>
        <v>NA</v>
      </c>
      <c r="I80" s="92" t="str">
        <f t="shared" si="52"/>
        <v>NA</v>
      </c>
      <c r="J80" s="92" t="str">
        <f t="shared" si="52"/>
        <v>NA</v>
      </c>
      <c r="K80" s="92" t="str">
        <f t="shared" si="52"/>
        <v>NA</v>
      </c>
      <c r="L80" s="92" t="str">
        <f t="shared" si="52"/>
        <v>NA</v>
      </c>
      <c r="M80" s="92" t="str">
        <f t="shared" si="52"/>
        <v>NA</v>
      </c>
    </row>
    <row r="81">
      <c r="A81" s="76" t="s">
        <v>59</v>
      </c>
    </row>
    <row r="82">
      <c r="A82" s="25"/>
    </row>
    <row r="83">
      <c r="A83" s="25"/>
    </row>
    <row r="84">
      <c r="A84" s="25"/>
    </row>
    <row r="85">
      <c r="A85" s="25"/>
    </row>
    <row r="86">
      <c r="A86" s="25"/>
    </row>
    <row r="87">
      <c r="A87" s="25"/>
    </row>
    <row r="88">
      <c r="A88" s="25"/>
    </row>
    <row r="89">
      <c r="A89" s="25"/>
    </row>
    <row r="90">
      <c r="A90" s="25"/>
    </row>
    <row r="91">
      <c r="A91" s="25"/>
    </row>
    <row r="92">
      <c r="A92" s="25"/>
    </row>
    <row r="93">
      <c r="A93" s="25"/>
    </row>
    <row r="94">
      <c r="A94" s="25"/>
    </row>
    <row r="95">
      <c r="A95" s="25"/>
    </row>
    <row r="96">
      <c r="A96" s="25"/>
    </row>
    <row r="97">
      <c r="A97" s="25"/>
    </row>
    <row r="98">
      <c r="A98" s="25"/>
    </row>
    <row r="99">
      <c r="A99" s="25"/>
    </row>
    <row r="100">
      <c r="A100" s="25"/>
    </row>
    <row r="101">
      <c r="A101" s="25"/>
    </row>
    <row r="102">
      <c r="A102" s="25"/>
    </row>
    <row r="103">
      <c r="A103" s="25"/>
    </row>
    <row r="104">
      <c r="A104" s="25"/>
    </row>
    <row r="105">
      <c r="A105" s="25"/>
    </row>
    <row r="106">
      <c r="A106" s="25"/>
    </row>
    <row r="107">
      <c r="A107" s="25"/>
    </row>
    <row r="108">
      <c r="A108" s="25"/>
    </row>
    <row r="109">
      <c r="A109" s="25"/>
    </row>
    <row r="110">
      <c r="A110" s="25"/>
    </row>
    <row r="111">
      <c r="A111" s="25"/>
    </row>
    <row r="112">
      <c r="A112" s="25"/>
    </row>
    <row r="113">
      <c r="A113" s="25"/>
    </row>
    <row r="114">
      <c r="A114" s="25"/>
    </row>
    <row r="115">
      <c r="A115" s="25"/>
    </row>
    <row r="116">
      <c r="A116" s="25"/>
    </row>
    <row r="117">
      <c r="A117" s="25"/>
    </row>
    <row r="118">
      <c r="A118" s="25"/>
    </row>
    <row r="119">
      <c r="A119" s="25"/>
    </row>
    <row r="120">
      <c r="A120" s="25"/>
    </row>
    <row r="121">
      <c r="A121" s="25"/>
    </row>
    <row r="122">
      <c r="A122" s="25"/>
    </row>
    <row r="123">
      <c r="A123" s="25"/>
    </row>
    <row r="124">
      <c r="A124" s="25"/>
    </row>
    <row r="125">
      <c r="A125" s="25"/>
    </row>
    <row r="126">
      <c r="A126" s="25"/>
    </row>
    <row r="127">
      <c r="A127" s="25"/>
    </row>
    <row r="128">
      <c r="A128" s="25"/>
    </row>
    <row r="129">
      <c r="A129" s="25"/>
    </row>
    <row r="130">
      <c r="A130" s="25"/>
    </row>
    <row r="131">
      <c r="A131" s="25"/>
    </row>
    <row r="132">
      <c r="A132" s="25"/>
    </row>
    <row r="133">
      <c r="A133" s="25"/>
    </row>
    <row r="134">
      <c r="A134" s="25"/>
    </row>
    <row r="135">
      <c r="A135" s="25"/>
    </row>
    <row r="136">
      <c r="A136" s="25"/>
    </row>
    <row r="137">
      <c r="A137" s="25"/>
    </row>
    <row r="138">
      <c r="A138" s="25"/>
    </row>
    <row r="139">
      <c r="A139" s="25"/>
    </row>
    <row r="140">
      <c r="A140" s="25"/>
    </row>
    <row r="141">
      <c r="A141" s="25"/>
    </row>
    <row r="142">
      <c r="A142" s="25"/>
    </row>
    <row r="143">
      <c r="A143" s="25"/>
    </row>
    <row r="144">
      <c r="A144" s="25"/>
    </row>
    <row r="145">
      <c r="A145" s="25"/>
    </row>
    <row r="146">
      <c r="A146" s="25"/>
    </row>
    <row r="147">
      <c r="A147" s="25"/>
    </row>
    <row r="148">
      <c r="A148" s="25"/>
    </row>
    <row r="149">
      <c r="A149" s="25"/>
    </row>
    <row r="150">
      <c r="A150" s="25"/>
    </row>
    <row r="151">
      <c r="A151" s="25"/>
    </row>
    <row r="152">
      <c r="A152" s="25"/>
    </row>
    <row r="153">
      <c r="A153" s="25"/>
    </row>
    <row r="154">
      <c r="A154" s="25"/>
    </row>
    <row r="155">
      <c r="A155" s="25"/>
    </row>
    <row r="156">
      <c r="A156" s="25"/>
    </row>
    <row r="157">
      <c r="A157" s="25"/>
    </row>
    <row r="158">
      <c r="A158" s="25"/>
    </row>
    <row r="159">
      <c r="A159" s="25"/>
    </row>
    <row r="160">
      <c r="A160" s="25"/>
    </row>
    <row r="161">
      <c r="A161" s="25"/>
    </row>
    <row r="162">
      <c r="A162" s="25"/>
    </row>
    <row r="163">
      <c r="A163" s="25"/>
    </row>
    <row r="164">
      <c r="A164" s="25"/>
    </row>
    <row r="165">
      <c r="A165" s="25"/>
    </row>
    <row r="166">
      <c r="A166" s="25"/>
    </row>
    <row r="167">
      <c r="A167" s="25"/>
    </row>
    <row r="168">
      <c r="A168" s="25"/>
    </row>
    <row r="169">
      <c r="A169" s="25"/>
    </row>
    <row r="170">
      <c r="A170" s="25"/>
    </row>
    <row r="171">
      <c r="A171" s="25"/>
    </row>
    <row r="172">
      <c r="A172" s="25"/>
    </row>
    <row r="173">
      <c r="A173" s="25"/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  <row r="444">
      <c r="A444" s="25"/>
    </row>
    <row r="445">
      <c r="A445" s="25"/>
    </row>
    <row r="446">
      <c r="A446" s="25"/>
    </row>
    <row r="447">
      <c r="A447" s="25"/>
    </row>
    <row r="448">
      <c r="A448" s="25"/>
    </row>
    <row r="449">
      <c r="A449" s="25"/>
    </row>
    <row r="450">
      <c r="A450" s="25"/>
    </row>
    <row r="451">
      <c r="A451" s="25"/>
    </row>
    <row r="452">
      <c r="A452" s="25"/>
    </row>
    <row r="453">
      <c r="A453" s="25"/>
    </row>
    <row r="454">
      <c r="A454" s="25"/>
    </row>
    <row r="455">
      <c r="A455" s="25"/>
    </row>
    <row r="456">
      <c r="A456" s="25"/>
    </row>
    <row r="457">
      <c r="A457" s="25"/>
    </row>
    <row r="458">
      <c r="A458" s="25"/>
    </row>
    <row r="459">
      <c r="A459" s="25"/>
    </row>
    <row r="460">
      <c r="A460" s="25"/>
    </row>
    <row r="461">
      <c r="A461" s="25"/>
    </row>
    <row r="462">
      <c r="A462" s="25"/>
    </row>
    <row r="463">
      <c r="A463" s="25"/>
    </row>
    <row r="464">
      <c r="A464" s="25"/>
    </row>
    <row r="465">
      <c r="A465" s="25"/>
    </row>
    <row r="466">
      <c r="A466" s="25"/>
    </row>
    <row r="467">
      <c r="A467" s="25"/>
    </row>
    <row r="468">
      <c r="A468" s="25"/>
    </row>
    <row r="469">
      <c r="A469" s="25"/>
    </row>
    <row r="470">
      <c r="A470" s="25"/>
    </row>
    <row r="471">
      <c r="A471" s="25"/>
    </row>
    <row r="472">
      <c r="A472" s="25"/>
    </row>
    <row r="473">
      <c r="A473" s="25"/>
    </row>
    <row r="474">
      <c r="A474" s="25"/>
    </row>
    <row r="475">
      <c r="A475" s="25"/>
    </row>
    <row r="476">
      <c r="A476" s="25"/>
    </row>
    <row r="477">
      <c r="A477" s="25"/>
    </row>
    <row r="478">
      <c r="A478" s="25"/>
    </row>
    <row r="479">
      <c r="A479" s="25"/>
    </row>
    <row r="480">
      <c r="A480" s="25"/>
    </row>
    <row r="481">
      <c r="A481" s="25"/>
    </row>
    <row r="482">
      <c r="A482" s="25"/>
    </row>
    <row r="483">
      <c r="A483" s="25"/>
    </row>
    <row r="484">
      <c r="A484" s="25"/>
    </row>
    <row r="485">
      <c r="A485" s="25"/>
    </row>
    <row r="486">
      <c r="A486" s="25"/>
    </row>
    <row r="487">
      <c r="A487" s="25"/>
    </row>
    <row r="488">
      <c r="A488" s="25"/>
    </row>
    <row r="489">
      <c r="A489" s="25"/>
    </row>
    <row r="490">
      <c r="A490" s="25"/>
    </row>
    <row r="491">
      <c r="A491" s="25"/>
    </row>
    <row r="492">
      <c r="A492" s="25"/>
    </row>
    <row r="493">
      <c r="A493" s="25"/>
    </row>
    <row r="494">
      <c r="A494" s="25"/>
    </row>
    <row r="495">
      <c r="A495" s="25"/>
    </row>
    <row r="496">
      <c r="A496" s="25"/>
    </row>
    <row r="497">
      <c r="A497" s="25"/>
    </row>
    <row r="498">
      <c r="A498" s="25"/>
    </row>
    <row r="499">
      <c r="A499" s="25"/>
    </row>
    <row r="500">
      <c r="A500" s="25"/>
    </row>
    <row r="501">
      <c r="A501" s="25"/>
    </row>
    <row r="502">
      <c r="A502" s="25"/>
    </row>
    <row r="503">
      <c r="A503" s="25"/>
    </row>
    <row r="504">
      <c r="A504" s="25"/>
    </row>
    <row r="505">
      <c r="A505" s="25"/>
    </row>
    <row r="506">
      <c r="A506" s="25"/>
    </row>
    <row r="507">
      <c r="A507" s="25"/>
    </row>
    <row r="508">
      <c r="A508" s="25"/>
    </row>
    <row r="509">
      <c r="A509" s="25"/>
    </row>
    <row r="510">
      <c r="A510" s="25"/>
    </row>
    <row r="511">
      <c r="A511" s="25"/>
    </row>
    <row r="512">
      <c r="A512" s="25"/>
    </row>
    <row r="513">
      <c r="A513" s="25"/>
    </row>
    <row r="514">
      <c r="A514" s="25"/>
    </row>
    <row r="515">
      <c r="A515" s="25"/>
    </row>
    <row r="516">
      <c r="A516" s="25"/>
    </row>
    <row r="517">
      <c r="A517" s="25"/>
    </row>
    <row r="518">
      <c r="A518" s="25"/>
    </row>
    <row r="519">
      <c r="A519" s="25"/>
    </row>
    <row r="520">
      <c r="A520" s="25"/>
    </row>
    <row r="521">
      <c r="A521" s="25"/>
    </row>
    <row r="522">
      <c r="A522" s="25"/>
    </row>
    <row r="523">
      <c r="A523" s="25"/>
    </row>
    <row r="524">
      <c r="A524" s="25"/>
    </row>
    <row r="525">
      <c r="A525" s="25"/>
    </row>
    <row r="526">
      <c r="A526" s="25"/>
    </row>
    <row r="527">
      <c r="A527" s="25"/>
    </row>
    <row r="528">
      <c r="A528" s="25"/>
    </row>
    <row r="529">
      <c r="A529" s="25"/>
    </row>
    <row r="530">
      <c r="A530" s="25"/>
    </row>
    <row r="531">
      <c r="A531" s="25"/>
    </row>
    <row r="532">
      <c r="A532" s="25"/>
    </row>
    <row r="533">
      <c r="A533" s="25"/>
    </row>
    <row r="534">
      <c r="A534" s="25"/>
    </row>
    <row r="535">
      <c r="A535" s="25"/>
    </row>
    <row r="536">
      <c r="A536" s="25"/>
    </row>
    <row r="537">
      <c r="A537" s="25"/>
    </row>
    <row r="538">
      <c r="A538" s="25"/>
    </row>
    <row r="539">
      <c r="A539" s="25"/>
    </row>
    <row r="540">
      <c r="A540" s="25"/>
    </row>
    <row r="541">
      <c r="A541" s="25"/>
    </row>
    <row r="542">
      <c r="A542" s="25"/>
    </row>
    <row r="543">
      <c r="A543" s="25"/>
    </row>
    <row r="544">
      <c r="A544" s="25"/>
    </row>
    <row r="545">
      <c r="A545" s="25"/>
    </row>
    <row r="546">
      <c r="A546" s="25"/>
    </row>
    <row r="547">
      <c r="A547" s="25"/>
    </row>
    <row r="548">
      <c r="A548" s="25"/>
    </row>
    <row r="549">
      <c r="A549" s="25"/>
    </row>
    <row r="550">
      <c r="A550" s="25"/>
    </row>
    <row r="551">
      <c r="A551" s="25"/>
    </row>
    <row r="552">
      <c r="A552" s="25"/>
    </row>
    <row r="553">
      <c r="A553" s="25"/>
    </row>
    <row r="554">
      <c r="A554" s="25"/>
    </row>
    <row r="555">
      <c r="A555" s="25"/>
    </row>
    <row r="556">
      <c r="A556" s="25"/>
    </row>
    <row r="557">
      <c r="A557" s="25"/>
    </row>
    <row r="558">
      <c r="A558" s="25"/>
    </row>
    <row r="559">
      <c r="A559" s="25"/>
    </row>
    <row r="560">
      <c r="A560" s="25"/>
    </row>
    <row r="561">
      <c r="A561" s="25"/>
    </row>
    <row r="562">
      <c r="A562" s="25"/>
    </row>
    <row r="563">
      <c r="A563" s="25"/>
    </row>
    <row r="564">
      <c r="A564" s="25"/>
    </row>
    <row r="565">
      <c r="A565" s="25"/>
    </row>
    <row r="566">
      <c r="A566" s="25"/>
    </row>
    <row r="567">
      <c r="A567" s="25"/>
    </row>
    <row r="568">
      <c r="A568" s="25"/>
    </row>
    <row r="569">
      <c r="A569" s="25"/>
    </row>
    <row r="570">
      <c r="A570" s="25"/>
    </row>
    <row r="571">
      <c r="A571" s="25"/>
    </row>
    <row r="572">
      <c r="A572" s="25"/>
    </row>
    <row r="573">
      <c r="A573" s="25"/>
    </row>
    <row r="574">
      <c r="A574" s="25"/>
    </row>
    <row r="575">
      <c r="A575" s="25"/>
    </row>
    <row r="576">
      <c r="A576" s="25"/>
    </row>
    <row r="577">
      <c r="A577" s="25"/>
    </row>
    <row r="578">
      <c r="A578" s="25"/>
    </row>
    <row r="579">
      <c r="A579" s="25"/>
    </row>
    <row r="580">
      <c r="A580" s="25"/>
    </row>
    <row r="581">
      <c r="A581" s="25"/>
    </row>
    <row r="582">
      <c r="A582" s="25"/>
    </row>
    <row r="583">
      <c r="A583" s="25"/>
    </row>
    <row r="584">
      <c r="A584" s="25"/>
    </row>
    <row r="585">
      <c r="A585" s="25"/>
    </row>
    <row r="586">
      <c r="A586" s="25"/>
    </row>
    <row r="587">
      <c r="A587" s="25"/>
    </row>
    <row r="588">
      <c r="A588" s="25"/>
    </row>
    <row r="589">
      <c r="A589" s="25"/>
    </row>
    <row r="590">
      <c r="A590" s="25"/>
    </row>
    <row r="591">
      <c r="A591" s="25"/>
    </row>
    <row r="592">
      <c r="A592" s="25"/>
    </row>
    <row r="593">
      <c r="A593" s="25"/>
    </row>
    <row r="594">
      <c r="A594" s="25"/>
    </row>
    <row r="595">
      <c r="A595" s="25"/>
    </row>
    <row r="596">
      <c r="A596" s="25"/>
    </row>
    <row r="597">
      <c r="A597" s="25"/>
    </row>
    <row r="598">
      <c r="A598" s="25"/>
    </row>
    <row r="599">
      <c r="A599" s="25"/>
    </row>
    <row r="600">
      <c r="A600" s="25"/>
    </row>
    <row r="601">
      <c r="A601" s="25"/>
    </row>
    <row r="602">
      <c r="A602" s="25"/>
    </row>
    <row r="603">
      <c r="A603" s="25"/>
    </row>
    <row r="604">
      <c r="A604" s="25"/>
    </row>
    <row r="605">
      <c r="A605" s="25"/>
    </row>
    <row r="606">
      <c r="A606" s="25"/>
    </row>
    <row r="607">
      <c r="A607" s="25"/>
    </row>
    <row r="608">
      <c r="A608" s="25"/>
    </row>
    <row r="609">
      <c r="A609" s="25"/>
    </row>
    <row r="610">
      <c r="A610" s="25"/>
    </row>
    <row r="611">
      <c r="A611" s="25"/>
    </row>
    <row r="612">
      <c r="A612" s="25"/>
    </row>
    <row r="613">
      <c r="A613" s="25"/>
    </row>
    <row r="614">
      <c r="A614" s="25"/>
    </row>
    <row r="615">
      <c r="A615" s="25"/>
    </row>
    <row r="616">
      <c r="A616" s="25"/>
    </row>
    <row r="617">
      <c r="A617" s="25"/>
    </row>
    <row r="618">
      <c r="A618" s="25"/>
    </row>
    <row r="619">
      <c r="A619" s="25"/>
    </row>
    <row r="620">
      <c r="A620" s="25"/>
    </row>
    <row r="621">
      <c r="A621" s="25"/>
    </row>
    <row r="622">
      <c r="A622" s="25"/>
    </row>
    <row r="623">
      <c r="A623" s="25"/>
    </row>
    <row r="624">
      <c r="A624" s="25"/>
    </row>
    <row r="625">
      <c r="A625" s="25"/>
    </row>
    <row r="626">
      <c r="A626" s="25"/>
    </row>
    <row r="627">
      <c r="A627" s="25"/>
    </row>
    <row r="628">
      <c r="A628" s="25"/>
    </row>
    <row r="629">
      <c r="A629" s="25"/>
    </row>
    <row r="630">
      <c r="A630" s="25"/>
    </row>
    <row r="631">
      <c r="A631" s="25"/>
    </row>
    <row r="632">
      <c r="A632" s="25"/>
    </row>
    <row r="633">
      <c r="A633" s="25"/>
    </row>
    <row r="634">
      <c r="A634" s="25"/>
    </row>
    <row r="635">
      <c r="A635" s="25"/>
    </row>
    <row r="636">
      <c r="A636" s="25"/>
    </row>
    <row r="637">
      <c r="A637" s="25"/>
    </row>
    <row r="638">
      <c r="A638" s="25"/>
    </row>
    <row r="639">
      <c r="A639" s="25"/>
    </row>
    <row r="640">
      <c r="A640" s="25"/>
    </row>
    <row r="641">
      <c r="A641" s="25"/>
    </row>
    <row r="642">
      <c r="A642" s="25"/>
    </row>
    <row r="643">
      <c r="A643" s="25"/>
    </row>
    <row r="644">
      <c r="A644" s="25"/>
    </row>
    <row r="645">
      <c r="A645" s="25"/>
    </row>
    <row r="646">
      <c r="A646" s="25"/>
    </row>
    <row r="647">
      <c r="A647" s="25"/>
    </row>
    <row r="648">
      <c r="A648" s="25"/>
    </row>
    <row r="649">
      <c r="A649" s="25"/>
    </row>
    <row r="650">
      <c r="A650" s="25"/>
    </row>
    <row r="651">
      <c r="A651" s="25"/>
    </row>
    <row r="652">
      <c r="A652" s="25"/>
    </row>
    <row r="653">
      <c r="A653" s="25"/>
    </row>
    <row r="654">
      <c r="A654" s="25"/>
    </row>
    <row r="655">
      <c r="A655" s="25"/>
    </row>
    <row r="656">
      <c r="A656" s="25"/>
    </row>
    <row r="657">
      <c r="A657" s="25"/>
    </row>
    <row r="658">
      <c r="A658" s="25"/>
    </row>
    <row r="659">
      <c r="A659" s="25"/>
    </row>
    <row r="660">
      <c r="A660" s="25"/>
    </row>
    <row r="661">
      <c r="A661" s="25"/>
    </row>
    <row r="662">
      <c r="A662" s="25"/>
    </row>
    <row r="663">
      <c r="A663" s="25"/>
    </row>
    <row r="664">
      <c r="A664" s="25"/>
    </row>
    <row r="665">
      <c r="A665" s="25"/>
    </row>
    <row r="666">
      <c r="A666" s="25"/>
    </row>
    <row r="667">
      <c r="A667" s="25"/>
    </row>
    <row r="668">
      <c r="A668" s="25"/>
    </row>
    <row r="669">
      <c r="A669" s="25"/>
    </row>
    <row r="670">
      <c r="A670" s="25"/>
    </row>
    <row r="671">
      <c r="A671" s="25"/>
    </row>
    <row r="672">
      <c r="A672" s="25"/>
    </row>
    <row r="673">
      <c r="A673" s="25"/>
    </row>
    <row r="674">
      <c r="A674" s="25"/>
    </row>
    <row r="675">
      <c r="A675" s="25"/>
    </row>
    <row r="676">
      <c r="A676" s="25"/>
    </row>
    <row r="677">
      <c r="A677" s="25"/>
    </row>
    <row r="678">
      <c r="A678" s="25"/>
    </row>
    <row r="679">
      <c r="A679" s="25"/>
    </row>
    <row r="680">
      <c r="A680" s="25"/>
    </row>
    <row r="681">
      <c r="A681" s="25"/>
    </row>
    <row r="682">
      <c r="A682" s="25"/>
    </row>
    <row r="683">
      <c r="A683" s="25"/>
    </row>
    <row r="684">
      <c r="A684" s="25"/>
    </row>
    <row r="685">
      <c r="A685" s="25"/>
    </row>
    <row r="686">
      <c r="A686" s="25"/>
    </row>
    <row r="687">
      <c r="A687" s="25"/>
    </row>
    <row r="688">
      <c r="A688" s="25"/>
    </row>
    <row r="689">
      <c r="A689" s="25"/>
    </row>
    <row r="690">
      <c r="A690" s="25"/>
    </row>
    <row r="691">
      <c r="A691" s="25"/>
    </row>
    <row r="692">
      <c r="A692" s="25"/>
    </row>
    <row r="693">
      <c r="A693" s="25"/>
    </row>
    <row r="694">
      <c r="A694" s="25"/>
    </row>
    <row r="695">
      <c r="A695" s="25"/>
    </row>
    <row r="696">
      <c r="A696" s="25"/>
    </row>
    <row r="697">
      <c r="A697" s="25"/>
    </row>
    <row r="698">
      <c r="A698" s="25"/>
    </row>
    <row r="699">
      <c r="A699" s="25"/>
    </row>
    <row r="700">
      <c r="A700" s="25"/>
    </row>
    <row r="701">
      <c r="A701" s="25"/>
    </row>
    <row r="702">
      <c r="A702" s="25"/>
    </row>
    <row r="703">
      <c r="A703" s="25"/>
    </row>
    <row r="704">
      <c r="A704" s="25"/>
    </row>
    <row r="705">
      <c r="A705" s="25"/>
    </row>
    <row r="706">
      <c r="A706" s="25"/>
    </row>
    <row r="707">
      <c r="A707" s="25"/>
    </row>
    <row r="708">
      <c r="A708" s="25"/>
    </row>
    <row r="709">
      <c r="A709" s="25"/>
    </row>
    <row r="710">
      <c r="A710" s="25"/>
    </row>
    <row r="711">
      <c r="A711" s="25"/>
    </row>
    <row r="712">
      <c r="A712" s="25"/>
    </row>
    <row r="713">
      <c r="A713" s="25"/>
    </row>
    <row r="714">
      <c r="A714" s="25"/>
    </row>
    <row r="715">
      <c r="A715" s="25"/>
    </row>
    <row r="716">
      <c r="A716" s="25"/>
    </row>
    <row r="717">
      <c r="A717" s="25"/>
    </row>
    <row r="718">
      <c r="A718" s="25"/>
    </row>
    <row r="719">
      <c r="A719" s="25"/>
    </row>
    <row r="720">
      <c r="A720" s="25"/>
    </row>
    <row r="721">
      <c r="A721" s="25"/>
    </row>
    <row r="722">
      <c r="A722" s="25"/>
    </row>
    <row r="723">
      <c r="A723" s="25"/>
    </row>
    <row r="724">
      <c r="A724" s="25"/>
    </row>
    <row r="725">
      <c r="A725" s="25"/>
    </row>
    <row r="726">
      <c r="A726" s="25"/>
    </row>
    <row r="727">
      <c r="A727" s="25"/>
    </row>
    <row r="728">
      <c r="A728" s="25"/>
    </row>
    <row r="729">
      <c r="A729" s="25"/>
    </row>
    <row r="730">
      <c r="A730" s="25"/>
    </row>
    <row r="731">
      <c r="A731" s="25"/>
    </row>
    <row r="732">
      <c r="A732" s="25"/>
    </row>
    <row r="733">
      <c r="A733" s="25"/>
    </row>
    <row r="734">
      <c r="A734" s="25"/>
    </row>
    <row r="735">
      <c r="A735" s="25"/>
    </row>
    <row r="736">
      <c r="A736" s="25"/>
    </row>
    <row r="737">
      <c r="A737" s="25"/>
    </row>
    <row r="738">
      <c r="A738" s="25"/>
    </row>
    <row r="739">
      <c r="A739" s="25"/>
    </row>
    <row r="740">
      <c r="A740" s="25"/>
    </row>
    <row r="741">
      <c r="A741" s="25"/>
    </row>
    <row r="742">
      <c r="A742" s="25"/>
    </row>
    <row r="743">
      <c r="A743" s="25"/>
    </row>
    <row r="744">
      <c r="A744" s="25"/>
    </row>
    <row r="745">
      <c r="A745" s="25"/>
    </row>
    <row r="746">
      <c r="A746" s="25"/>
    </row>
    <row r="747">
      <c r="A747" s="25"/>
    </row>
    <row r="748">
      <c r="A748" s="25"/>
    </row>
    <row r="749">
      <c r="A749" s="25"/>
    </row>
    <row r="750">
      <c r="A750" s="25"/>
    </row>
    <row r="751">
      <c r="A751" s="25"/>
    </row>
    <row r="752">
      <c r="A752" s="25"/>
    </row>
    <row r="753">
      <c r="A753" s="25"/>
    </row>
    <row r="754">
      <c r="A754" s="25"/>
    </row>
    <row r="755">
      <c r="A755" s="25"/>
    </row>
    <row r="756">
      <c r="A756" s="25"/>
    </row>
    <row r="757">
      <c r="A757" s="25"/>
    </row>
    <row r="758">
      <c r="A758" s="25"/>
    </row>
    <row r="759">
      <c r="A759" s="25"/>
    </row>
    <row r="760">
      <c r="A760" s="25"/>
    </row>
    <row r="761">
      <c r="A761" s="25"/>
    </row>
    <row r="762">
      <c r="A762" s="25"/>
    </row>
    <row r="763">
      <c r="A763" s="25"/>
    </row>
    <row r="764">
      <c r="A764" s="25"/>
    </row>
    <row r="765">
      <c r="A765" s="25"/>
    </row>
    <row r="766">
      <c r="A766" s="25"/>
    </row>
    <row r="767">
      <c r="A767" s="25"/>
    </row>
    <row r="768">
      <c r="A768" s="25"/>
    </row>
    <row r="769">
      <c r="A769" s="25"/>
    </row>
    <row r="770">
      <c r="A770" s="25"/>
    </row>
    <row r="771">
      <c r="A771" s="25"/>
    </row>
    <row r="772">
      <c r="A772" s="25"/>
    </row>
    <row r="773">
      <c r="A773" s="25"/>
    </row>
    <row r="774">
      <c r="A774" s="25"/>
    </row>
    <row r="775">
      <c r="A775" s="25"/>
    </row>
    <row r="776">
      <c r="A776" s="25"/>
    </row>
    <row r="777">
      <c r="A777" s="25"/>
    </row>
    <row r="778">
      <c r="A778" s="25"/>
    </row>
    <row r="779">
      <c r="A779" s="25"/>
    </row>
    <row r="780">
      <c r="A780" s="25"/>
    </row>
    <row r="781">
      <c r="A781" s="25"/>
    </row>
    <row r="782">
      <c r="A782" s="25"/>
    </row>
    <row r="783">
      <c r="A783" s="25"/>
    </row>
    <row r="784">
      <c r="A784" s="25"/>
    </row>
    <row r="785">
      <c r="A785" s="25"/>
    </row>
    <row r="786">
      <c r="A786" s="25"/>
    </row>
    <row r="787">
      <c r="A787" s="25"/>
    </row>
    <row r="788">
      <c r="A788" s="25"/>
    </row>
    <row r="789">
      <c r="A789" s="25"/>
    </row>
    <row r="790">
      <c r="A790" s="25"/>
    </row>
    <row r="791">
      <c r="A791" s="25"/>
    </row>
    <row r="792">
      <c r="A792" s="25"/>
    </row>
    <row r="793">
      <c r="A793" s="25"/>
    </row>
    <row r="794">
      <c r="A794" s="25"/>
    </row>
    <row r="795">
      <c r="A795" s="25"/>
    </row>
    <row r="796">
      <c r="A796" s="25"/>
    </row>
    <row r="797">
      <c r="A797" s="25"/>
    </row>
    <row r="798">
      <c r="A798" s="25"/>
    </row>
    <row r="799">
      <c r="A799" s="25"/>
    </row>
    <row r="800">
      <c r="A800" s="25"/>
    </row>
    <row r="801">
      <c r="A801" s="25"/>
    </row>
    <row r="802">
      <c r="A802" s="25"/>
    </row>
    <row r="803">
      <c r="A803" s="25"/>
    </row>
    <row r="804">
      <c r="A804" s="25"/>
    </row>
    <row r="805">
      <c r="A805" s="25"/>
    </row>
    <row r="806">
      <c r="A806" s="25"/>
    </row>
    <row r="807">
      <c r="A807" s="25"/>
    </row>
    <row r="808">
      <c r="A808" s="25"/>
    </row>
    <row r="809">
      <c r="A809" s="25"/>
    </row>
    <row r="810">
      <c r="A810" s="25"/>
    </row>
    <row r="811">
      <c r="A811" s="25"/>
    </row>
    <row r="812">
      <c r="A812" s="25"/>
    </row>
    <row r="813">
      <c r="A813" s="25"/>
    </row>
    <row r="814">
      <c r="A814" s="25"/>
    </row>
    <row r="815">
      <c r="A815" s="25"/>
    </row>
    <row r="816">
      <c r="A816" s="25"/>
    </row>
    <row r="817">
      <c r="A817" s="25"/>
    </row>
    <row r="818">
      <c r="A818" s="25"/>
    </row>
    <row r="819">
      <c r="A819" s="25"/>
    </row>
    <row r="820">
      <c r="A820" s="25"/>
    </row>
    <row r="821">
      <c r="A821" s="25"/>
    </row>
    <row r="822">
      <c r="A822" s="25"/>
    </row>
    <row r="823">
      <c r="A823" s="25"/>
    </row>
    <row r="824">
      <c r="A824" s="25"/>
    </row>
    <row r="825">
      <c r="A825" s="25"/>
    </row>
    <row r="826">
      <c r="A826" s="25"/>
    </row>
    <row r="827">
      <c r="A827" s="25"/>
    </row>
    <row r="828">
      <c r="A828" s="25"/>
    </row>
    <row r="829">
      <c r="A829" s="25"/>
    </row>
    <row r="830">
      <c r="A830" s="25"/>
    </row>
    <row r="831">
      <c r="A831" s="25"/>
    </row>
    <row r="832">
      <c r="A832" s="25"/>
    </row>
    <row r="833">
      <c r="A833" s="25"/>
    </row>
    <row r="834">
      <c r="A834" s="25"/>
    </row>
    <row r="835">
      <c r="A835" s="25"/>
    </row>
    <row r="836">
      <c r="A836" s="25"/>
    </row>
    <row r="837">
      <c r="A837" s="25"/>
    </row>
    <row r="838">
      <c r="A838" s="25"/>
    </row>
    <row r="839">
      <c r="A839" s="25"/>
    </row>
    <row r="840">
      <c r="A840" s="25"/>
    </row>
    <row r="841">
      <c r="A841" s="25"/>
    </row>
    <row r="842">
      <c r="A842" s="25"/>
    </row>
    <row r="843">
      <c r="A843" s="25"/>
    </row>
    <row r="844">
      <c r="A844" s="25"/>
    </row>
    <row r="845">
      <c r="A845" s="25"/>
    </row>
    <row r="846">
      <c r="A846" s="25"/>
    </row>
    <row r="847">
      <c r="A847" s="25"/>
    </row>
    <row r="848">
      <c r="A848" s="25"/>
    </row>
    <row r="849">
      <c r="A849" s="25"/>
    </row>
    <row r="850">
      <c r="A850" s="25"/>
    </row>
    <row r="851">
      <c r="A851" s="25"/>
    </row>
    <row r="852">
      <c r="A852" s="25"/>
    </row>
    <row r="853">
      <c r="A853" s="25"/>
    </row>
    <row r="854">
      <c r="A854" s="25"/>
    </row>
    <row r="855">
      <c r="A855" s="25"/>
    </row>
    <row r="856">
      <c r="A856" s="25"/>
    </row>
    <row r="857">
      <c r="A857" s="25"/>
    </row>
    <row r="858">
      <c r="A858" s="25"/>
    </row>
    <row r="859">
      <c r="A859" s="25"/>
    </row>
    <row r="860">
      <c r="A860" s="25"/>
    </row>
    <row r="861">
      <c r="A861" s="25"/>
    </row>
    <row r="862">
      <c r="A862" s="25"/>
    </row>
    <row r="863">
      <c r="A863" s="25"/>
    </row>
    <row r="864">
      <c r="A864" s="25"/>
    </row>
    <row r="865">
      <c r="A865" s="25"/>
    </row>
    <row r="866">
      <c r="A866" s="25"/>
    </row>
    <row r="867">
      <c r="A867" s="25"/>
    </row>
    <row r="868">
      <c r="A868" s="25"/>
    </row>
    <row r="869">
      <c r="A869" s="25"/>
    </row>
    <row r="870">
      <c r="A870" s="25"/>
    </row>
    <row r="871">
      <c r="A871" s="25"/>
    </row>
    <row r="872">
      <c r="A872" s="25"/>
    </row>
    <row r="873">
      <c r="A873" s="25"/>
    </row>
    <row r="874">
      <c r="A874" s="25"/>
    </row>
    <row r="875">
      <c r="A875" s="25"/>
    </row>
    <row r="876">
      <c r="A876" s="25"/>
    </row>
    <row r="877">
      <c r="A877" s="25"/>
    </row>
    <row r="878">
      <c r="A878" s="25"/>
    </row>
    <row r="879">
      <c r="A879" s="25"/>
    </row>
    <row r="880">
      <c r="A880" s="25"/>
    </row>
    <row r="881">
      <c r="A881" s="25"/>
    </row>
    <row r="882">
      <c r="A882" s="25"/>
    </row>
    <row r="883">
      <c r="A883" s="25"/>
    </row>
    <row r="884">
      <c r="A884" s="25"/>
    </row>
    <row r="885">
      <c r="A885" s="25"/>
    </row>
    <row r="886">
      <c r="A886" s="25"/>
    </row>
    <row r="887">
      <c r="A887" s="25"/>
    </row>
    <row r="888">
      <c r="A888" s="25"/>
    </row>
    <row r="889">
      <c r="A889" s="25"/>
    </row>
    <row r="890">
      <c r="A890" s="25"/>
    </row>
    <row r="891">
      <c r="A891" s="25"/>
    </row>
    <row r="892">
      <c r="A892" s="25"/>
    </row>
    <row r="893">
      <c r="A893" s="25"/>
    </row>
    <row r="894">
      <c r="A894" s="25"/>
    </row>
    <row r="895">
      <c r="A895" s="25"/>
    </row>
    <row r="896">
      <c r="A896" s="25"/>
    </row>
    <row r="897">
      <c r="A897" s="25"/>
    </row>
    <row r="898">
      <c r="A898" s="25"/>
    </row>
    <row r="899">
      <c r="A899" s="25"/>
    </row>
    <row r="900">
      <c r="A900" s="25"/>
    </row>
    <row r="901">
      <c r="A901" s="25"/>
    </row>
    <row r="902">
      <c r="A902" s="25"/>
    </row>
    <row r="903">
      <c r="A903" s="25"/>
    </row>
    <row r="904">
      <c r="A904" s="25"/>
    </row>
    <row r="905">
      <c r="A905" s="25"/>
    </row>
    <row r="906">
      <c r="A906" s="25"/>
    </row>
    <row r="907">
      <c r="A907" s="25"/>
    </row>
    <row r="908">
      <c r="A908" s="25"/>
    </row>
    <row r="909">
      <c r="A909" s="25"/>
    </row>
    <row r="910">
      <c r="A910" s="25"/>
    </row>
    <row r="911">
      <c r="A911" s="25"/>
    </row>
    <row r="912">
      <c r="A912" s="25"/>
    </row>
    <row r="913">
      <c r="A913" s="25"/>
    </row>
    <row r="914">
      <c r="A914" s="25"/>
    </row>
    <row r="915">
      <c r="A915" s="25"/>
    </row>
    <row r="916">
      <c r="A916" s="25"/>
    </row>
    <row r="917">
      <c r="A917" s="25"/>
    </row>
    <row r="918">
      <c r="A918" s="25"/>
    </row>
    <row r="919">
      <c r="A919" s="25"/>
    </row>
    <row r="920">
      <c r="A920" s="25"/>
    </row>
    <row r="921">
      <c r="A921" s="25"/>
    </row>
    <row r="922">
      <c r="A922" s="25"/>
    </row>
    <row r="923">
      <c r="A923" s="25"/>
    </row>
    <row r="924">
      <c r="A924" s="25"/>
    </row>
    <row r="925">
      <c r="A925" s="25"/>
    </row>
    <row r="926">
      <c r="A926" s="25"/>
    </row>
    <row r="927">
      <c r="A927" s="25"/>
    </row>
    <row r="928">
      <c r="A928" s="25"/>
    </row>
    <row r="929">
      <c r="A929" s="25"/>
    </row>
    <row r="930">
      <c r="A930" s="25"/>
    </row>
    <row r="931">
      <c r="A931" s="25"/>
    </row>
    <row r="932">
      <c r="A932" s="25"/>
    </row>
    <row r="933">
      <c r="A933" s="25"/>
    </row>
    <row r="934">
      <c r="A934" s="25"/>
    </row>
    <row r="935">
      <c r="A935" s="25"/>
    </row>
    <row r="936">
      <c r="A936" s="25"/>
    </row>
    <row r="937">
      <c r="A937" s="25"/>
    </row>
    <row r="938">
      <c r="A938" s="25"/>
    </row>
    <row r="939">
      <c r="A939" s="25"/>
    </row>
    <row r="940">
      <c r="A940" s="25"/>
    </row>
    <row r="941">
      <c r="A941" s="25"/>
    </row>
    <row r="942">
      <c r="A942" s="25"/>
    </row>
    <row r="943">
      <c r="A943" s="25"/>
    </row>
    <row r="944">
      <c r="A944" s="25"/>
    </row>
    <row r="945">
      <c r="A945" s="25"/>
    </row>
    <row r="946">
      <c r="A946" s="25"/>
    </row>
    <row r="947">
      <c r="A947" s="25"/>
    </row>
    <row r="948">
      <c r="A948" s="25"/>
    </row>
    <row r="949">
      <c r="A949" s="25"/>
    </row>
    <row r="950">
      <c r="A950" s="25"/>
    </row>
    <row r="951">
      <c r="A951" s="25"/>
    </row>
    <row r="952">
      <c r="A952" s="25"/>
    </row>
    <row r="953">
      <c r="A953" s="25"/>
    </row>
    <row r="954">
      <c r="A954" s="25"/>
    </row>
    <row r="955">
      <c r="A955" s="25"/>
    </row>
    <row r="956">
      <c r="A956" s="25"/>
    </row>
    <row r="957">
      <c r="A957" s="25"/>
    </row>
    <row r="958">
      <c r="A958" s="25"/>
    </row>
    <row r="959">
      <c r="A959" s="25"/>
    </row>
    <row r="960">
      <c r="A960" s="25"/>
    </row>
    <row r="961">
      <c r="A961" s="25"/>
    </row>
    <row r="962">
      <c r="A962" s="25"/>
    </row>
    <row r="963">
      <c r="A963" s="25"/>
    </row>
    <row r="964">
      <c r="A964" s="25"/>
    </row>
    <row r="965">
      <c r="A965" s="25"/>
    </row>
    <row r="966">
      <c r="A966" s="25"/>
    </row>
    <row r="967">
      <c r="A967" s="25"/>
    </row>
    <row r="968">
      <c r="A968" s="25"/>
    </row>
    <row r="969">
      <c r="A969" s="25"/>
    </row>
    <row r="970">
      <c r="A970" s="25"/>
    </row>
    <row r="971">
      <c r="A971" s="25"/>
    </row>
    <row r="972">
      <c r="A972" s="25"/>
    </row>
    <row r="973">
      <c r="A973" s="25"/>
    </row>
    <row r="974">
      <c r="A974" s="25"/>
    </row>
    <row r="975">
      <c r="A975" s="25"/>
    </row>
    <row r="976">
      <c r="A976" s="25"/>
    </row>
    <row r="977">
      <c r="A977" s="25"/>
    </row>
    <row r="978">
      <c r="A978" s="25"/>
    </row>
    <row r="979">
      <c r="A979" s="25"/>
    </row>
    <row r="980">
      <c r="A980" s="25"/>
    </row>
    <row r="981">
      <c r="A981" s="25"/>
    </row>
    <row r="982">
      <c r="A982" s="25"/>
    </row>
    <row r="983">
      <c r="A983" s="25"/>
    </row>
    <row r="984">
      <c r="A984" s="25"/>
    </row>
    <row r="985">
      <c r="A985" s="25"/>
    </row>
    <row r="986">
      <c r="A986" s="25"/>
    </row>
    <row r="987">
      <c r="A987" s="25"/>
    </row>
    <row r="988">
      <c r="A988" s="25"/>
    </row>
    <row r="989">
      <c r="A989" s="25"/>
    </row>
    <row r="990">
      <c r="A990" s="25"/>
    </row>
    <row r="991">
      <c r="A991" s="25"/>
    </row>
    <row r="992">
      <c r="A992" s="25"/>
    </row>
    <row r="993">
      <c r="A993" s="25"/>
    </row>
    <row r="994">
      <c r="A994" s="25"/>
    </row>
    <row r="995">
      <c r="A995" s="25"/>
    </row>
    <row r="996">
      <c r="A996" s="25"/>
    </row>
    <row r="997">
      <c r="A997" s="25"/>
    </row>
    <row r="998">
      <c r="A998" s="25"/>
    </row>
    <row r="999">
      <c r="A999" s="25"/>
    </row>
    <row r="1000">
      <c r="A1000" s="25"/>
    </row>
    <row r="1001">
      <c r="A1001" s="25"/>
    </row>
    <row r="1002">
      <c r="A1002" s="25"/>
    </row>
    <row r="1003">
      <c r="A1003" s="25"/>
    </row>
    <row r="1004">
      <c r="A1004" s="25"/>
    </row>
    <row r="1005">
      <c r="A1005" s="25"/>
    </row>
    <row r="1006">
      <c r="A1006" s="25"/>
    </row>
    <row r="1007">
      <c r="A1007" s="25"/>
    </row>
    <row r="1008">
      <c r="A1008" s="25"/>
    </row>
    <row r="1009">
      <c r="A1009" s="25"/>
    </row>
    <row r="1010">
      <c r="A1010" s="25"/>
    </row>
    <row r="1011">
      <c r="A1011" s="25"/>
    </row>
    <row r="1012">
      <c r="A1012" s="25"/>
    </row>
    <row r="1013">
      <c r="A1013" s="25"/>
    </row>
    <row r="1014">
      <c r="A1014" s="25"/>
    </row>
    <row r="1015">
      <c r="A1015" s="25"/>
    </row>
    <row r="1016">
      <c r="A1016" s="25"/>
    </row>
    <row r="1017">
      <c r="A1017" s="25"/>
    </row>
    <row r="1018">
      <c r="A1018" s="25"/>
    </row>
    <row r="1019">
      <c r="A1019" s="25"/>
    </row>
    <row r="1020">
      <c r="A1020" s="25"/>
    </row>
    <row r="1021">
      <c r="A1021" s="25"/>
    </row>
    <row r="1022">
      <c r="A1022" s="25"/>
    </row>
    <row r="1023">
      <c r="A1023" s="25"/>
    </row>
    <row r="1024">
      <c r="A1024" s="25"/>
    </row>
    <row r="1025">
      <c r="A1025" s="25"/>
    </row>
    <row r="1026">
      <c r="A1026" s="25"/>
    </row>
    <row r="1027">
      <c r="A1027" s="25"/>
    </row>
    <row r="1028">
      <c r="A1028" s="25"/>
    </row>
  </sheetData>
  <mergeCells count="1">
    <mergeCell ref="O2:S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7.63"/>
    <col customWidth="1" min="2" max="2" width="13.63"/>
    <col customWidth="1" min="3" max="3" width="7.63"/>
    <col customWidth="1" min="4" max="4" width="11.88"/>
    <col customWidth="1" min="5" max="5" width="16.13"/>
    <col customWidth="1" min="6" max="6" width="5.63"/>
    <col customWidth="1" min="7" max="18" width="7.63"/>
  </cols>
  <sheetData>
    <row r="1" ht="1.5" customHeight="1">
      <c r="A1" s="93" t="s">
        <v>63</v>
      </c>
      <c r="B1" s="93">
        <v>1.4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</row>
    <row r="2" ht="24.75" customHeight="1">
      <c r="A2" s="94"/>
      <c r="B2" s="95" t="s">
        <v>64</v>
      </c>
      <c r="C2" s="96"/>
      <c r="D2" s="96"/>
      <c r="E2" s="97"/>
      <c r="F2" s="94"/>
      <c r="G2" s="98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</row>
    <row r="3" ht="19.5" customHeight="1">
      <c r="A3" s="94"/>
      <c r="B3" s="100" t="s">
        <v>65</v>
      </c>
      <c r="C3" s="96"/>
      <c r="D3" s="96"/>
      <c r="E3" s="97"/>
      <c r="F3" s="94"/>
      <c r="G3" s="98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</row>
    <row r="4" ht="12.75" customHeight="1">
      <c r="A4" s="94"/>
      <c r="B4" s="101"/>
      <c r="C4" s="94"/>
      <c r="D4" s="94"/>
      <c r="E4" s="102"/>
      <c r="F4" s="94"/>
      <c r="G4" s="103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</row>
    <row r="5" ht="27.75" customHeight="1">
      <c r="A5" s="93"/>
      <c r="B5" s="104"/>
      <c r="C5" s="93"/>
      <c r="D5" s="93"/>
      <c r="E5" s="105" t="s">
        <v>66</v>
      </c>
      <c r="F5" s="93"/>
      <c r="G5" s="106">
        <v>45658.0</v>
      </c>
      <c r="H5" s="107">
        <f t="shared" ref="H5:R5" si="1">EDATE(G5,1)</f>
        <v>45689</v>
      </c>
      <c r="I5" s="107">
        <f t="shared" si="1"/>
        <v>45717</v>
      </c>
      <c r="J5" s="107">
        <f t="shared" si="1"/>
        <v>45748</v>
      </c>
      <c r="K5" s="107">
        <f t="shared" si="1"/>
        <v>45778</v>
      </c>
      <c r="L5" s="107">
        <f t="shared" si="1"/>
        <v>45809</v>
      </c>
      <c r="M5" s="107">
        <f t="shared" si="1"/>
        <v>45839</v>
      </c>
      <c r="N5" s="107">
        <f t="shared" si="1"/>
        <v>45870</v>
      </c>
      <c r="O5" s="107">
        <f t="shared" si="1"/>
        <v>45901</v>
      </c>
      <c r="P5" s="107">
        <f t="shared" si="1"/>
        <v>45931</v>
      </c>
      <c r="Q5" s="107">
        <f t="shared" si="1"/>
        <v>45962</v>
      </c>
      <c r="R5" s="107">
        <f t="shared" si="1"/>
        <v>45992</v>
      </c>
    </row>
    <row r="6" ht="12.75" customHeight="1">
      <c r="A6" s="93"/>
      <c r="B6" s="108" t="s">
        <v>67</v>
      </c>
      <c r="C6" s="109"/>
      <c r="D6" s="110"/>
      <c r="E6" s="111"/>
      <c r="F6" s="112"/>
      <c r="G6" s="113"/>
      <c r="H6" s="114"/>
      <c r="I6" s="114"/>
      <c r="J6" s="114"/>
      <c r="K6" s="114"/>
      <c r="L6" s="114"/>
      <c r="M6" s="114"/>
      <c r="N6" s="114"/>
      <c r="O6" s="114"/>
      <c r="P6" s="114"/>
      <c r="Q6" s="114"/>
      <c r="R6" s="114"/>
    </row>
    <row r="7" ht="12.75" customHeight="1">
      <c r="A7" s="115"/>
      <c r="B7" s="116" t="s">
        <v>68</v>
      </c>
      <c r="C7" s="94"/>
      <c r="D7" s="117"/>
      <c r="E7" s="118"/>
      <c r="F7" s="119"/>
      <c r="G7" s="120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</row>
    <row r="8" ht="12.75" customHeight="1">
      <c r="A8" s="94"/>
      <c r="B8" s="122" t="s">
        <v>69</v>
      </c>
      <c r="C8" s="94"/>
      <c r="D8" s="117"/>
      <c r="E8" s="123">
        <v>15000.0</v>
      </c>
      <c r="F8" s="119"/>
      <c r="G8" s="124">
        <f t="shared" ref="G8:I8" si="2">$E$8</f>
        <v>15000</v>
      </c>
      <c r="H8" s="124">
        <f t="shared" si="2"/>
        <v>15000</v>
      </c>
      <c r="I8" s="124">
        <f t="shared" si="2"/>
        <v>15000</v>
      </c>
      <c r="J8" s="124">
        <v>22500.0</v>
      </c>
      <c r="K8" s="124">
        <v>22500.0</v>
      </c>
      <c r="L8" s="124">
        <v>22500.0</v>
      </c>
      <c r="M8" s="124">
        <v>22500.0</v>
      </c>
      <c r="N8" s="124">
        <v>22500.0</v>
      </c>
      <c r="O8" s="124">
        <v>22500.0</v>
      </c>
      <c r="P8" s="124">
        <v>22500.0</v>
      </c>
      <c r="Q8" s="124">
        <v>22500.0</v>
      </c>
      <c r="R8" s="124">
        <v>22500.0</v>
      </c>
    </row>
    <row r="9" ht="12.75" customHeight="1">
      <c r="A9" s="93"/>
      <c r="B9" s="125" t="s">
        <v>70</v>
      </c>
      <c r="C9" s="94"/>
      <c r="D9" s="117"/>
      <c r="E9" s="126">
        <v>2.0</v>
      </c>
      <c r="F9" s="119"/>
      <c r="G9" s="127">
        <f t="shared" ref="G9:L9" si="3">$E$9</f>
        <v>2</v>
      </c>
      <c r="H9" s="127">
        <f t="shared" si="3"/>
        <v>2</v>
      </c>
      <c r="I9" s="127">
        <f t="shared" si="3"/>
        <v>2</v>
      </c>
      <c r="J9" s="127">
        <f t="shared" si="3"/>
        <v>2</v>
      </c>
      <c r="K9" s="127">
        <f t="shared" si="3"/>
        <v>2</v>
      </c>
      <c r="L9" s="127">
        <f t="shared" si="3"/>
        <v>2</v>
      </c>
      <c r="M9" s="127">
        <v>2.5</v>
      </c>
      <c r="N9" s="127">
        <v>2.5</v>
      </c>
      <c r="O9" s="127">
        <v>2.5</v>
      </c>
      <c r="P9" s="127">
        <v>2.5</v>
      </c>
      <c r="Q9" s="127">
        <v>2.5</v>
      </c>
      <c r="R9" s="127">
        <v>2.5</v>
      </c>
    </row>
    <row r="10" ht="12.75" customHeight="1">
      <c r="A10" s="93"/>
      <c r="B10" s="116" t="s">
        <v>71</v>
      </c>
      <c r="C10" s="94"/>
      <c r="D10" s="117"/>
      <c r="E10" s="128"/>
      <c r="F10" s="119"/>
      <c r="G10" s="129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/>
    </row>
    <row r="11" ht="12.75" customHeight="1">
      <c r="A11" s="93"/>
      <c r="B11" s="125" t="s">
        <v>72</v>
      </c>
      <c r="C11" s="94"/>
      <c r="D11" s="117"/>
      <c r="E11" s="128">
        <v>3000.0</v>
      </c>
      <c r="F11" s="119"/>
      <c r="G11" s="129">
        <f t="shared" ref="G11:R11" si="4">$E$11</f>
        <v>3000</v>
      </c>
      <c r="H11" s="129">
        <f t="shared" si="4"/>
        <v>3000</v>
      </c>
      <c r="I11" s="129">
        <f t="shared" si="4"/>
        <v>3000</v>
      </c>
      <c r="J11" s="129">
        <f t="shared" si="4"/>
        <v>3000</v>
      </c>
      <c r="K11" s="129">
        <f t="shared" si="4"/>
        <v>3000</v>
      </c>
      <c r="L11" s="129">
        <f t="shared" si="4"/>
        <v>3000</v>
      </c>
      <c r="M11" s="129">
        <f t="shared" si="4"/>
        <v>3000</v>
      </c>
      <c r="N11" s="129">
        <f t="shared" si="4"/>
        <v>3000</v>
      </c>
      <c r="O11" s="129">
        <f t="shared" si="4"/>
        <v>3000</v>
      </c>
      <c r="P11" s="129">
        <f t="shared" si="4"/>
        <v>3000</v>
      </c>
      <c r="Q11" s="129">
        <f t="shared" si="4"/>
        <v>3000</v>
      </c>
      <c r="R11" s="129">
        <f t="shared" si="4"/>
        <v>3000</v>
      </c>
    </row>
    <row r="12" ht="12.75" customHeight="1">
      <c r="A12" s="93"/>
      <c r="B12" s="130" t="s">
        <v>73</v>
      </c>
      <c r="C12" s="93"/>
      <c r="D12" s="93"/>
      <c r="E12" s="131">
        <v>2.0</v>
      </c>
      <c r="F12" s="93"/>
      <c r="G12" s="132">
        <f t="shared" ref="G12:R12" si="5">$E$12</f>
        <v>2</v>
      </c>
      <c r="H12" s="132">
        <f t="shared" si="5"/>
        <v>2</v>
      </c>
      <c r="I12" s="132">
        <f t="shared" si="5"/>
        <v>2</v>
      </c>
      <c r="J12" s="132">
        <f t="shared" si="5"/>
        <v>2</v>
      </c>
      <c r="K12" s="132">
        <f t="shared" si="5"/>
        <v>2</v>
      </c>
      <c r="L12" s="132">
        <f t="shared" si="5"/>
        <v>2</v>
      </c>
      <c r="M12" s="132">
        <f t="shared" si="5"/>
        <v>2</v>
      </c>
      <c r="N12" s="132">
        <f t="shared" si="5"/>
        <v>2</v>
      </c>
      <c r="O12" s="132">
        <f t="shared" si="5"/>
        <v>2</v>
      </c>
      <c r="P12" s="132">
        <f t="shared" si="5"/>
        <v>2</v>
      </c>
      <c r="Q12" s="132">
        <f t="shared" si="5"/>
        <v>2</v>
      </c>
      <c r="R12" s="132">
        <f t="shared" si="5"/>
        <v>2</v>
      </c>
    </row>
    <row r="13" ht="12.75" customHeight="1">
      <c r="A13" s="93"/>
      <c r="B13" s="133"/>
      <c r="C13" s="93"/>
      <c r="D13" s="93"/>
      <c r="E13" s="134"/>
      <c r="F13" s="93"/>
      <c r="G13" s="135"/>
      <c r="H13" s="135"/>
      <c r="I13" s="135"/>
      <c r="J13" s="135"/>
      <c r="K13" s="135"/>
      <c r="L13" s="135"/>
      <c r="M13" s="135"/>
      <c r="N13" s="135"/>
      <c r="O13" s="135"/>
      <c r="P13" s="135"/>
      <c r="Q13" s="135"/>
      <c r="R13" s="135"/>
    </row>
    <row r="14" ht="12.75" customHeight="1">
      <c r="A14" s="136"/>
      <c r="B14" s="137" t="s">
        <v>61</v>
      </c>
      <c r="C14" s="136"/>
      <c r="D14" s="136"/>
      <c r="E14" s="138">
        <v>0.8</v>
      </c>
      <c r="F14" s="136"/>
      <c r="G14" s="139">
        <f t="shared" ref="G14:R14" si="6">$E$14</f>
        <v>0.8</v>
      </c>
      <c r="H14" s="139">
        <f t="shared" si="6"/>
        <v>0.8</v>
      </c>
      <c r="I14" s="139">
        <f t="shared" si="6"/>
        <v>0.8</v>
      </c>
      <c r="J14" s="139">
        <f t="shared" si="6"/>
        <v>0.8</v>
      </c>
      <c r="K14" s="139">
        <f t="shared" si="6"/>
        <v>0.8</v>
      </c>
      <c r="L14" s="139">
        <f t="shared" si="6"/>
        <v>0.8</v>
      </c>
      <c r="M14" s="139">
        <f t="shared" si="6"/>
        <v>0.8</v>
      </c>
      <c r="N14" s="139">
        <f t="shared" si="6"/>
        <v>0.8</v>
      </c>
      <c r="O14" s="139">
        <f t="shared" si="6"/>
        <v>0.8</v>
      </c>
      <c r="P14" s="139">
        <f t="shared" si="6"/>
        <v>0.8</v>
      </c>
      <c r="Q14" s="139">
        <f t="shared" si="6"/>
        <v>0.8</v>
      </c>
      <c r="R14" s="139">
        <f t="shared" si="6"/>
        <v>0.8</v>
      </c>
    </row>
    <row r="15" ht="12.75" customHeight="1">
      <c r="A15" s="136"/>
      <c r="B15" s="140"/>
      <c r="C15" s="136"/>
      <c r="D15" s="136"/>
      <c r="E15" s="141"/>
      <c r="F15" s="136"/>
      <c r="G15" s="136"/>
      <c r="H15" s="136"/>
      <c r="I15" s="136"/>
      <c r="J15" s="136"/>
      <c r="K15" s="136"/>
      <c r="L15" s="136"/>
      <c r="M15" s="136"/>
      <c r="N15" s="136"/>
      <c r="O15" s="136"/>
      <c r="P15" s="136"/>
      <c r="Q15" s="136"/>
      <c r="R15" s="136"/>
    </row>
    <row r="16" ht="12.75" customHeight="1">
      <c r="A16" s="93"/>
      <c r="B16" s="142" t="s">
        <v>74</v>
      </c>
      <c r="C16" s="109"/>
      <c r="D16" s="110"/>
      <c r="E16" s="143"/>
      <c r="F16" s="112"/>
      <c r="G16" s="109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</row>
    <row r="17" ht="12.75" customHeight="1">
      <c r="A17" s="93"/>
      <c r="B17" s="101" t="s">
        <v>75</v>
      </c>
      <c r="C17" s="144"/>
      <c r="D17" s="145"/>
      <c r="E17" s="146">
        <v>0.8</v>
      </c>
      <c r="F17" s="147"/>
      <c r="G17" s="148">
        <f t="shared" ref="G17:R17" si="7">$E$17</f>
        <v>0.8</v>
      </c>
      <c r="H17" s="148">
        <f t="shared" si="7"/>
        <v>0.8</v>
      </c>
      <c r="I17" s="148">
        <f t="shared" si="7"/>
        <v>0.8</v>
      </c>
      <c r="J17" s="148">
        <f t="shared" si="7"/>
        <v>0.8</v>
      </c>
      <c r="K17" s="148">
        <f t="shared" si="7"/>
        <v>0.8</v>
      </c>
      <c r="L17" s="148">
        <f t="shared" si="7"/>
        <v>0.8</v>
      </c>
      <c r="M17" s="148">
        <f t="shared" si="7"/>
        <v>0.8</v>
      </c>
      <c r="N17" s="148">
        <f t="shared" si="7"/>
        <v>0.8</v>
      </c>
      <c r="O17" s="148">
        <f t="shared" si="7"/>
        <v>0.8</v>
      </c>
      <c r="P17" s="148">
        <f t="shared" si="7"/>
        <v>0.8</v>
      </c>
      <c r="Q17" s="148">
        <f t="shared" si="7"/>
        <v>0.8</v>
      </c>
      <c r="R17" s="148">
        <f t="shared" si="7"/>
        <v>0.8</v>
      </c>
    </row>
    <row r="18" ht="12.75" customHeight="1">
      <c r="A18" s="93"/>
      <c r="B18" s="149" t="s">
        <v>76</v>
      </c>
      <c r="C18" s="144"/>
      <c r="D18" s="145"/>
      <c r="E18" s="146">
        <v>0.2</v>
      </c>
      <c r="F18" s="147"/>
      <c r="G18" s="148">
        <f t="shared" ref="G18:R18" si="8">$E$18</f>
        <v>0.2</v>
      </c>
      <c r="H18" s="148">
        <f t="shared" si="8"/>
        <v>0.2</v>
      </c>
      <c r="I18" s="148">
        <f t="shared" si="8"/>
        <v>0.2</v>
      </c>
      <c r="J18" s="148">
        <f t="shared" si="8"/>
        <v>0.2</v>
      </c>
      <c r="K18" s="148">
        <f t="shared" si="8"/>
        <v>0.2</v>
      </c>
      <c r="L18" s="148">
        <f t="shared" si="8"/>
        <v>0.2</v>
      </c>
      <c r="M18" s="148">
        <f t="shared" si="8"/>
        <v>0.2</v>
      </c>
      <c r="N18" s="148">
        <f t="shared" si="8"/>
        <v>0.2</v>
      </c>
      <c r="O18" s="148">
        <f t="shared" si="8"/>
        <v>0.2</v>
      </c>
      <c r="P18" s="148">
        <f t="shared" si="8"/>
        <v>0.2</v>
      </c>
      <c r="Q18" s="148">
        <f t="shared" si="8"/>
        <v>0.2</v>
      </c>
      <c r="R18" s="148">
        <f t="shared" si="8"/>
        <v>0.2</v>
      </c>
    </row>
    <row r="19" ht="12.75" customHeight="1">
      <c r="A19" s="93"/>
      <c r="B19" s="101" t="s">
        <v>77</v>
      </c>
      <c r="C19" s="144"/>
      <c r="D19" s="145"/>
      <c r="E19" s="146">
        <v>0.0</v>
      </c>
      <c r="F19" s="147"/>
      <c r="G19" s="148">
        <f t="shared" ref="G19:R19" si="9">$E$19</f>
        <v>0</v>
      </c>
      <c r="H19" s="148">
        <f t="shared" si="9"/>
        <v>0</v>
      </c>
      <c r="I19" s="148">
        <f t="shared" si="9"/>
        <v>0</v>
      </c>
      <c r="J19" s="148">
        <f t="shared" si="9"/>
        <v>0</v>
      </c>
      <c r="K19" s="148">
        <f t="shared" si="9"/>
        <v>0</v>
      </c>
      <c r="L19" s="148">
        <f t="shared" si="9"/>
        <v>0</v>
      </c>
      <c r="M19" s="148">
        <f t="shared" si="9"/>
        <v>0</v>
      </c>
      <c r="N19" s="148">
        <f t="shared" si="9"/>
        <v>0</v>
      </c>
      <c r="O19" s="148">
        <f t="shared" si="9"/>
        <v>0</v>
      </c>
      <c r="P19" s="148">
        <f t="shared" si="9"/>
        <v>0</v>
      </c>
      <c r="Q19" s="148">
        <f t="shared" si="9"/>
        <v>0</v>
      </c>
      <c r="R19" s="148">
        <f t="shared" si="9"/>
        <v>0</v>
      </c>
    </row>
    <row r="20" ht="12.75" customHeight="1">
      <c r="A20" s="93"/>
      <c r="B20" s="133"/>
      <c r="C20" s="93"/>
      <c r="D20" s="93"/>
      <c r="E20" s="150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</row>
    <row r="21" ht="12.75" customHeight="1">
      <c r="A21" s="93"/>
      <c r="B21" s="142" t="s">
        <v>78</v>
      </c>
      <c r="C21" s="109"/>
      <c r="D21" s="110"/>
      <c r="E21" s="143"/>
      <c r="F21" s="112"/>
      <c r="G21" s="109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</row>
    <row r="22" ht="12.75" customHeight="1">
      <c r="A22" s="93"/>
      <c r="B22" s="151" t="s">
        <v>79</v>
      </c>
      <c r="C22" s="152"/>
      <c r="D22" s="153"/>
      <c r="E22" s="154"/>
      <c r="F22" s="155"/>
      <c r="G22" s="152"/>
      <c r="H22" s="156"/>
      <c r="I22" s="156"/>
      <c r="J22" s="156"/>
      <c r="K22" s="156"/>
      <c r="L22" s="156"/>
      <c r="M22" s="156"/>
      <c r="N22" s="156"/>
      <c r="O22" s="156"/>
      <c r="P22" s="156"/>
      <c r="Q22" s="156"/>
      <c r="R22" s="156"/>
    </row>
    <row r="23" ht="12.75" customHeight="1">
      <c r="A23" s="94"/>
      <c r="B23" s="125" t="s">
        <v>80</v>
      </c>
      <c r="C23" s="94"/>
      <c r="D23" s="117"/>
      <c r="E23" s="157">
        <f>E26*E30</f>
        <v>49.85394352</v>
      </c>
      <c r="F23" s="119"/>
      <c r="G23" s="158">
        <f t="shared" ref="G23:R23" si="10">$E$23</f>
        <v>49.85394352</v>
      </c>
      <c r="H23" s="158">
        <f t="shared" si="10"/>
        <v>49.85394352</v>
      </c>
      <c r="I23" s="158">
        <f t="shared" si="10"/>
        <v>49.85394352</v>
      </c>
      <c r="J23" s="158">
        <f t="shared" si="10"/>
        <v>49.85394352</v>
      </c>
      <c r="K23" s="158">
        <f t="shared" si="10"/>
        <v>49.85394352</v>
      </c>
      <c r="L23" s="158">
        <f t="shared" si="10"/>
        <v>49.85394352</v>
      </c>
      <c r="M23" s="158">
        <f t="shared" si="10"/>
        <v>49.85394352</v>
      </c>
      <c r="N23" s="158">
        <f t="shared" si="10"/>
        <v>49.85394352</v>
      </c>
      <c r="O23" s="158">
        <f t="shared" si="10"/>
        <v>49.85394352</v>
      </c>
      <c r="P23" s="158">
        <f t="shared" si="10"/>
        <v>49.85394352</v>
      </c>
      <c r="Q23" s="158">
        <f t="shared" si="10"/>
        <v>49.85394352</v>
      </c>
      <c r="R23" s="158">
        <f t="shared" si="10"/>
        <v>49.85394352</v>
      </c>
    </row>
    <row r="24" ht="12.75" hidden="1" customHeight="1">
      <c r="A24" s="94"/>
      <c r="B24" s="122" t="s">
        <v>46</v>
      </c>
      <c r="C24" s="94"/>
      <c r="D24" s="117"/>
      <c r="E24" s="159">
        <f>average(E9)*E17</f>
        <v>1.6</v>
      </c>
      <c r="F24" s="119"/>
      <c r="G24" s="160">
        <f t="shared" ref="G24:R24" si="11">$E$24</f>
        <v>1.6</v>
      </c>
      <c r="H24" s="160">
        <f t="shared" si="11"/>
        <v>1.6</v>
      </c>
      <c r="I24" s="160">
        <f t="shared" si="11"/>
        <v>1.6</v>
      </c>
      <c r="J24" s="160">
        <f t="shared" si="11"/>
        <v>1.6</v>
      </c>
      <c r="K24" s="160">
        <f t="shared" si="11"/>
        <v>1.6</v>
      </c>
      <c r="L24" s="160">
        <f t="shared" si="11"/>
        <v>1.6</v>
      </c>
      <c r="M24" s="160">
        <f t="shared" si="11"/>
        <v>1.6</v>
      </c>
      <c r="N24" s="160">
        <f t="shared" si="11"/>
        <v>1.6</v>
      </c>
      <c r="O24" s="160">
        <f t="shared" si="11"/>
        <v>1.6</v>
      </c>
      <c r="P24" s="160">
        <f t="shared" si="11"/>
        <v>1.6</v>
      </c>
      <c r="Q24" s="160">
        <f t="shared" si="11"/>
        <v>1.6</v>
      </c>
      <c r="R24" s="160">
        <f t="shared" si="11"/>
        <v>1.6</v>
      </c>
    </row>
    <row r="25" ht="12.75" hidden="1" customHeight="1">
      <c r="A25" s="94"/>
      <c r="B25" s="122" t="s">
        <v>45</v>
      </c>
      <c r="C25" s="94"/>
      <c r="D25" s="117"/>
      <c r="E25" s="161">
        <f>E24/E29</f>
        <v>2.025316456</v>
      </c>
      <c r="F25" s="119"/>
      <c r="G25" s="162">
        <f t="shared" ref="G25:R25" si="12">$E$25</f>
        <v>2.025316456</v>
      </c>
      <c r="H25" s="162">
        <f t="shared" si="12"/>
        <v>2.025316456</v>
      </c>
      <c r="I25" s="162">
        <f t="shared" si="12"/>
        <v>2.025316456</v>
      </c>
      <c r="J25" s="162">
        <f t="shared" si="12"/>
        <v>2.025316456</v>
      </c>
      <c r="K25" s="162">
        <f t="shared" si="12"/>
        <v>2.025316456</v>
      </c>
      <c r="L25" s="162">
        <f t="shared" si="12"/>
        <v>2.025316456</v>
      </c>
      <c r="M25" s="162">
        <f t="shared" si="12"/>
        <v>2.025316456</v>
      </c>
      <c r="N25" s="162">
        <f t="shared" si="12"/>
        <v>2.025316456</v>
      </c>
      <c r="O25" s="162">
        <f t="shared" si="12"/>
        <v>2.025316456</v>
      </c>
      <c r="P25" s="162">
        <f t="shared" si="12"/>
        <v>2.025316456</v>
      </c>
      <c r="Q25" s="162">
        <f t="shared" si="12"/>
        <v>2.025316456</v>
      </c>
      <c r="R25" s="162">
        <f t="shared" si="12"/>
        <v>2.025316456</v>
      </c>
    </row>
    <row r="26" ht="12.75" hidden="1" customHeight="1">
      <c r="A26" s="94"/>
      <c r="B26" s="125" t="s">
        <v>81</v>
      </c>
      <c r="C26" s="94"/>
      <c r="D26" s="117"/>
      <c r="E26" s="159">
        <f>E25/E27</f>
        <v>3.11587147</v>
      </c>
      <c r="F26" s="119"/>
      <c r="G26" s="160">
        <f t="shared" ref="G26:R26" si="13">$E$26</f>
        <v>3.11587147</v>
      </c>
      <c r="H26" s="160">
        <f t="shared" si="13"/>
        <v>3.11587147</v>
      </c>
      <c r="I26" s="160">
        <f t="shared" si="13"/>
        <v>3.11587147</v>
      </c>
      <c r="J26" s="160">
        <f t="shared" si="13"/>
        <v>3.11587147</v>
      </c>
      <c r="K26" s="160">
        <f t="shared" si="13"/>
        <v>3.11587147</v>
      </c>
      <c r="L26" s="160">
        <f t="shared" si="13"/>
        <v>3.11587147</v>
      </c>
      <c r="M26" s="160">
        <f t="shared" si="13"/>
        <v>3.11587147</v>
      </c>
      <c r="N26" s="160">
        <f t="shared" si="13"/>
        <v>3.11587147</v>
      </c>
      <c r="O26" s="160">
        <f t="shared" si="13"/>
        <v>3.11587147</v>
      </c>
      <c r="P26" s="160">
        <f t="shared" si="13"/>
        <v>3.11587147</v>
      </c>
      <c r="Q26" s="160">
        <f t="shared" si="13"/>
        <v>3.11587147</v>
      </c>
      <c r="R26" s="160">
        <f t="shared" si="13"/>
        <v>3.11587147</v>
      </c>
    </row>
    <row r="27" ht="12.75" customHeight="1">
      <c r="A27" s="94"/>
      <c r="B27" s="122" t="s">
        <v>82</v>
      </c>
      <c r="C27" s="94"/>
      <c r="D27" s="117"/>
      <c r="E27" s="163">
        <v>0.65</v>
      </c>
      <c r="F27" s="119"/>
      <c r="G27" s="164">
        <f t="shared" ref="G27:R27" si="14">$E$27</f>
        <v>0.65</v>
      </c>
      <c r="H27" s="164">
        <f t="shared" si="14"/>
        <v>0.65</v>
      </c>
      <c r="I27" s="164">
        <f t="shared" si="14"/>
        <v>0.65</v>
      </c>
      <c r="J27" s="164">
        <f t="shared" si="14"/>
        <v>0.65</v>
      </c>
      <c r="K27" s="164">
        <f t="shared" si="14"/>
        <v>0.65</v>
      </c>
      <c r="L27" s="164">
        <f t="shared" si="14"/>
        <v>0.65</v>
      </c>
      <c r="M27" s="164">
        <f t="shared" si="14"/>
        <v>0.65</v>
      </c>
      <c r="N27" s="164">
        <f t="shared" si="14"/>
        <v>0.65</v>
      </c>
      <c r="O27" s="164">
        <f t="shared" si="14"/>
        <v>0.65</v>
      </c>
      <c r="P27" s="164">
        <f t="shared" si="14"/>
        <v>0.65</v>
      </c>
      <c r="Q27" s="164">
        <f t="shared" si="14"/>
        <v>0.65</v>
      </c>
      <c r="R27" s="164">
        <f t="shared" si="14"/>
        <v>0.65</v>
      </c>
    </row>
    <row r="28" ht="12.75" customHeight="1">
      <c r="A28" s="94"/>
      <c r="B28" s="122" t="s">
        <v>83</v>
      </c>
      <c r="C28" s="94"/>
      <c r="D28" s="117"/>
      <c r="E28" s="163">
        <v>0.45</v>
      </c>
      <c r="F28" s="119"/>
      <c r="G28" s="164">
        <f t="shared" ref="G28:R28" si="15">$E$28</f>
        <v>0.45</v>
      </c>
      <c r="H28" s="164">
        <f t="shared" si="15"/>
        <v>0.45</v>
      </c>
      <c r="I28" s="164">
        <f t="shared" si="15"/>
        <v>0.45</v>
      </c>
      <c r="J28" s="164">
        <f t="shared" si="15"/>
        <v>0.45</v>
      </c>
      <c r="K28" s="164">
        <f t="shared" si="15"/>
        <v>0.45</v>
      </c>
      <c r="L28" s="164">
        <f t="shared" si="15"/>
        <v>0.45</v>
      </c>
      <c r="M28" s="164">
        <f t="shared" si="15"/>
        <v>0.45</v>
      </c>
      <c r="N28" s="164">
        <f t="shared" si="15"/>
        <v>0.45</v>
      </c>
      <c r="O28" s="164">
        <f t="shared" si="15"/>
        <v>0.45</v>
      </c>
      <c r="P28" s="164">
        <f t="shared" si="15"/>
        <v>0.45</v>
      </c>
      <c r="Q28" s="164">
        <f t="shared" si="15"/>
        <v>0.45</v>
      </c>
      <c r="R28" s="164">
        <f t="shared" si="15"/>
        <v>0.45</v>
      </c>
    </row>
    <row r="29" ht="12.75" customHeight="1">
      <c r="A29" s="94"/>
      <c r="B29" s="122" t="s">
        <v>84</v>
      </c>
      <c r="C29" s="94"/>
      <c r="D29" s="117"/>
      <c r="E29" s="163">
        <v>0.79</v>
      </c>
      <c r="F29" s="119"/>
      <c r="G29" s="165">
        <f t="shared" ref="G29:R29" si="16">$E$29</f>
        <v>0.79</v>
      </c>
      <c r="H29" s="165">
        <f t="shared" si="16"/>
        <v>0.79</v>
      </c>
      <c r="I29" s="165">
        <f t="shared" si="16"/>
        <v>0.79</v>
      </c>
      <c r="J29" s="165">
        <f t="shared" si="16"/>
        <v>0.79</v>
      </c>
      <c r="K29" s="165">
        <f t="shared" si="16"/>
        <v>0.79</v>
      </c>
      <c r="L29" s="165">
        <f t="shared" si="16"/>
        <v>0.79</v>
      </c>
      <c r="M29" s="165">
        <f t="shared" si="16"/>
        <v>0.79</v>
      </c>
      <c r="N29" s="165">
        <f t="shared" si="16"/>
        <v>0.79</v>
      </c>
      <c r="O29" s="165">
        <f t="shared" si="16"/>
        <v>0.79</v>
      </c>
      <c r="P29" s="165">
        <f t="shared" si="16"/>
        <v>0.79</v>
      </c>
      <c r="Q29" s="165">
        <f t="shared" si="16"/>
        <v>0.79</v>
      </c>
      <c r="R29" s="165">
        <f t="shared" si="16"/>
        <v>0.79</v>
      </c>
    </row>
    <row r="30" ht="12.75" customHeight="1">
      <c r="A30" s="94"/>
      <c r="B30" s="133" t="s">
        <v>85</v>
      </c>
      <c r="C30" s="93"/>
      <c r="D30" s="93"/>
      <c r="E30" s="166">
        <v>16.0</v>
      </c>
      <c r="F30" s="93"/>
      <c r="G30" s="167">
        <f t="shared" ref="G30:R30" si="17">$E$30</f>
        <v>16</v>
      </c>
      <c r="H30" s="167">
        <f t="shared" si="17"/>
        <v>16</v>
      </c>
      <c r="I30" s="167">
        <f t="shared" si="17"/>
        <v>16</v>
      </c>
      <c r="J30" s="167">
        <f t="shared" si="17"/>
        <v>16</v>
      </c>
      <c r="K30" s="167">
        <f t="shared" si="17"/>
        <v>16</v>
      </c>
      <c r="L30" s="167">
        <f t="shared" si="17"/>
        <v>16</v>
      </c>
      <c r="M30" s="167">
        <f t="shared" si="17"/>
        <v>16</v>
      </c>
      <c r="N30" s="167">
        <f t="shared" si="17"/>
        <v>16</v>
      </c>
      <c r="O30" s="167">
        <f t="shared" si="17"/>
        <v>16</v>
      </c>
      <c r="P30" s="167">
        <f t="shared" si="17"/>
        <v>16</v>
      </c>
      <c r="Q30" s="167">
        <f t="shared" si="17"/>
        <v>16</v>
      </c>
      <c r="R30" s="167">
        <f t="shared" si="17"/>
        <v>16</v>
      </c>
    </row>
    <row r="31" ht="12.75" customHeight="1">
      <c r="A31" s="94"/>
      <c r="B31" s="168" t="s">
        <v>86</v>
      </c>
      <c r="C31" s="169"/>
      <c r="D31" s="170"/>
      <c r="E31" s="171"/>
      <c r="F31" s="172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</row>
    <row r="32" ht="12.75" customHeight="1">
      <c r="A32" s="94"/>
      <c r="B32" s="122" t="s">
        <v>87</v>
      </c>
      <c r="C32" s="94"/>
      <c r="D32" s="117"/>
      <c r="E32" s="159">
        <f>E34/E36*2</f>
        <v>3.950617284</v>
      </c>
      <c r="F32" s="119"/>
      <c r="G32" s="160">
        <f t="shared" ref="G32:R32" si="18">$E$32</f>
        <v>3.950617284</v>
      </c>
      <c r="H32" s="160">
        <f t="shared" si="18"/>
        <v>3.950617284</v>
      </c>
      <c r="I32" s="160">
        <f t="shared" si="18"/>
        <v>3.950617284</v>
      </c>
      <c r="J32" s="160">
        <f t="shared" si="18"/>
        <v>3.950617284</v>
      </c>
      <c r="K32" s="160">
        <f t="shared" si="18"/>
        <v>3.950617284</v>
      </c>
      <c r="L32" s="160">
        <f t="shared" si="18"/>
        <v>3.950617284</v>
      </c>
      <c r="M32" s="160">
        <f t="shared" si="18"/>
        <v>3.950617284</v>
      </c>
      <c r="N32" s="160">
        <f t="shared" si="18"/>
        <v>3.950617284</v>
      </c>
      <c r="O32" s="160">
        <f t="shared" si="18"/>
        <v>3.950617284</v>
      </c>
      <c r="P32" s="160">
        <f t="shared" si="18"/>
        <v>3.950617284</v>
      </c>
      <c r="Q32" s="160">
        <f t="shared" si="18"/>
        <v>3.950617284</v>
      </c>
      <c r="R32" s="160">
        <f t="shared" si="18"/>
        <v>3.950617284</v>
      </c>
    </row>
    <row r="33" ht="12.75" hidden="1" customHeight="1">
      <c r="A33" s="94"/>
      <c r="B33" s="122" t="s">
        <v>46</v>
      </c>
      <c r="C33" s="94"/>
      <c r="D33" s="117"/>
      <c r="E33" s="173">
        <f>average(E9)*E18</f>
        <v>0.4</v>
      </c>
      <c r="F33" s="119"/>
      <c r="G33" s="174">
        <f t="shared" ref="G33:R33" si="19">$E$33</f>
        <v>0.4</v>
      </c>
      <c r="H33" s="174">
        <f t="shared" si="19"/>
        <v>0.4</v>
      </c>
      <c r="I33" s="174">
        <f t="shared" si="19"/>
        <v>0.4</v>
      </c>
      <c r="J33" s="174">
        <f t="shared" si="19"/>
        <v>0.4</v>
      </c>
      <c r="K33" s="174">
        <f t="shared" si="19"/>
        <v>0.4</v>
      </c>
      <c r="L33" s="174">
        <f t="shared" si="19"/>
        <v>0.4</v>
      </c>
      <c r="M33" s="174">
        <f t="shared" si="19"/>
        <v>0.4</v>
      </c>
      <c r="N33" s="174">
        <f t="shared" si="19"/>
        <v>0.4</v>
      </c>
      <c r="O33" s="174">
        <f t="shared" si="19"/>
        <v>0.4</v>
      </c>
      <c r="P33" s="174">
        <f t="shared" si="19"/>
        <v>0.4</v>
      </c>
      <c r="Q33" s="174">
        <f t="shared" si="19"/>
        <v>0.4</v>
      </c>
      <c r="R33" s="174">
        <f t="shared" si="19"/>
        <v>0.4</v>
      </c>
    </row>
    <row r="34" ht="12.75" hidden="1" customHeight="1">
      <c r="A34" s="94"/>
      <c r="B34" s="122" t="s">
        <v>45</v>
      </c>
      <c r="C34" s="94"/>
      <c r="D34" s="117"/>
      <c r="E34" s="175">
        <f>E33/E36</f>
        <v>0.8888888889</v>
      </c>
      <c r="F34" s="119"/>
      <c r="G34" s="176">
        <f t="shared" ref="G34:R34" si="20">$E$34</f>
        <v>0.8888888889</v>
      </c>
      <c r="H34" s="176">
        <f t="shared" si="20"/>
        <v>0.8888888889</v>
      </c>
      <c r="I34" s="176">
        <f t="shared" si="20"/>
        <v>0.8888888889</v>
      </c>
      <c r="J34" s="176">
        <f t="shared" si="20"/>
        <v>0.8888888889</v>
      </c>
      <c r="K34" s="176">
        <f t="shared" si="20"/>
        <v>0.8888888889</v>
      </c>
      <c r="L34" s="176">
        <f t="shared" si="20"/>
        <v>0.8888888889</v>
      </c>
      <c r="M34" s="176">
        <f t="shared" si="20"/>
        <v>0.8888888889</v>
      </c>
      <c r="N34" s="176">
        <f t="shared" si="20"/>
        <v>0.8888888889</v>
      </c>
      <c r="O34" s="176">
        <f t="shared" si="20"/>
        <v>0.8888888889</v>
      </c>
      <c r="P34" s="176">
        <f t="shared" si="20"/>
        <v>0.8888888889</v>
      </c>
      <c r="Q34" s="176">
        <f t="shared" si="20"/>
        <v>0.8888888889</v>
      </c>
      <c r="R34" s="176">
        <f t="shared" si="20"/>
        <v>0.8888888889</v>
      </c>
    </row>
    <row r="35" ht="12.75" customHeight="1">
      <c r="A35" s="94"/>
      <c r="B35" s="122" t="s">
        <v>88</v>
      </c>
      <c r="C35" s="94"/>
      <c r="D35" s="117"/>
      <c r="E35" s="146">
        <v>0.03</v>
      </c>
      <c r="F35" s="119"/>
      <c r="G35" s="177">
        <f t="shared" ref="G35:R35" si="21">$E$35</f>
        <v>0.03</v>
      </c>
      <c r="H35" s="177">
        <f t="shared" si="21"/>
        <v>0.03</v>
      </c>
      <c r="I35" s="177">
        <f t="shared" si="21"/>
        <v>0.03</v>
      </c>
      <c r="J35" s="177">
        <f t="shared" si="21"/>
        <v>0.03</v>
      </c>
      <c r="K35" s="177">
        <f t="shared" si="21"/>
        <v>0.03</v>
      </c>
      <c r="L35" s="177">
        <f t="shared" si="21"/>
        <v>0.03</v>
      </c>
      <c r="M35" s="177">
        <f t="shared" si="21"/>
        <v>0.03</v>
      </c>
      <c r="N35" s="177">
        <f t="shared" si="21"/>
        <v>0.03</v>
      </c>
      <c r="O35" s="177">
        <f t="shared" si="21"/>
        <v>0.03</v>
      </c>
      <c r="P35" s="177">
        <f t="shared" si="21"/>
        <v>0.03</v>
      </c>
      <c r="Q35" s="177">
        <f t="shared" si="21"/>
        <v>0.03</v>
      </c>
      <c r="R35" s="177">
        <f t="shared" si="21"/>
        <v>0.03</v>
      </c>
    </row>
    <row r="36" ht="12.75" customHeight="1">
      <c r="A36" s="94"/>
      <c r="B36" s="122" t="s">
        <v>89</v>
      </c>
      <c r="C36" s="94"/>
      <c r="D36" s="117"/>
      <c r="E36" s="146">
        <v>0.45</v>
      </c>
      <c r="F36" s="119"/>
      <c r="G36" s="177">
        <f t="shared" ref="G36:R36" si="22">$E$36</f>
        <v>0.45</v>
      </c>
      <c r="H36" s="177">
        <f t="shared" si="22"/>
        <v>0.45</v>
      </c>
      <c r="I36" s="177">
        <f t="shared" si="22"/>
        <v>0.45</v>
      </c>
      <c r="J36" s="177">
        <f t="shared" si="22"/>
        <v>0.45</v>
      </c>
      <c r="K36" s="177">
        <f t="shared" si="22"/>
        <v>0.45</v>
      </c>
      <c r="L36" s="177">
        <f t="shared" si="22"/>
        <v>0.45</v>
      </c>
      <c r="M36" s="177">
        <f t="shared" si="22"/>
        <v>0.45</v>
      </c>
      <c r="N36" s="177">
        <f t="shared" si="22"/>
        <v>0.45</v>
      </c>
      <c r="O36" s="177">
        <f t="shared" si="22"/>
        <v>0.45</v>
      </c>
      <c r="P36" s="177">
        <f t="shared" si="22"/>
        <v>0.45</v>
      </c>
      <c r="Q36" s="177">
        <f t="shared" si="22"/>
        <v>0.45</v>
      </c>
      <c r="R36" s="177">
        <f t="shared" si="22"/>
        <v>0.45</v>
      </c>
    </row>
    <row r="37" ht="12.75" customHeight="1">
      <c r="A37" s="94"/>
      <c r="B37" s="130" t="s">
        <v>90</v>
      </c>
      <c r="C37" s="93"/>
      <c r="D37" s="93"/>
      <c r="E37" s="138">
        <v>0.79</v>
      </c>
      <c r="F37" s="93"/>
      <c r="G37" s="178">
        <f t="shared" ref="G37:R37" si="23">$E$37</f>
        <v>0.79</v>
      </c>
      <c r="H37" s="178">
        <f t="shared" si="23"/>
        <v>0.79</v>
      </c>
      <c r="I37" s="178">
        <f t="shared" si="23"/>
        <v>0.79</v>
      </c>
      <c r="J37" s="178">
        <f t="shared" si="23"/>
        <v>0.79</v>
      </c>
      <c r="K37" s="178">
        <f t="shared" si="23"/>
        <v>0.79</v>
      </c>
      <c r="L37" s="178">
        <f t="shared" si="23"/>
        <v>0.79</v>
      </c>
      <c r="M37" s="178">
        <f t="shared" si="23"/>
        <v>0.79</v>
      </c>
      <c r="N37" s="178">
        <f t="shared" si="23"/>
        <v>0.79</v>
      </c>
      <c r="O37" s="178">
        <f t="shared" si="23"/>
        <v>0.79</v>
      </c>
      <c r="P37" s="178">
        <f t="shared" si="23"/>
        <v>0.79</v>
      </c>
      <c r="Q37" s="178">
        <f t="shared" si="23"/>
        <v>0.79</v>
      </c>
      <c r="R37" s="178">
        <f t="shared" si="23"/>
        <v>0.79</v>
      </c>
    </row>
    <row r="38" ht="12.75" customHeight="1">
      <c r="A38" s="94"/>
      <c r="B38" s="133" t="s">
        <v>91</v>
      </c>
      <c r="C38" s="93"/>
      <c r="D38" s="93"/>
      <c r="E38" s="179">
        <v>2.0</v>
      </c>
      <c r="F38" s="93"/>
      <c r="G38" s="180">
        <f t="shared" ref="G38:R38" si="24">$E$38</f>
        <v>2</v>
      </c>
      <c r="H38" s="180">
        <f t="shared" si="24"/>
        <v>2</v>
      </c>
      <c r="I38" s="180">
        <f t="shared" si="24"/>
        <v>2</v>
      </c>
      <c r="J38" s="180">
        <f t="shared" si="24"/>
        <v>2</v>
      </c>
      <c r="K38" s="180">
        <f t="shared" si="24"/>
        <v>2</v>
      </c>
      <c r="L38" s="180">
        <f t="shared" si="24"/>
        <v>2</v>
      </c>
      <c r="M38" s="180">
        <f t="shared" si="24"/>
        <v>2</v>
      </c>
      <c r="N38" s="180">
        <f t="shared" si="24"/>
        <v>2</v>
      </c>
      <c r="O38" s="180">
        <f t="shared" si="24"/>
        <v>2</v>
      </c>
      <c r="P38" s="180">
        <f t="shared" si="24"/>
        <v>2</v>
      </c>
      <c r="Q38" s="180">
        <f t="shared" si="24"/>
        <v>2</v>
      </c>
      <c r="R38" s="180">
        <f t="shared" si="24"/>
        <v>2</v>
      </c>
    </row>
    <row r="39" ht="12.75" customHeight="1">
      <c r="A39" s="94"/>
      <c r="B39" s="168" t="s">
        <v>92</v>
      </c>
      <c r="C39" s="169"/>
      <c r="D39" s="170"/>
      <c r="E39" s="171"/>
      <c r="F39" s="172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</row>
    <row r="40" ht="12.75" customHeight="1">
      <c r="A40" s="94"/>
      <c r="B40" s="125" t="s">
        <v>93</v>
      </c>
      <c r="C40" s="94"/>
      <c r="D40" s="117"/>
      <c r="E40" s="181">
        <v>0.0</v>
      </c>
      <c r="F40" s="119"/>
      <c r="G40" s="182">
        <f t="shared" ref="G40:R40" si="25">$E$40</f>
        <v>0</v>
      </c>
      <c r="H40" s="182">
        <f t="shared" si="25"/>
        <v>0</v>
      </c>
      <c r="I40" s="182">
        <f t="shared" si="25"/>
        <v>0</v>
      </c>
      <c r="J40" s="182">
        <f t="shared" si="25"/>
        <v>0</v>
      </c>
      <c r="K40" s="182">
        <f t="shared" si="25"/>
        <v>0</v>
      </c>
      <c r="L40" s="182">
        <f t="shared" si="25"/>
        <v>0</v>
      </c>
      <c r="M40" s="182">
        <f t="shared" si="25"/>
        <v>0</v>
      </c>
      <c r="N40" s="182">
        <f t="shared" si="25"/>
        <v>0</v>
      </c>
      <c r="O40" s="182">
        <f t="shared" si="25"/>
        <v>0</v>
      </c>
      <c r="P40" s="182">
        <f t="shared" si="25"/>
        <v>0</v>
      </c>
      <c r="Q40" s="182">
        <f t="shared" si="25"/>
        <v>0</v>
      </c>
      <c r="R40" s="182">
        <f t="shared" si="25"/>
        <v>0</v>
      </c>
    </row>
    <row r="41" ht="12.75" hidden="1" customHeight="1">
      <c r="A41" s="94"/>
      <c r="B41" s="122" t="s">
        <v>94</v>
      </c>
      <c r="C41" s="94"/>
      <c r="D41" s="117"/>
      <c r="E41" s="183">
        <f>average(E9)*E19</f>
        <v>0</v>
      </c>
      <c r="F41" s="119"/>
      <c r="G41" s="160">
        <f t="shared" ref="G41:R41" si="26">$E$41</f>
        <v>0</v>
      </c>
      <c r="H41" s="160">
        <f t="shared" si="26"/>
        <v>0</v>
      </c>
      <c r="I41" s="160">
        <f t="shared" si="26"/>
        <v>0</v>
      </c>
      <c r="J41" s="160">
        <f t="shared" si="26"/>
        <v>0</v>
      </c>
      <c r="K41" s="160">
        <f t="shared" si="26"/>
        <v>0</v>
      </c>
      <c r="L41" s="160">
        <f t="shared" si="26"/>
        <v>0</v>
      </c>
      <c r="M41" s="160">
        <f t="shared" si="26"/>
        <v>0</v>
      </c>
      <c r="N41" s="160">
        <f t="shared" si="26"/>
        <v>0</v>
      </c>
      <c r="O41" s="160">
        <f t="shared" si="26"/>
        <v>0</v>
      </c>
      <c r="P41" s="160">
        <f t="shared" si="26"/>
        <v>0</v>
      </c>
      <c r="Q41" s="160">
        <f t="shared" si="26"/>
        <v>0</v>
      </c>
      <c r="R41" s="160">
        <f t="shared" si="26"/>
        <v>0</v>
      </c>
    </row>
    <row r="42" ht="12.75" customHeight="1">
      <c r="A42" s="94"/>
      <c r="B42" s="125" t="s">
        <v>95</v>
      </c>
      <c r="C42" s="94"/>
      <c r="D42" s="117"/>
      <c r="E42" s="163">
        <v>0.1</v>
      </c>
      <c r="F42" s="119"/>
      <c r="G42" s="177">
        <f t="shared" ref="G42:R42" si="27">$E$42</f>
        <v>0.1</v>
      </c>
      <c r="H42" s="177">
        <f t="shared" si="27"/>
        <v>0.1</v>
      </c>
      <c r="I42" s="177">
        <f t="shared" si="27"/>
        <v>0.1</v>
      </c>
      <c r="J42" s="177">
        <f t="shared" si="27"/>
        <v>0.1</v>
      </c>
      <c r="K42" s="177">
        <f t="shared" si="27"/>
        <v>0.1</v>
      </c>
      <c r="L42" s="177">
        <f t="shared" si="27"/>
        <v>0.1</v>
      </c>
      <c r="M42" s="177">
        <f t="shared" si="27"/>
        <v>0.1</v>
      </c>
      <c r="N42" s="177">
        <f t="shared" si="27"/>
        <v>0.1</v>
      </c>
      <c r="O42" s="177">
        <f t="shared" si="27"/>
        <v>0.1</v>
      </c>
      <c r="P42" s="177">
        <f t="shared" si="27"/>
        <v>0.1</v>
      </c>
      <c r="Q42" s="177">
        <f t="shared" si="27"/>
        <v>0.1</v>
      </c>
      <c r="R42" s="177">
        <f t="shared" si="27"/>
        <v>0.1</v>
      </c>
    </row>
    <row r="43" ht="12.75" customHeight="1">
      <c r="A43" s="94"/>
      <c r="B43" s="125" t="s">
        <v>96</v>
      </c>
      <c r="C43" s="94"/>
      <c r="D43" s="117"/>
      <c r="E43" s="163">
        <v>0.2</v>
      </c>
      <c r="F43" s="119"/>
      <c r="G43" s="177">
        <f t="shared" ref="G43:R43" si="28">$E$43</f>
        <v>0.2</v>
      </c>
      <c r="H43" s="177">
        <f t="shared" si="28"/>
        <v>0.2</v>
      </c>
      <c r="I43" s="177">
        <f t="shared" si="28"/>
        <v>0.2</v>
      </c>
      <c r="J43" s="177">
        <f t="shared" si="28"/>
        <v>0.2</v>
      </c>
      <c r="K43" s="177">
        <f t="shared" si="28"/>
        <v>0.2</v>
      </c>
      <c r="L43" s="177">
        <f t="shared" si="28"/>
        <v>0.2</v>
      </c>
      <c r="M43" s="177">
        <f t="shared" si="28"/>
        <v>0.2</v>
      </c>
      <c r="N43" s="177">
        <f t="shared" si="28"/>
        <v>0.2</v>
      </c>
      <c r="O43" s="177">
        <f t="shared" si="28"/>
        <v>0.2</v>
      </c>
      <c r="P43" s="177">
        <f t="shared" si="28"/>
        <v>0.2</v>
      </c>
      <c r="Q43" s="177">
        <f t="shared" si="28"/>
        <v>0.2</v>
      </c>
      <c r="R43" s="177">
        <f t="shared" si="28"/>
        <v>0.2</v>
      </c>
    </row>
    <row r="44" ht="12.75" customHeight="1">
      <c r="A44" s="93"/>
      <c r="B44" s="133"/>
      <c r="C44" s="93"/>
      <c r="D44" s="93"/>
      <c r="E44" s="150"/>
      <c r="F44" s="93"/>
      <c r="G44" s="93"/>
      <c r="H44" s="93"/>
      <c r="I44" s="93"/>
      <c r="J44" s="93"/>
      <c r="K44" s="93"/>
      <c r="L44" s="93"/>
      <c r="M44" s="93"/>
      <c r="N44" s="93"/>
      <c r="O44" s="93"/>
      <c r="P44" s="93"/>
      <c r="Q44" s="93"/>
      <c r="R44" s="93"/>
    </row>
    <row r="45" ht="12.75" customHeight="1">
      <c r="A45" s="93"/>
      <c r="B45" s="133"/>
      <c r="C45" s="93"/>
      <c r="D45" s="93"/>
      <c r="E45" s="150"/>
      <c r="F45" s="93"/>
      <c r="G45" s="93"/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</row>
    <row r="46" ht="12.75" customHeight="1">
      <c r="A46" s="93"/>
      <c r="B46" s="108" t="s">
        <v>97</v>
      </c>
      <c r="C46" s="109"/>
      <c r="D46" s="110"/>
      <c r="E46" s="143"/>
      <c r="F46" s="112"/>
      <c r="G46" s="109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</row>
    <row r="47" ht="12.75" customHeight="1">
      <c r="A47" s="94"/>
      <c r="B47" s="122" t="s">
        <v>98</v>
      </c>
      <c r="C47" s="94"/>
      <c r="D47" s="117"/>
      <c r="E47" s="181">
        <v>0.0</v>
      </c>
      <c r="F47" s="119"/>
      <c r="G47" s="184">
        <f t="shared" ref="G47:R47" si="29">$E$47/12</f>
        <v>0</v>
      </c>
      <c r="H47" s="184">
        <f t="shared" si="29"/>
        <v>0</v>
      </c>
      <c r="I47" s="184">
        <f t="shared" si="29"/>
        <v>0</v>
      </c>
      <c r="J47" s="184">
        <f t="shared" si="29"/>
        <v>0</v>
      </c>
      <c r="K47" s="184">
        <f t="shared" si="29"/>
        <v>0</v>
      </c>
      <c r="L47" s="184">
        <f t="shared" si="29"/>
        <v>0</v>
      </c>
      <c r="M47" s="184">
        <f t="shared" si="29"/>
        <v>0</v>
      </c>
      <c r="N47" s="184">
        <f t="shared" si="29"/>
        <v>0</v>
      </c>
      <c r="O47" s="184">
        <f t="shared" si="29"/>
        <v>0</v>
      </c>
      <c r="P47" s="184">
        <f t="shared" si="29"/>
        <v>0</v>
      </c>
      <c r="Q47" s="184">
        <f t="shared" si="29"/>
        <v>0</v>
      </c>
      <c r="R47" s="184">
        <f t="shared" si="29"/>
        <v>0</v>
      </c>
    </row>
    <row r="48" ht="12.75" customHeight="1">
      <c r="A48" s="94"/>
      <c r="B48" s="122" t="s">
        <v>99</v>
      </c>
      <c r="C48" s="94"/>
      <c r="D48" s="117"/>
      <c r="E48" s="181">
        <v>200.0</v>
      </c>
      <c r="F48" s="119"/>
      <c r="G48" s="184">
        <f t="shared" ref="G48:R48" si="30">$E$48/12</f>
        <v>16.66666667</v>
      </c>
      <c r="H48" s="184">
        <f t="shared" si="30"/>
        <v>16.66666667</v>
      </c>
      <c r="I48" s="184">
        <f t="shared" si="30"/>
        <v>16.66666667</v>
      </c>
      <c r="J48" s="184">
        <f t="shared" si="30"/>
        <v>16.66666667</v>
      </c>
      <c r="K48" s="184">
        <f t="shared" si="30"/>
        <v>16.66666667</v>
      </c>
      <c r="L48" s="184">
        <f t="shared" si="30"/>
        <v>16.66666667</v>
      </c>
      <c r="M48" s="184">
        <f t="shared" si="30"/>
        <v>16.66666667</v>
      </c>
      <c r="N48" s="184">
        <f t="shared" si="30"/>
        <v>16.66666667</v>
      </c>
      <c r="O48" s="184">
        <f t="shared" si="30"/>
        <v>16.66666667</v>
      </c>
      <c r="P48" s="184">
        <f t="shared" si="30"/>
        <v>16.66666667</v>
      </c>
      <c r="Q48" s="184">
        <f t="shared" si="30"/>
        <v>16.66666667</v>
      </c>
      <c r="R48" s="184">
        <f t="shared" si="30"/>
        <v>16.66666667</v>
      </c>
    </row>
    <row r="49" ht="12.75" customHeight="1">
      <c r="A49" s="94"/>
      <c r="B49" s="122" t="s">
        <v>100</v>
      </c>
      <c r="C49" s="94"/>
      <c r="D49" s="117"/>
      <c r="E49" s="181">
        <v>320.0</v>
      </c>
      <c r="F49" s="119"/>
      <c r="G49" s="184">
        <f t="shared" ref="G49:R49" si="31">$E$49/12</f>
        <v>26.66666667</v>
      </c>
      <c r="H49" s="184">
        <f t="shared" si="31"/>
        <v>26.66666667</v>
      </c>
      <c r="I49" s="184">
        <f t="shared" si="31"/>
        <v>26.66666667</v>
      </c>
      <c r="J49" s="184">
        <f t="shared" si="31"/>
        <v>26.66666667</v>
      </c>
      <c r="K49" s="184">
        <f t="shared" si="31"/>
        <v>26.66666667</v>
      </c>
      <c r="L49" s="184">
        <f t="shared" si="31"/>
        <v>26.66666667</v>
      </c>
      <c r="M49" s="184">
        <f t="shared" si="31"/>
        <v>26.66666667</v>
      </c>
      <c r="N49" s="184">
        <f t="shared" si="31"/>
        <v>26.66666667</v>
      </c>
      <c r="O49" s="184">
        <f t="shared" si="31"/>
        <v>26.66666667</v>
      </c>
      <c r="P49" s="184">
        <f t="shared" si="31"/>
        <v>26.66666667</v>
      </c>
      <c r="Q49" s="184">
        <f t="shared" si="31"/>
        <v>26.66666667</v>
      </c>
      <c r="R49" s="184">
        <f t="shared" si="31"/>
        <v>26.66666667</v>
      </c>
    </row>
    <row r="50" ht="12.75" customHeight="1">
      <c r="A50" s="94"/>
      <c r="B50" s="122" t="s">
        <v>101</v>
      </c>
      <c r="C50" s="94"/>
      <c r="D50" s="117"/>
      <c r="E50" s="181">
        <v>100.0</v>
      </c>
      <c r="F50" s="119"/>
      <c r="G50" s="184">
        <f t="shared" ref="G50:R50" si="32">$E$50/12</f>
        <v>8.333333333</v>
      </c>
      <c r="H50" s="184">
        <f t="shared" si="32"/>
        <v>8.333333333</v>
      </c>
      <c r="I50" s="184">
        <f t="shared" si="32"/>
        <v>8.333333333</v>
      </c>
      <c r="J50" s="184">
        <f t="shared" si="32"/>
        <v>8.333333333</v>
      </c>
      <c r="K50" s="184">
        <f t="shared" si="32"/>
        <v>8.333333333</v>
      </c>
      <c r="L50" s="184">
        <f t="shared" si="32"/>
        <v>8.333333333</v>
      </c>
      <c r="M50" s="184">
        <f t="shared" si="32"/>
        <v>8.333333333</v>
      </c>
      <c r="N50" s="184">
        <f t="shared" si="32"/>
        <v>8.333333333</v>
      </c>
      <c r="O50" s="184">
        <f t="shared" si="32"/>
        <v>8.333333333</v>
      </c>
      <c r="P50" s="184">
        <f t="shared" si="32"/>
        <v>8.333333333</v>
      </c>
      <c r="Q50" s="184">
        <f t="shared" si="32"/>
        <v>8.333333333</v>
      </c>
      <c r="R50" s="184">
        <f t="shared" si="32"/>
        <v>8.333333333</v>
      </c>
    </row>
    <row r="51" ht="12.75" customHeight="1">
      <c r="A51" s="93"/>
      <c r="B51" s="130" t="s">
        <v>102</v>
      </c>
      <c r="C51" s="93"/>
      <c r="D51" s="93"/>
      <c r="E51" s="185">
        <v>180.0</v>
      </c>
      <c r="F51" s="93"/>
      <c r="G51" s="184">
        <f t="shared" ref="G51:R51" si="33">$E$51/12</f>
        <v>15</v>
      </c>
      <c r="H51" s="184">
        <f t="shared" si="33"/>
        <v>15</v>
      </c>
      <c r="I51" s="184">
        <f t="shared" si="33"/>
        <v>15</v>
      </c>
      <c r="J51" s="184">
        <f t="shared" si="33"/>
        <v>15</v>
      </c>
      <c r="K51" s="184">
        <f t="shared" si="33"/>
        <v>15</v>
      </c>
      <c r="L51" s="184">
        <f t="shared" si="33"/>
        <v>15</v>
      </c>
      <c r="M51" s="184">
        <f t="shared" si="33"/>
        <v>15</v>
      </c>
      <c r="N51" s="184">
        <f t="shared" si="33"/>
        <v>15</v>
      </c>
      <c r="O51" s="184">
        <f t="shared" si="33"/>
        <v>15</v>
      </c>
      <c r="P51" s="184">
        <f t="shared" si="33"/>
        <v>15</v>
      </c>
      <c r="Q51" s="184">
        <f t="shared" si="33"/>
        <v>15</v>
      </c>
      <c r="R51" s="184">
        <f t="shared" si="33"/>
        <v>15</v>
      </c>
    </row>
    <row r="52" ht="12.75" customHeight="1">
      <c r="A52" s="93"/>
      <c r="B52" s="186" t="s">
        <v>103</v>
      </c>
      <c r="C52" s="187"/>
      <c r="D52" s="188"/>
      <c r="E52" s="189"/>
      <c r="F52" s="190"/>
      <c r="G52" s="187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</row>
    <row r="53" ht="12.75" customHeight="1">
      <c r="A53" s="93"/>
      <c r="B53" s="104"/>
      <c r="C53" s="93"/>
      <c r="D53" s="93"/>
      <c r="E53" s="93"/>
      <c r="F53" s="93"/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</row>
    <row r="54" ht="12.75" customHeight="1">
      <c r="A54" s="93"/>
      <c r="B54" s="133"/>
      <c r="C54" s="180"/>
      <c r="D54" s="180"/>
      <c r="E54" s="93"/>
      <c r="F54" s="93"/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</row>
    <row r="55" ht="12.75" customHeight="1">
      <c r="A55" s="93"/>
      <c r="B55" s="130"/>
      <c r="C55" s="180"/>
      <c r="D55" s="180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</row>
    <row r="56" ht="12.75" customHeight="1">
      <c r="A56" s="93"/>
      <c r="B56" s="130"/>
      <c r="C56" s="93"/>
      <c r="D56" s="93"/>
      <c r="E56" s="93"/>
      <c r="F56" s="93"/>
      <c r="G56" s="93"/>
      <c r="H56" s="93"/>
      <c r="I56" s="93"/>
      <c r="J56" s="93"/>
      <c r="K56" s="93"/>
      <c r="L56" s="93"/>
      <c r="M56" s="93"/>
      <c r="N56" s="93"/>
      <c r="O56" s="93"/>
      <c r="P56" s="93"/>
      <c r="Q56" s="93"/>
      <c r="R56" s="93"/>
    </row>
    <row r="57" ht="12.75" customHeight="1">
      <c r="A57" s="93"/>
      <c r="B57" s="130"/>
      <c r="C57" s="180"/>
      <c r="D57" s="180"/>
      <c r="E57" s="93"/>
      <c r="F57" s="93"/>
      <c r="G57" s="93"/>
      <c r="H57" s="93"/>
      <c r="I57" s="93"/>
      <c r="J57" s="93"/>
      <c r="K57" s="93"/>
      <c r="L57" s="93"/>
      <c r="M57" s="93"/>
      <c r="N57" s="93"/>
      <c r="O57" s="93"/>
      <c r="P57" s="93"/>
      <c r="Q57" s="93"/>
      <c r="R57" s="93"/>
    </row>
    <row r="58" ht="12.75" customHeight="1">
      <c r="A58" s="93"/>
      <c r="B58" s="130"/>
      <c r="C58" s="180"/>
      <c r="D58" s="93"/>
      <c r="E58" s="93"/>
      <c r="F58" s="93"/>
      <c r="G58" s="93"/>
      <c r="H58" s="93"/>
      <c r="I58" s="93"/>
      <c r="J58" s="93"/>
      <c r="K58" s="93"/>
      <c r="L58" s="93"/>
      <c r="M58" s="93"/>
      <c r="N58" s="93"/>
      <c r="O58" s="93"/>
      <c r="P58" s="93"/>
      <c r="Q58" s="93"/>
      <c r="R58" s="93"/>
    </row>
    <row r="59" ht="12.75" customHeight="1">
      <c r="A59" s="93"/>
      <c r="B59" s="130"/>
      <c r="C59" s="180"/>
      <c r="D59" s="93"/>
      <c r="E59" s="93"/>
      <c r="F59" s="93"/>
      <c r="G59" s="93"/>
      <c r="H59" s="93"/>
      <c r="I59" s="93"/>
      <c r="J59" s="93"/>
      <c r="K59" s="93"/>
      <c r="L59" s="93"/>
      <c r="M59" s="93"/>
      <c r="N59" s="93"/>
      <c r="O59" s="93"/>
      <c r="P59" s="93"/>
      <c r="Q59" s="93"/>
      <c r="R59" s="93"/>
    </row>
    <row r="60" ht="12.75" customHeight="1">
      <c r="A60" s="93"/>
      <c r="B60" s="133"/>
      <c r="C60" s="93"/>
      <c r="D60" s="93"/>
      <c r="E60" s="93"/>
      <c r="F60" s="93"/>
      <c r="G60" s="93"/>
      <c r="H60" s="93"/>
      <c r="I60" s="93"/>
      <c r="J60" s="93"/>
      <c r="K60" s="93"/>
      <c r="L60" s="93"/>
      <c r="M60" s="93"/>
      <c r="N60" s="93"/>
      <c r="O60" s="93"/>
      <c r="P60" s="93"/>
      <c r="Q60" s="93"/>
      <c r="R60" s="93"/>
    </row>
    <row r="61" ht="12.75" customHeight="1">
      <c r="A61" s="93"/>
      <c r="B61" s="133"/>
      <c r="C61" s="93"/>
      <c r="D61" s="93"/>
      <c r="E61" s="93"/>
      <c r="F61" s="93"/>
      <c r="G61" s="93"/>
      <c r="H61" s="93"/>
      <c r="I61" s="93"/>
      <c r="J61" s="93"/>
      <c r="K61" s="93"/>
      <c r="L61" s="93"/>
      <c r="M61" s="93"/>
      <c r="N61" s="93"/>
      <c r="O61" s="93"/>
      <c r="P61" s="93"/>
      <c r="Q61" s="93"/>
      <c r="R61" s="93"/>
    </row>
    <row r="62" ht="12.75" customHeight="1">
      <c r="A62" s="93"/>
      <c r="B62" s="133"/>
      <c r="C62" s="93"/>
      <c r="D62" s="93"/>
      <c r="E62" s="93"/>
      <c r="F62" s="93"/>
      <c r="G62" s="93"/>
      <c r="H62" s="93"/>
      <c r="I62" s="93"/>
      <c r="J62" s="93"/>
      <c r="K62" s="93"/>
      <c r="L62" s="93"/>
      <c r="M62" s="93"/>
      <c r="N62" s="93"/>
      <c r="O62" s="93"/>
      <c r="P62" s="93"/>
      <c r="Q62" s="93"/>
      <c r="R62" s="93"/>
    </row>
    <row r="63" ht="12.75" customHeight="1">
      <c r="A63" s="93"/>
      <c r="B63" s="133"/>
      <c r="C63" s="93"/>
      <c r="D63" s="93"/>
      <c r="E63" s="93"/>
      <c r="F63" s="93"/>
      <c r="G63" s="93"/>
      <c r="H63" s="93"/>
      <c r="I63" s="93"/>
      <c r="J63" s="93"/>
      <c r="K63" s="93"/>
      <c r="L63" s="93"/>
      <c r="M63" s="93"/>
      <c r="N63" s="93"/>
      <c r="O63" s="93"/>
      <c r="P63" s="93"/>
      <c r="Q63" s="93"/>
      <c r="R63" s="93"/>
    </row>
    <row r="64" ht="12.75" customHeight="1">
      <c r="A64" s="93"/>
      <c r="B64" s="133"/>
      <c r="C64" s="93"/>
      <c r="D64" s="93"/>
      <c r="E64" s="93"/>
      <c r="F64" s="93"/>
      <c r="G64" s="93"/>
      <c r="H64" s="93"/>
      <c r="I64" s="93"/>
      <c r="J64" s="93"/>
      <c r="K64" s="93"/>
      <c r="L64" s="93"/>
      <c r="M64" s="93"/>
      <c r="N64" s="93"/>
      <c r="O64" s="93"/>
      <c r="P64" s="93"/>
      <c r="Q64" s="93"/>
      <c r="R64" s="93"/>
    </row>
    <row r="65" ht="12.75" customHeight="1">
      <c r="A65" s="93"/>
      <c r="B65" s="133"/>
      <c r="C65" s="93"/>
      <c r="D65" s="93"/>
      <c r="E65" s="93"/>
      <c r="F65" s="93"/>
      <c r="G65" s="93"/>
      <c r="H65" s="93"/>
      <c r="I65" s="93"/>
      <c r="J65" s="93"/>
      <c r="K65" s="93"/>
      <c r="L65" s="93"/>
      <c r="M65" s="93"/>
      <c r="N65" s="93"/>
      <c r="O65" s="93"/>
      <c r="P65" s="93"/>
      <c r="Q65" s="93"/>
      <c r="R65" s="93"/>
    </row>
    <row r="66" ht="12.75" customHeight="1">
      <c r="A66" s="93"/>
      <c r="B66" s="133"/>
      <c r="C66" s="93"/>
      <c r="D66" s="93"/>
      <c r="E66" s="93"/>
      <c r="F66" s="93"/>
      <c r="G66" s="93"/>
      <c r="H66" s="93"/>
      <c r="I66" s="93"/>
      <c r="J66" s="93"/>
      <c r="K66" s="93"/>
      <c r="L66" s="93"/>
      <c r="M66" s="93"/>
      <c r="N66" s="93"/>
      <c r="O66" s="93"/>
      <c r="P66" s="93"/>
      <c r="Q66" s="93"/>
      <c r="R66" s="93"/>
    </row>
    <row r="67" ht="12.75" customHeight="1">
      <c r="A67" s="93"/>
      <c r="B67" s="133"/>
      <c r="C67" s="93"/>
      <c r="D67" s="93"/>
      <c r="E67" s="93"/>
      <c r="F67" s="93"/>
      <c r="G67" s="93"/>
      <c r="H67" s="93"/>
      <c r="I67" s="93"/>
      <c r="J67" s="93"/>
      <c r="K67" s="93"/>
      <c r="L67" s="93"/>
      <c r="M67" s="93"/>
      <c r="N67" s="93"/>
      <c r="O67" s="93"/>
      <c r="P67" s="93"/>
      <c r="Q67" s="93"/>
      <c r="R67" s="93"/>
    </row>
    <row r="68" ht="12.75" customHeight="1">
      <c r="A68" s="93"/>
      <c r="B68" s="133"/>
      <c r="C68" s="93"/>
      <c r="D68" s="93"/>
      <c r="E68" s="93"/>
      <c r="F68" s="93"/>
      <c r="G68" s="93"/>
      <c r="H68" s="93"/>
      <c r="I68" s="93"/>
      <c r="J68" s="93"/>
      <c r="K68" s="93"/>
      <c r="L68" s="93"/>
      <c r="M68" s="93"/>
      <c r="N68" s="93"/>
      <c r="O68" s="93"/>
      <c r="P68" s="93"/>
      <c r="Q68" s="93"/>
      <c r="R68" s="93"/>
    </row>
    <row r="69" ht="12.75" customHeight="1">
      <c r="A69" s="93"/>
      <c r="B69" s="133"/>
      <c r="C69" s="93"/>
      <c r="D69" s="93"/>
      <c r="E69" s="93"/>
      <c r="F69" s="93"/>
      <c r="G69" s="93"/>
      <c r="H69" s="93"/>
      <c r="I69" s="93"/>
      <c r="J69" s="93"/>
      <c r="K69" s="93"/>
      <c r="L69" s="93"/>
      <c r="M69" s="93"/>
      <c r="N69" s="93"/>
      <c r="O69" s="93"/>
      <c r="P69" s="93"/>
      <c r="Q69" s="93"/>
      <c r="R69" s="93"/>
    </row>
    <row r="70" ht="12.75" customHeight="1">
      <c r="A70" s="93"/>
      <c r="B70" s="133"/>
      <c r="C70" s="93"/>
      <c r="D70" s="93"/>
      <c r="E70" s="93"/>
      <c r="F70" s="93"/>
      <c r="G70" s="93"/>
      <c r="H70" s="93"/>
      <c r="I70" s="93"/>
      <c r="J70" s="93"/>
      <c r="K70" s="93"/>
      <c r="L70" s="93"/>
      <c r="M70" s="93"/>
      <c r="N70" s="93"/>
      <c r="O70" s="93"/>
      <c r="P70" s="93"/>
      <c r="Q70" s="93"/>
      <c r="R70" s="93"/>
    </row>
    <row r="71" ht="12.75" customHeight="1">
      <c r="A71" s="93"/>
      <c r="B71" s="133"/>
      <c r="C71" s="93"/>
      <c r="D71" s="93"/>
      <c r="E71" s="93"/>
      <c r="F71" s="93"/>
      <c r="G71" s="93"/>
      <c r="H71" s="93"/>
      <c r="I71" s="93"/>
      <c r="J71" s="93"/>
      <c r="K71" s="93"/>
      <c r="L71" s="93"/>
      <c r="M71" s="93"/>
      <c r="N71" s="93"/>
      <c r="O71" s="93"/>
      <c r="P71" s="93"/>
      <c r="Q71" s="93"/>
      <c r="R71" s="93"/>
    </row>
    <row r="72" ht="12.75" customHeight="1">
      <c r="A72" s="93"/>
      <c r="B72" s="133"/>
      <c r="C72" s="93"/>
      <c r="D72" s="93"/>
      <c r="E72" s="93"/>
      <c r="F72" s="93"/>
      <c r="G72" s="93"/>
      <c r="H72" s="93"/>
      <c r="I72" s="93"/>
      <c r="J72" s="93"/>
      <c r="K72" s="93"/>
      <c r="L72" s="93"/>
      <c r="M72" s="93"/>
      <c r="N72" s="93"/>
      <c r="O72" s="93"/>
      <c r="P72" s="93"/>
      <c r="Q72" s="93"/>
      <c r="R72" s="93"/>
    </row>
    <row r="73" ht="12.75" customHeight="1">
      <c r="A73" s="93"/>
      <c r="B73" s="133"/>
      <c r="C73" s="93"/>
      <c r="D73" s="93"/>
      <c r="E73" s="93"/>
      <c r="F73" s="93"/>
      <c r="G73" s="93"/>
      <c r="H73" s="93"/>
      <c r="I73" s="93"/>
      <c r="J73" s="93"/>
      <c r="K73" s="93"/>
      <c r="L73" s="93"/>
      <c r="M73" s="93"/>
      <c r="N73" s="93"/>
      <c r="O73" s="93"/>
      <c r="P73" s="93"/>
      <c r="Q73" s="93"/>
      <c r="R73" s="93"/>
    </row>
    <row r="74" ht="12.75" customHeight="1">
      <c r="A74" s="93"/>
      <c r="B74" s="133"/>
      <c r="C74" s="93"/>
      <c r="D74" s="93"/>
      <c r="E74" s="93"/>
      <c r="F74" s="93"/>
      <c r="G74" s="93"/>
      <c r="H74" s="93"/>
      <c r="I74" s="93"/>
      <c r="J74" s="93"/>
      <c r="K74" s="93"/>
      <c r="L74" s="93"/>
      <c r="M74" s="93"/>
      <c r="N74" s="93"/>
      <c r="O74" s="93"/>
      <c r="P74" s="93"/>
      <c r="Q74" s="93"/>
      <c r="R74" s="93"/>
    </row>
    <row r="75" ht="12.75" customHeight="1">
      <c r="A75" s="93"/>
      <c r="B75" s="133"/>
      <c r="C75" s="93"/>
      <c r="D75" s="93"/>
      <c r="E75" s="93"/>
      <c r="F75" s="93"/>
      <c r="G75" s="93"/>
      <c r="H75" s="93"/>
      <c r="I75" s="93"/>
      <c r="J75" s="93"/>
      <c r="K75" s="93"/>
      <c r="L75" s="93"/>
      <c r="M75" s="93"/>
      <c r="N75" s="93"/>
      <c r="O75" s="93"/>
      <c r="P75" s="93"/>
      <c r="Q75" s="93"/>
      <c r="R75" s="93"/>
    </row>
    <row r="76" ht="12.75" customHeight="1">
      <c r="A76" s="93"/>
      <c r="B76" s="133"/>
      <c r="C76" s="93"/>
      <c r="D76" s="93"/>
      <c r="E76" s="93"/>
      <c r="F76" s="93"/>
      <c r="G76" s="93"/>
      <c r="H76" s="93"/>
      <c r="I76" s="93"/>
      <c r="J76" s="93"/>
      <c r="K76" s="93"/>
      <c r="L76" s="93"/>
      <c r="M76" s="93"/>
      <c r="N76" s="93"/>
      <c r="O76" s="93"/>
      <c r="P76" s="93"/>
      <c r="Q76" s="93"/>
      <c r="R76" s="93"/>
    </row>
    <row r="77" ht="12.75" customHeight="1">
      <c r="A77" s="93"/>
      <c r="B77" s="133"/>
      <c r="C77" s="93"/>
      <c r="D77" s="93"/>
      <c r="E77" s="93"/>
      <c r="F77" s="93"/>
      <c r="G77" s="93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</row>
    <row r="78" ht="12.75" customHeight="1">
      <c r="A78" s="93"/>
      <c r="B78" s="133"/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3"/>
      <c r="N78" s="93"/>
      <c r="O78" s="93"/>
      <c r="P78" s="93"/>
      <c r="Q78" s="93"/>
      <c r="R78" s="93"/>
    </row>
    <row r="79" ht="12.75" customHeight="1">
      <c r="A79" s="93"/>
      <c r="B79" s="13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</row>
    <row r="80" ht="12.75" customHeight="1">
      <c r="A80" s="93"/>
      <c r="B80" s="13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</row>
    <row r="81" ht="12.75" customHeight="1">
      <c r="A81" s="93"/>
      <c r="B81" s="13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</row>
    <row r="82" ht="12.75" customHeight="1">
      <c r="A82" s="93"/>
      <c r="B82" s="133"/>
      <c r="C82" s="93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</row>
    <row r="83" ht="12.75" customHeight="1">
      <c r="A83" s="93"/>
      <c r="B83" s="133"/>
      <c r="C83" s="93"/>
      <c r="D83" s="93"/>
      <c r="E83" s="93"/>
      <c r="F83" s="93"/>
      <c r="G83" s="93"/>
      <c r="H83" s="93"/>
      <c r="I83" s="93"/>
      <c r="J83" s="93"/>
      <c r="K83" s="93"/>
      <c r="L83" s="93"/>
      <c r="M83" s="93"/>
      <c r="N83" s="93"/>
      <c r="O83" s="93"/>
      <c r="P83" s="93"/>
      <c r="Q83" s="93"/>
      <c r="R83" s="93"/>
    </row>
    <row r="84" ht="12.75" customHeight="1">
      <c r="A84" s="93"/>
      <c r="B84" s="133"/>
      <c r="C84" s="93"/>
      <c r="D84" s="93"/>
      <c r="E84" s="93"/>
      <c r="F84" s="93"/>
      <c r="G84" s="93"/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</row>
    <row r="85" ht="12.75" customHeight="1">
      <c r="A85" s="93"/>
      <c r="B85" s="133"/>
      <c r="C85" s="93"/>
      <c r="D85" s="93"/>
      <c r="E85" s="93"/>
      <c r="F85" s="93"/>
      <c r="G85" s="93"/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</row>
    <row r="86" ht="12.75" customHeight="1">
      <c r="A86" s="93"/>
      <c r="B86" s="133"/>
      <c r="C86" s="93"/>
      <c r="D86" s="93"/>
      <c r="E86" s="93"/>
      <c r="F86" s="93"/>
      <c r="G86" s="93"/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</row>
    <row r="87" ht="12.75" customHeight="1">
      <c r="A87" s="93"/>
      <c r="B87" s="133"/>
      <c r="C87" s="93"/>
      <c r="D87" s="93"/>
      <c r="E87" s="93"/>
      <c r="F87" s="93"/>
      <c r="G87" s="93"/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</row>
    <row r="88" ht="12.75" customHeight="1">
      <c r="A88" s="93"/>
      <c r="B88" s="133"/>
      <c r="C88" s="93"/>
      <c r="D88" s="93"/>
      <c r="E88" s="93"/>
      <c r="F88" s="93"/>
      <c r="G88" s="93"/>
      <c r="H88" s="93"/>
      <c r="I88" s="93"/>
      <c r="J88" s="93"/>
      <c r="K88" s="93"/>
      <c r="L88" s="93"/>
      <c r="M88" s="93"/>
      <c r="N88" s="93"/>
      <c r="O88" s="93"/>
      <c r="P88" s="93"/>
      <c r="Q88" s="93"/>
      <c r="R88" s="93"/>
    </row>
    <row r="89" ht="12.75" customHeight="1">
      <c r="A89" s="93"/>
      <c r="B89" s="133"/>
      <c r="C89" s="93"/>
      <c r="D89" s="93"/>
      <c r="E89" s="93"/>
      <c r="F89" s="93"/>
      <c r="G89" s="93"/>
      <c r="H89" s="93"/>
      <c r="I89" s="93"/>
      <c r="J89" s="93"/>
      <c r="K89" s="93"/>
      <c r="L89" s="93"/>
      <c r="M89" s="93"/>
      <c r="N89" s="93"/>
      <c r="O89" s="93"/>
      <c r="P89" s="93"/>
      <c r="Q89" s="93"/>
      <c r="R89" s="93"/>
    </row>
    <row r="90" ht="12.75" customHeight="1">
      <c r="A90" s="93"/>
      <c r="B90" s="133"/>
      <c r="C90" s="93"/>
      <c r="D90" s="93"/>
      <c r="E90" s="93"/>
      <c r="F90" s="93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93"/>
    </row>
    <row r="91" ht="12.75" customHeight="1">
      <c r="A91" s="93"/>
      <c r="B91" s="133"/>
      <c r="C91" s="93"/>
      <c r="D91" s="93"/>
      <c r="E91" s="93"/>
      <c r="F91" s="93"/>
      <c r="G91" s="93"/>
      <c r="H91" s="93"/>
      <c r="I91" s="93"/>
      <c r="J91" s="93"/>
      <c r="K91" s="93"/>
      <c r="L91" s="93"/>
      <c r="M91" s="93"/>
      <c r="N91" s="93"/>
      <c r="O91" s="93"/>
      <c r="P91" s="93"/>
      <c r="Q91" s="93"/>
      <c r="R91" s="93"/>
    </row>
    <row r="92" ht="12.75" customHeight="1">
      <c r="A92" s="93"/>
      <c r="B92" s="133"/>
      <c r="C92" s="93"/>
      <c r="D92" s="93"/>
      <c r="E92" s="93"/>
      <c r="F92" s="93"/>
      <c r="G92" s="93"/>
      <c r="H92" s="93"/>
      <c r="I92" s="93"/>
      <c r="J92" s="93"/>
      <c r="K92" s="93"/>
      <c r="L92" s="93"/>
      <c r="M92" s="93"/>
      <c r="N92" s="93"/>
      <c r="O92" s="93"/>
      <c r="P92" s="93"/>
      <c r="Q92" s="93"/>
      <c r="R92" s="93"/>
    </row>
    <row r="93" ht="12.75" customHeight="1">
      <c r="A93" s="93"/>
      <c r="B93" s="133"/>
      <c r="C93" s="93"/>
      <c r="D93" s="93"/>
      <c r="E93" s="93"/>
      <c r="F93" s="93"/>
      <c r="G93" s="93"/>
      <c r="H93" s="93"/>
      <c r="I93" s="93"/>
      <c r="J93" s="93"/>
      <c r="K93" s="93"/>
      <c r="L93" s="93"/>
      <c r="M93" s="93"/>
      <c r="N93" s="93"/>
      <c r="O93" s="93"/>
      <c r="P93" s="93"/>
      <c r="Q93" s="93"/>
      <c r="R93" s="93"/>
    </row>
    <row r="94" ht="12.75" customHeight="1">
      <c r="A94" s="93"/>
      <c r="B94" s="133"/>
      <c r="C94" s="93"/>
      <c r="D94" s="93"/>
      <c r="E94" s="93"/>
      <c r="F94" s="93"/>
      <c r="G94" s="93"/>
      <c r="H94" s="93"/>
      <c r="I94" s="93"/>
      <c r="J94" s="93"/>
      <c r="K94" s="93"/>
      <c r="L94" s="93"/>
      <c r="M94" s="93"/>
      <c r="N94" s="93"/>
      <c r="O94" s="93"/>
      <c r="P94" s="93"/>
      <c r="Q94" s="93"/>
      <c r="R94" s="93"/>
    </row>
    <row r="95" ht="12.75" customHeight="1">
      <c r="A95" s="93"/>
      <c r="B95" s="133"/>
      <c r="C95" s="93"/>
      <c r="D95" s="93"/>
      <c r="E95" s="93"/>
      <c r="F95" s="93"/>
      <c r="G95" s="93"/>
      <c r="H95" s="93"/>
      <c r="I95" s="93"/>
      <c r="J95" s="93"/>
      <c r="K95" s="93"/>
      <c r="L95" s="93"/>
      <c r="M95" s="93"/>
      <c r="N95" s="93"/>
      <c r="O95" s="93"/>
      <c r="P95" s="93"/>
      <c r="Q95" s="93"/>
      <c r="R95" s="93"/>
    </row>
    <row r="96" ht="12.75" customHeight="1">
      <c r="A96" s="93"/>
      <c r="B96" s="133"/>
      <c r="C96" s="93"/>
      <c r="D96" s="93"/>
      <c r="E96" s="93"/>
      <c r="F96" s="93"/>
      <c r="G96" s="93"/>
      <c r="H96" s="93"/>
      <c r="I96" s="93"/>
      <c r="J96" s="93"/>
      <c r="K96" s="93"/>
      <c r="L96" s="93"/>
      <c r="M96" s="93"/>
      <c r="N96" s="93"/>
      <c r="O96" s="93"/>
      <c r="P96" s="93"/>
      <c r="Q96" s="93"/>
      <c r="R96" s="93"/>
    </row>
    <row r="97" ht="12.75" customHeight="1">
      <c r="A97" s="93"/>
      <c r="B97" s="133"/>
      <c r="C97" s="93"/>
      <c r="D97" s="93"/>
      <c r="E97" s="93"/>
      <c r="F97" s="93"/>
      <c r="G97" s="93"/>
      <c r="H97" s="93"/>
      <c r="I97" s="93"/>
      <c r="J97" s="93"/>
      <c r="K97" s="93"/>
      <c r="L97" s="93"/>
      <c r="M97" s="93"/>
      <c r="N97" s="93"/>
      <c r="O97" s="93"/>
      <c r="P97" s="93"/>
      <c r="Q97" s="93"/>
      <c r="R97" s="93"/>
    </row>
    <row r="98" ht="12.75" customHeight="1">
      <c r="A98" s="93"/>
      <c r="B98" s="133"/>
      <c r="C98" s="93"/>
      <c r="D98" s="93"/>
      <c r="E98" s="93"/>
      <c r="F98" s="93"/>
      <c r="G98" s="93"/>
      <c r="H98" s="93"/>
      <c r="I98" s="93"/>
      <c r="J98" s="93"/>
      <c r="K98" s="93"/>
      <c r="L98" s="93"/>
      <c r="M98" s="93"/>
      <c r="N98" s="93"/>
      <c r="O98" s="93"/>
      <c r="P98" s="93"/>
      <c r="Q98" s="93"/>
      <c r="R98" s="93"/>
    </row>
    <row r="99" ht="12.75" customHeight="1">
      <c r="A99" s="93"/>
      <c r="B99" s="133"/>
      <c r="C99" s="93"/>
      <c r="D99" s="93"/>
      <c r="E99" s="93"/>
      <c r="F99" s="93"/>
      <c r="G99" s="93"/>
      <c r="H99" s="93"/>
      <c r="I99" s="93"/>
      <c r="J99" s="93"/>
      <c r="K99" s="93"/>
      <c r="L99" s="93"/>
      <c r="M99" s="93"/>
      <c r="N99" s="93"/>
      <c r="O99" s="93"/>
      <c r="P99" s="93"/>
      <c r="Q99" s="93"/>
      <c r="R99" s="93"/>
    </row>
    <row r="100" ht="12.75" customHeight="1">
      <c r="A100" s="93"/>
      <c r="B100" s="13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</row>
    <row r="101" ht="12.75" customHeight="1">
      <c r="A101" s="93"/>
      <c r="B101" s="133"/>
      <c r="C101" s="93"/>
      <c r="D101" s="93"/>
      <c r="E101" s="93"/>
      <c r="F101" s="93"/>
      <c r="G101" s="93"/>
      <c r="H101" s="93"/>
      <c r="I101" s="93"/>
      <c r="J101" s="93"/>
      <c r="K101" s="93"/>
      <c r="L101" s="93"/>
      <c r="M101" s="93"/>
      <c r="N101" s="93"/>
      <c r="O101" s="93"/>
      <c r="P101" s="93"/>
      <c r="Q101" s="93"/>
      <c r="R101" s="93"/>
    </row>
    <row r="102" ht="12.75" customHeight="1">
      <c r="A102" s="93"/>
      <c r="B102" s="133"/>
      <c r="C102" s="93"/>
      <c r="D102" s="93"/>
      <c r="E102" s="93"/>
      <c r="F102" s="93"/>
      <c r="G102" s="93"/>
      <c r="H102" s="93"/>
      <c r="I102" s="93"/>
      <c r="J102" s="93"/>
      <c r="K102" s="93"/>
      <c r="L102" s="93"/>
      <c r="M102" s="93"/>
      <c r="N102" s="93"/>
      <c r="O102" s="93"/>
      <c r="P102" s="93"/>
      <c r="Q102" s="93"/>
      <c r="R102" s="93"/>
    </row>
    <row r="103" ht="12.75" customHeight="1">
      <c r="A103" s="93"/>
      <c r="B103" s="133"/>
      <c r="C103" s="93"/>
      <c r="D103" s="93"/>
      <c r="E103" s="93"/>
      <c r="F103" s="93"/>
      <c r="G103" s="93"/>
      <c r="H103" s="93"/>
      <c r="I103" s="93"/>
      <c r="J103" s="93"/>
      <c r="K103" s="93"/>
      <c r="L103" s="93"/>
      <c r="M103" s="93"/>
      <c r="N103" s="93"/>
      <c r="O103" s="93"/>
      <c r="P103" s="93"/>
      <c r="Q103" s="93"/>
      <c r="R103" s="93"/>
    </row>
    <row r="104" ht="12.75" customHeight="1">
      <c r="A104" s="93"/>
      <c r="B104" s="133"/>
      <c r="C104" s="93"/>
      <c r="D104" s="93"/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</row>
    <row r="105" ht="12.75" customHeight="1">
      <c r="A105" s="93"/>
      <c r="B105" s="133"/>
      <c r="C105" s="93"/>
      <c r="D105" s="93"/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</row>
    <row r="106" ht="12.75" customHeight="1">
      <c r="A106" s="93"/>
      <c r="B106" s="133"/>
      <c r="C106" s="93"/>
      <c r="D106" s="93"/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</row>
    <row r="107" ht="12.75" customHeight="1">
      <c r="A107" s="93"/>
      <c r="B107" s="133"/>
      <c r="C107" s="93"/>
      <c r="D107" s="93"/>
      <c r="E107" s="93"/>
      <c r="F107" s="93"/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</row>
    <row r="108" ht="12.75" customHeight="1">
      <c r="A108" s="93"/>
      <c r="B108" s="133"/>
      <c r="C108" s="93"/>
      <c r="D108" s="93"/>
      <c r="E108" s="93"/>
      <c r="F108" s="93"/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</row>
    <row r="109" ht="12.75" customHeight="1">
      <c r="A109" s="93"/>
      <c r="B109" s="133"/>
      <c r="C109" s="93"/>
      <c r="D109" s="93"/>
      <c r="E109" s="93"/>
      <c r="F109" s="93"/>
      <c r="G109" s="93"/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</row>
    <row r="110" ht="12.75" customHeight="1">
      <c r="A110" s="93"/>
      <c r="B110" s="133"/>
      <c r="C110" s="93"/>
      <c r="D110" s="93"/>
      <c r="E110" s="93"/>
      <c r="F110" s="93"/>
      <c r="G110" s="93"/>
      <c r="H110" s="93"/>
      <c r="I110" s="93"/>
      <c r="J110" s="93"/>
      <c r="K110" s="93"/>
      <c r="L110" s="93"/>
      <c r="M110" s="93"/>
      <c r="N110" s="93"/>
      <c r="O110" s="93"/>
      <c r="P110" s="93"/>
      <c r="Q110" s="93"/>
      <c r="R110" s="93"/>
    </row>
    <row r="111" ht="12.75" customHeight="1">
      <c r="A111" s="93"/>
      <c r="B111" s="133"/>
      <c r="C111" s="93"/>
      <c r="D111" s="93"/>
      <c r="E111" s="93"/>
      <c r="F111" s="93"/>
      <c r="G111" s="93"/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</row>
    <row r="112" ht="12.75" customHeight="1">
      <c r="A112" s="93"/>
      <c r="B112" s="133"/>
      <c r="C112" s="93"/>
      <c r="D112" s="93"/>
      <c r="E112" s="93"/>
      <c r="F112" s="93"/>
      <c r="G112" s="93"/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</row>
    <row r="113" ht="12.75" customHeight="1">
      <c r="A113" s="93"/>
      <c r="B113" s="133"/>
      <c r="C113" s="93"/>
      <c r="D113" s="93"/>
      <c r="E113" s="93"/>
      <c r="F113" s="93"/>
      <c r="G113" s="93"/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</row>
    <row r="114" ht="12.75" customHeight="1">
      <c r="A114" s="93"/>
      <c r="B114" s="133"/>
      <c r="C114" s="93"/>
      <c r="D114" s="93"/>
      <c r="E114" s="93"/>
      <c r="F114" s="93"/>
      <c r="G114" s="93"/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</row>
    <row r="115" ht="12.75" customHeight="1">
      <c r="A115" s="93"/>
      <c r="B115" s="133"/>
      <c r="C115" s="93"/>
      <c r="D115" s="93"/>
      <c r="E115" s="93"/>
      <c r="F115" s="93"/>
      <c r="G115" s="93"/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</row>
    <row r="116" ht="12.75" customHeight="1">
      <c r="A116" s="93"/>
      <c r="B116" s="133"/>
      <c r="C116" s="93"/>
      <c r="D116" s="93"/>
      <c r="E116" s="93"/>
      <c r="F116" s="93"/>
      <c r="G116" s="93"/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</row>
    <row r="117" ht="12.75" customHeight="1">
      <c r="A117" s="93"/>
      <c r="B117" s="133"/>
      <c r="C117" s="93"/>
      <c r="D117" s="93"/>
      <c r="E117" s="93"/>
      <c r="F117" s="93"/>
      <c r="G117" s="93"/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</row>
    <row r="118" ht="12.75" customHeight="1">
      <c r="A118" s="93"/>
      <c r="B118" s="13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</row>
    <row r="119" ht="12.75" customHeight="1">
      <c r="A119" s="93"/>
      <c r="B119" s="133"/>
      <c r="C119" s="93"/>
      <c r="D119" s="93"/>
      <c r="E119" s="93"/>
      <c r="F119" s="93"/>
      <c r="G119" s="93"/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</row>
    <row r="120" ht="12.75" customHeight="1">
      <c r="A120" s="93"/>
      <c r="B120" s="133"/>
      <c r="C120" s="93"/>
      <c r="D120" s="93"/>
      <c r="E120" s="93"/>
      <c r="F120" s="93"/>
      <c r="G120" s="93"/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</row>
    <row r="121" ht="12.75" customHeight="1">
      <c r="A121" s="93"/>
      <c r="B121" s="133"/>
      <c r="C121" s="93"/>
      <c r="D121" s="93"/>
      <c r="E121" s="93"/>
      <c r="F121" s="93"/>
      <c r="G121" s="93"/>
      <c r="H121" s="93"/>
      <c r="I121" s="93"/>
      <c r="J121" s="93"/>
      <c r="K121" s="93"/>
      <c r="L121" s="93"/>
      <c r="M121" s="93"/>
      <c r="N121" s="93"/>
      <c r="O121" s="93"/>
      <c r="P121" s="93"/>
      <c r="Q121" s="93"/>
      <c r="R121" s="93"/>
    </row>
    <row r="122" ht="12.75" customHeight="1">
      <c r="A122" s="93"/>
      <c r="B122" s="133"/>
      <c r="C122" s="93"/>
      <c r="D122" s="93"/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</row>
    <row r="123" ht="12.75" customHeight="1">
      <c r="A123" s="93"/>
      <c r="B123" s="133"/>
      <c r="C123" s="93"/>
      <c r="D123" s="93"/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</row>
    <row r="124" ht="12.75" customHeight="1">
      <c r="A124" s="93"/>
      <c r="B124" s="133"/>
      <c r="C124" s="93"/>
      <c r="D124" s="93"/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</row>
    <row r="125" ht="12.75" customHeight="1">
      <c r="A125" s="93"/>
      <c r="B125" s="133"/>
      <c r="C125" s="93"/>
      <c r="D125" s="93"/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</row>
    <row r="126" ht="12.75" customHeight="1">
      <c r="A126" s="93"/>
      <c r="B126" s="133"/>
      <c r="C126" s="93"/>
      <c r="D126" s="93"/>
      <c r="E126" s="93"/>
      <c r="F126" s="93"/>
      <c r="G126" s="93"/>
      <c r="H126" s="93"/>
      <c r="I126" s="93"/>
      <c r="J126" s="93"/>
      <c r="K126" s="93"/>
      <c r="L126" s="93"/>
      <c r="M126" s="93"/>
      <c r="N126" s="93"/>
      <c r="O126" s="93"/>
      <c r="P126" s="93"/>
      <c r="Q126" s="93"/>
      <c r="R126" s="93"/>
    </row>
    <row r="127" ht="12.75" customHeight="1">
      <c r="A127" s="93"/>
      <c r="B127" s="133"/>
      <c r="C127" s="93"/>
      <c r="D127" s="93"/>
      <c r="E127" s="93"/>
      <c r="F127" s="93"/>
      <c r="G127" s="93"/>
      <c r="H127" s="93"/>
      <c r="I127" s="93"/>
      <c r="J127" s="93"/>
      <c r="K127" s="93"/>
      <c r="L127" s="93"/>
      <c r="M127" s="93"/>
      <c r="N127" s="93"/>
      <c r="O127" s="93"/>
      <c r="P127" s="93"/>
      <c r="Q127" s="93"/>
      <c r="R127" s="93"/>
    </row>
    <row r="128" ht="12.75" customHeight="1">
      <c r="A128" s="93"/>
      <c r="B128" s="133"/>
      <c r="C128" s="93"/>
      <c r="D128" s="93"/>
      <c r="E128" s="93"/>
      <c r="F128" s="93"/>
      <c r="G128" s="93"/>
      <c r="H128" s="93"/>
      <c r="I128" s="93"/>
      <c r="J128" s="93"/>
      <c r="K128" s="93"/>
      <c r="L128" s="93"/>
      <c r="M128" s="93"/>
      <c r="N128" s="93"/>
      <c r="O128" s="93"/>
      <c r="P128" s="93"/>
      <c r="Q128" s="93"/>
      <c r="R128" s="93"/>
    </row>
    <row r="129" ht="12.75" customHeight="1">
      <c r="A129" s="93"/>
      <c r="B129" s="133"/>
      <c r="C129" s="93"/>
      <c r="D129" s="93"/>
      <c r="E129" s="93"/>
      <c r="F129" s="93"/>
      <c r="G129" s="93"/>
      <c r="H129" s="93"/>
      <c r="I129" s="93"/>
      <c r="J129" s="93"/>
      <c r="K129" s="93"/>
      <c r="L129" s="93"/>
      <c r="M129" s="93"/>
      <c r="N129" s="93"/>
      <c r="O129" s="93"/>
      <c r="P129" s="93"/>
      <c r="Q129" s="93"/>
      <c r="R129" s="93"/>
    </row>
    <row r="130" ht="12.75" customHeight="1">
      <c r="A130" s="93"/>
      <c r="B130" s="133"/>
      <c r="C130" s="93"/>
      <c r="D130" s="93"/>
      <c r="E130" s="93"/>
      <c r="F130" s="93"/>
      <c r="G130" s="93"/>
      <c r="H130" s="93"/>
      <c r="I130" s="93"/>
      <c r="J130" s="93"/>
      <c r="K130" s="93"/>
      <c r="L130" s="93"/>
      <c r="M130" s="93"/>
      <c r="N130" s="93"/>
      <c r="O130" s="93"/>
      <c r="P130" s="93"/>
      <c r="Q130" s="93"/>
      <c r="R130" s="93"/>
    </row>
    <row r="131" ht="12.75" customHeight="1">
      <c r="A131" s="93"/>
      <c r="B131" s="133"/>
      <c r="C131" s="93"/>
      <c r="D131" s="93"/>
      <c r="E131" s="93"/>
      <c r="F131" s="93"/>
      <c r="G131" s="93"/>
      <c r="H131" s="93"/>
      <c r="I131" s="93"/>
      <c r="J131" s="93"/>
      <c r="K131" s="93"/>
      <c r="L131" s="93"/>
      <c r="M131" s="93"/>
      <c r="N131" s="93"/>
      <c r="O131" s="93"/>
      <c r="P131" s="93"/>
      <c r="Q131" s="93"/>
      <c r="R131" s="93"/>
    </row>
    <row r="132" ht="12.75" customHeight="1">
      <c r="A132" s="93"/>
      <c r="B132" s="133"/>
      <c r="C132" s="93"/>
      <c r="D132" s="93"/>
      <c r="E132" s="93"/>
      <c r="F132" s="93"/>
      <c r="G132" s="93"/>
      <c r="H132" s="93"/>
      <c r="I132" s="93"/>
      <c r="J132" s="93"/>
      <c r="K132" s="93"/>
      <c r="L132" s="93"/>
      <c r="M132" s="93"/>
      <c r="N132" s="93"/>
      <c r="O132" s="93"/>
      <c r="P132" s="93"/>
      <c r="Q132" s="93"/>
      <c r="R132" s="93"/>
    </row>
    <row r="133" ht="12.75" customHeight="1">
      <c r="A133" s="93"/>
      <c r="B133" s="133"/>
      <c r="C133" s="93"/>
      <c r="D133" s="93"/>
      <c r="E133" s="93"/>
      <c r="F133" s="93"/>
      <c r="G133" s="93"/>
      <c r="H133" s="93"/>
      <c r="I133" s="93"/>
      <c r="J133" s="93"/>
      <c r="K133" s="93"/>
      <c r="L133" s="93"/>
      <c r="M133" s="93"/>
      <c r="N133" s="93"/>
      <c r="O133" s="93"/>
      <c r="P133" s="93"/>
      <c r="Q133" s="93"/>
      <c r="R133" s="93"/>
    </row>
    <row r="134" ht="12.75" customHeight="1">
      <c r="A134" s="93"/>
      <c r="B134" s="133"/>
      <c r="C134" s="93"/>
      <c r="D134" s="93"/>
      <c r="E134" s="93"/>
      <c r="F134" s="93"/>
      <c r="G134" s="93"/>
      <c r="H134" s="93"/>
      <c r="I134" s="93"/>
      <c r="J134" s="93"/>
      <c r="K134" s="93"/>
      <c r="L134" s="93"/>
      <c r="M134" s="93"/>
      <c r="N134" s="93"/>
      <c r="O134" s="93"/>
      <c r="P134" s="93"/>
      <c r="Q134" s="93"/>
      <c r="R134" s="93"/>
    </row>
    <row r="135" ht="12.75" customHeight="1">
      <c r="A135" s="93"/>
      <c r="B135" s="133"/>
      <c r="C135" s="93"/>
      <c r="D135" s="93"/>
      <c r="E135" s="93"/>
      <c r="F135" s="93"/>
      <c r="G135" s="93"/>
      <c r="H135" s="93"/>
      <c r="I135" s="93"/>
      <c r="J135" s="93"/>
      <c r="K135" s="93"/>
      <c r="L135" s="93"/>
      <c r="M135" s="93"/>
      <c r="N135" s="93"/>
      <c r="O135" s="93"/>
      <c r="P135" s="93"/>
      <c r="Q135" s="93"/>
      <c r="R135" s="93"/>
    </row>
    <row r="136" ht="12.75" customHeight="1">
      <c r="A136" s="93"/>
      <c r="B136" s="133"/>
      <c r="C136" s="93"/>
      <c r="D136" s="93"/>
      <c r="E136" s="93"/>
      <c r="F136" s="93"/>
      <c r="G136" s="93"/>
      <c r="H136" s="93"/>
      <c r="I136" s="93"/>
      <c r="J136" s="93"/>
      <c r="K136" s="93"/>
      <c r="L136" s="93"/>
      <c r="M136" s="93"/>
      <c r="N136" s="93"/>
      <c r="O136" s="93"/>
      <c r="P136" s="93"/>
      <c r="Q136" s="93"/>
      <c r="R136" s="93"/>
    </row>
    <row r="137" ht="12.75" customHeight="1">
      <c r="A137" s="93"/>
      <c r="B137" s="133"/>
      <c r="C137" s="93"/>
      <c r="D137" s="93"/>
      <c r="E137" s="93"/>
      <c r="F137" s="93"/>
      <c r="G137" s="93"/>
      <c r="H137" s="93"/>
      <c r="I137" s="93"/>
      <c r="J137" s="93"/>
      <c r="K137" s="93"/>
      <c r="L137" s="93"/>
      <c r="M137" s="93"/>
      <c r="N137" s="93"/>
      <c r="O137" s="93"/>
      <c r="P137" s="93"/>
      <c r="Q137" s="93"/>
      <c r="R137" s="93"/>
    </row>
    <row r="138" ht="12.75" customHeight="1">
      <c r="A138" s="93"/>
      <c r="B138" s="133"/>
      <c r="C138" s="93"/>
      <c r="D138" s="93"/>
      <c r="E138" s="93"/>
      <c r="F138" s="93"/>
      <c r="G138" s="93"/>
      <c r="H138" s="93"/>
      <c r="I138" s="93"/>
      <c r="J138" s="93"/>
      <c r="K138" s="93"/>
      <c r="L138" s="93"/>
      <c r="M138" s="93"/>
      <c r="N138" s="93"/>
      <c r="O138" s="93"/>
      <c r="P138" s="93"/>
      <c r="Q138" s="93"/>
      <c r="R138" s="93"/>
    </row>
    <row r="139" ht="12.75" customHeight="1">
      <c r="A139" s="93"/>
      <c r="B139" s="133"/>
      <c r="C139" s="93"/>
      <c r="D139" s="93"/>
      <c r="E139" s="93"/>
      <c r="F139" s="93"/>
      <c r="G139" s="93"/>
      <c r="H139" s="93"/>
      <c r="I139" s="93"/>
      <c r="J139" s="93"/>
      <c r="K139" s="93"/>
      <c r="L139" s="93"/>
      <c r="M139" s="93"/>
      <c r="N139" s="93"/>
      <c r="O139" s="93"/>
      <c r="P139" s="93"/>
      <c r="Q139" s="93"/>
      <c r="R139" s="93"/>
    </row>
    <row r="140" ht="12.75" customHeight="1">
      <c r="A140" s="93"/>
      <c r="B140" s="133"/>
      <c r="C140" s="93"/>
      <c r="D140" s="93"/>
      <c r="E140" s="93"/>
      <c r="F140" s="93"/>
      <c r="G140" s="93"/>
      <c r="H140" s="93"/>
      <c r="I140" s="93"/>
      <c r="J140" s="93"/>
      <c r="K140" s="93"/>
      <c r="L140" s="93"/>
      <c r="M140" s="93"/>
      <c r="N140" s="93"/>
      <c r="O140" s="93"/>
      <c r="P140" s="93"/>
      <c r="Q140" s="93"/>
      <c r="R140" s="93"/>
    </row>
    <row r="141" ht="12.75" customHeight="1">
      <c r="A141" s="93"/>
      <c r="B141" s="133"/>
      <c r="C141" s="93"/>
      <c r="D141" s="93"/>
      <c r="E141" s="93"/>
      <c r="F141" s="93"/>
      <c r="G141" s="93"/>
      <c r="H141" s="93"/>
      <c r="I141" s="93"/>
      <c r="J141" s="93"/>
      <c r="K141" s="93"/>
      <c r="L141" s="93"/>
      <c r="M141" s="93"/>
      <c r="N141" s="93"/>
      <c r="O141" s="93"/>
      <c r="P141" s="93"/>
      <c r="Q141" s="93"/>
      <c r="R141" s="93"/>
    </row>
    <row r="142" ht="12.75" customHeight="1">
      <c r="A142" s="93"/>
      <c r="B142" s="133"/>
      <c r="C142" s="93"/>
      <c r="D142" s="93"/>
      <c r="E142" s="93"/>
      <c r="F142" s="93"/>
      <c r="G142" s="93"/>
      <c r="H142" s="93"/>
      <c r="I142" s="93"/>
      <c r="J142" s="93"/>
      <c r="K142" s="93"/>
      <c r="L142" s="93"/>
      <c r="M142" s="93"/>
      <c r="N142" s="93"/>
      <c r="O142" s="93"/>
      <c r="P142" s="93"/>
      <c r="Q142" s="93"/>
      <c r="R142" s="93"/>
    </row>
    <row r="143" ht="12.75" customHeight="1">
      <c r="A143" s="93"/>
      <c r="B143" s="133"/>
      <c r="C143" s="93"/>
      <c r="D143" s="93"/>
      <c r="E143" s="93"/>
      <c r="F143" s="93"/>
      <c r="G143" s="93"/>
      <c r="H143" s="93"/>
      <c r="I143" s="93"/>
      <c r="J143" s="93"/>
      <c r="K143" s="93"/>
      <c r="L143" s="93"/>
      <c r="M143" s="93"/>
      <c r="N143" s="93"/>
      <c r="O143" s="93"/>
      <c r="P143" s="93"/>
      <c r="Q143" s="93"/>
      <c r="R143" s="93"/>
    </row>
    <row r="144" ht="12.75" customHeight="1">
      <c r="A144" s="93"/>
      <c r="B144" s="133"/>
      <c r="C144" s="93"/>
      <c r="D144" s="93"/>
      <c r="E144" s="93"/>
      <c r="F144" s="93"/>
      <c r="G144" s="93"/>
      <c r="H144" s="93"/>
      <c r="I144" s="93"/>
      <c r="J144" s="93"/>
      <c r="K144" s="93"/>
      <c r="L144" s="93"/>
      <c r="M144" s="93"/>
      <c r="N144" s="93"/>
      <c r="O144" s="93"/>
      <c r="P144" s="93"/>
      <c r="Q144" s="93"/>
      <c r="R144" s="93"/>
    </row>
    <row r="145" ht="12.75" customHeight="1">
      <c r="A145" s="93"/>
      <c r="B145" s="133"/>
      <c r="C145" s="93"/>
      <c r="D145" s="93"/>
      <c r="E145" s="93"/>
      <c r="F145" s="93"/>
      <c r="G145" s="93"/>
      <c r="H145" s="93"/>
      <c r="I145" s="93"/>
      <c r="J145" s="93"/>
      <c r="K145" s="93"/>
      <c r="L145" s="93"/>
      <c r="M145" s="93"/>
      <c r="N145" s="93"/>
      <c r="O145" s="93"/>
      <c r="P145" s="93"/>
      <c r="Q145" s="93"/>
      <c r="R145" s="93"/>
    </row>
    <row r="146" ht="12.75" customHeight="1">
      <c r="A146" s="93"/>
      <c r="B146" s="133"/>
      <c r="C146" s="93"/>
      <c r="D146" s="93"/>
      <c r="E146" s="93"/>
      <c r="F146" s="93"/>
      <c r="G146" s="93"/>
      <c r="H146" s="93"/>
      <c r="I146" s="93"/>
      <c r="J146" s="93"/>
      <c r="K146" s="93"/>
      <c r="L146" s="93"/>
      <c r="M146" s="93"/>
      <c r="N146" s="93"/>
      <c r="O146" s="93"/>
      <c r="P146" s="93"/>
      <c r="Q146" s="93"/>
      <c r="R146" s="93"/>
    </row>
    <row r="147" ht="12.75" customHeight="1">
      <c r="A147" s="93"/>
      <c r="B147" s="133"/>
      <c r="C147" s="93"/>
      <c r="D147" s="93"/>
      <c r="E147" s="93"/>
      <c r="F147" s="93"/>
      <c r="G147" s="93"/>
      <c r="H147" s="93"/>
      <c r="I147" s="93"/>
      <c r="J147" s="93"/>
      <c r="K147" s="93"/>
      <c r="L147" s="93"/>
      <c r="M147" s="93"/>
      <c r="N147" s="93"/>
      <c r="O147" s="93"/>
      <c r="P147" s="93"/>
      <c r="Q147" s="93"/>
      <c r="R147" s="93"/>
    </row>
    <row r="148" ht="12.75" customHeight="1">
      <c r="A148" s="93"/>
      <c r="B148" s="133"/>
      <c r="C148" s="93"/>
      <c r="D148" s="93"/>
      <c r="E148" s="93"/>
      <c r="F148" s="93"/>
      <c r="G148" s="93"/>
      <c r="H148" s="93"/>
      <c r="I148" s="93"/>
      <c r="J148" s="93"/>
      <c r="K148" s="93"/>
      <c r="L148" s="93"/>
      <c r="M148" s="93"/>
      <c r="N148" s="93"/>
      <c r="O148" s="93"/>
      <c r="P148" s="93"/>
      <c r="Q148" s="93"/>
      <c r="R148" s="93"/>
    </row>
    <row r="149" ht="12.75" customHeight="1">
      <c r="A149" s="93"/>
      <c r="B149" s="133"/>
      <c r="C149" s="93"/>
      <c r="D149" s="93"/>
      <c r="E149" s="93"/>
      <c r="F149" s="93"/>
      <c r="G149" s="93"/>
      <c r="H149" s="93"/>
      <c r="I149" s="93"/>
      <c r="J149" s="93"/>
      <c r="K149" s="93"/>
      <c r="L149" s="93"/>
      <c r="M149" s="93"/>
      <c r="N149" s="93"/>
      <c r="O149" s="93"/>
      <c r="P149" s="93"/>
      <c r="Q149" s="93"/>
      <c r="R149" s="93"/>
    </row>
    <row r="150" ht="12.75" customHeight="1">
      <c r="A150" s="93"/>
      <c r="B150" s="133"/>
      <c r="C150" s="93"/>
      <c r="D150" s="93"/>
      <c r="E150" s="93"/>
      <c r="F150" s="93"/>
      <c r="G150" s="93"/>
      <c r="H150" s="93"/>
      <c r="I150" s="93"/>
      <c r="J150" s="93"/>
      <c r="K150" s="93"/>
      <c r="L150" s="93"/>
      <c r="M150" s="93"/>
      <c r="N150" s="93"/>
      <c r="O150" s="93"/>
      <c r="P150" s="93"/>
      <c r="Q150" s="93"/>
      <c r="R150" s="93"/>
    </row>
    <row r="151" ht="12.75" customHeight="1">
      <c r="A151" s="93"/>
      <c r="B151" s="133"/>
      <c r="C151" s="93"/>
      <c r="D151" s="93"/>
      <c r="E151" s="93"/>
      <c r="F151" s="93"/>
      <c r="G151" s="93"/>
      <c r="H151" s="93"/>
      <c r="I151" s="93"/>
      <c r="J151" s="93"/>
      <c r="K151" s="93"/>
      <c r="L151" s="93"/>
      <c r="M151" s="93"/>
      <c r="N151" s="93"/>
      <c r="O151" s="93"/>
      <c r="P151" s="93"/>
      <c r="Q151" s="93"/>
      <c r="R151" s="93"/>
    </row>
    <row r="152" ht="12.75" customHeight="1">
      <c r="A152" s="93"/>
      <c r="B152" s="133"/>
      <c r="C152" s="93"/>
      <c r="D152" s="93"/>
      <c r="E152" s="93"/>
      <c r="F152" s="93"/>
      <c r="G152" s="93"/>
      <c r="H152" s="93"/>
      <c r="I152" s="93"/>
      <c r="J152" s="93"/>
      <c r="K152" s="93"/>
      <c r="L152" s="93"/>
      <c r="M152" s="93"/>
      <c r="N152" s="93"/>
      <c r="O152" s="93"/>
      <c r="P152" s="93"/>
      <c r="Q152" s="93"/>
      <c r="R152" s="93"/>
    </row>
    <row r="153" ht="12.75" customHeight="1">
      <c r="A153" s="93"/>
      <c r="B153" s="133"/>
      <c r="C153" s="93"/>
      <c r="D153" s="93"/>
      <c r="E153" s="93"/>
      <c r="F153" s="93"/>
      <c r="G153" s="93"/>
      <c r="H153" s="93"/>
      <c r="I153" s="93"/>
      <c r="J153" s="93"/>
      <c r="K153" s="93"/>
      <c r="L153" s="93"/>
      <c r="M153" s="93"/>
      <c r="N153" s="93"/>
      <c r="O153" s="93"/>
      <c r="P153" s="93"/>
      <c r="Q153" s="93"/>
      <c r="R153" s="93"/>
    </row>
    <row r="154" ht="12.75" customHeight="1">
      <c r="A154" s="93"/>
      <c r="B154" s="133"/>
      <c r="C154" s="93"/>
      <c r="D154" s="93"/>
      <c r="E154" s="93"/>
      <c r="F154" s="93"/>
      <c r="G154" s="93"/>
      <c r="H154" s="93"/>
      <c r="I154" s="93"/>
      <c r="J154" s="93"/>
      <c r="K154" s="93"/>
      <c r="L154" s="93"/>
      <c r="M154" s="93"/>
      <c r="N154" s="93"/>
      <c r="O154" s="93"/>
      <c r="P154" s="93"/>
      <c r="Q154" s="93"/>
      <c r="R154" s="93"/>
    </row>
    <row r="155" ht="12.75" customHeight="1">
      <c r="A155" s="93"/>
      <c r="B155" s="133"/>
      <c r="C155" s="93"/>
      <c r="D155" s="93"/>
      <c r="E155" s="93"/>
      <c r="F155" s="93"/>
      <c r="G155" s="93"/>
      <c r="H155" s="93"/>
      <c r="I155" s="93"/>
      <c r="J155" s="93"/>
      <c r="K155" s="93"/>
      <c r="L155" s="93"/>
      <c r="M155" s="93"/>
      <c r="N155" s="93"/>
      <c r="O155" s="93"/>
      <c r="P155" s="93"/>
      <c r="Q155" s="93"/>
      <c r="R155" s="93"/>
    </row>
    <row r="156" ht="12.75" customHeight="1">
      <c r="A156" s="93"/>
      <c r="B156" s="133"/>
      <c r="C156" s="93"/>
      <c r="D156" s="93"/>
      <c r="E156" s="93"/>
      <c r="F156" s="93"/>
      <c r="G156" s="93"/>
      <c r="H156" s="93"/>
      <c r="I156" s="93"/>
      <c r="J156" s="93"/>
      <c r="K156" s="93"/>
      <c r="L156" s="93"/>
      <c r="M156" s="93"/>
      <c r="N156" s="93"/>
      <c r="O156" s="93"/>
      <c r="P156" s="93"/>
      <c r="Q156" s="93"/>
      <c r="R156" s="93"/>
    </row>
    <row r="157" ht="12.75" customHeight="1">
      <c r="A157" s="93"/>
      <c r="B157" s="133"/>
      <c r="C157" s="93"/>
      <c r="D157" s="93"/>
      <c r="E157" s="93"/>
      <c r="F157" s="93"/>
      <c r="G157" s="93"/>
      <c r="H157" s="93"/>
      <c r="I157" s="93"/>
      <c r="J157" s="93"/>
      <c r="K157" s="93"/>
      <c r="L157" s="93"/>
      <c r="M157" s="93"/>
      <c r="N157" s="93"/>
      <c r="O157" s="93"/>
      <c r="P157" s="93"/>
      <c r="Q157" s="93"/>
      <c r="R157" s="93"/>
    </row>
    <row r="158" ht="12.75" customHeight="1">
      <c r="A158" s="93"/>
      <c r="B158" s="133"/>
      <c r="C158" s="93"/>
      <c r="D158" s="93"/>
      <c r="E158" s="93"/>
      <c r="F158" s="93"/>
      <c r="G158" s="93"/>
      <c r="H158" s="93"/>
      <c r="I158" s="93"/>
      <c r="J158" s="93"/>
      <c r="K158" s="93"/>
      <c r="L158" s="93"/>
      <c r="M158" s="93"/>
      <c r="N158" s="93"/>
      <c r="O158" s="93"/>
      <c r="P158" s="93"/>
      <c r="Q158" s="93"/>
      <c r="R158" s="93"/>
    </row>
    <row r="159" ht="12.75" customHeight="1">
      <c r="A159" s="93"/>
      <c r="B159" s="133"/>
      <c r="C159" s="93"/>
      <c r="D159" s="93"/>
      <c r="E159" s="93"/>
      <c r="F159" s="93"/>
      <c r="G159" s="93"/>
      <c r="H159" s="93"/>
      <c r="I159" s="93"/>
      <c r="J159" s="93"/>
      <c r="K159" s="93"/>
      <c r="L159" s="93"/>
      <c r="M159" s="93"/>
      <c r="N159" s="93"/>
      <c r="O159" s="93"/>
      <c r="P159" s="93"/>
      <c r="Q159" s="93"/>
      <c r="R159" s="93"/>
    </row>
    <row r="160" ht="12.75" customHeight="1">
      <c r="A160" s="93"/>
      <c r="B160" s="133"/>
      <c r="C160" s="93"/>
      <c r="D160" s="93"/>
      <c r="E160" s="93"/>
      <c r="F160" s="93"/>
      <c r="G160" s="93"/>
      <c r="H160" s="93"/>
      <c r="I160" s="93"/>
      <c r="J160" s="93"/>
      <c r="K160" s="93"/>
      <c r="L160" s="93"/>
      <c r="M160" s="93"/>
      <c r="N160" s="93"/>
      <c r="O160" s="93"/>
      <c r="P160" s="93"/>
      <c r="Q160" s="93"/>
      <c r="R160" s="93"/>
    </row>
    <row r="161" ht="12.75" customHeight="1">
      <c r="A161" s="93"/>
      <c r="B161" s="133"/>
      <c r="C161" s="93"/>
      <c r="D161" s="93"/>
      <c r="E161" s="93"/>
      <c r="F161" s="93"/>
      <c r="G161" s="93"/>
      <c r="H161" s="93"/>
      <c r="I161" s="93"/>
      <c r="J161" s="93"/>
      <c r="K161" s="93"/>
      <c r="L161" s="93"/>
      <c r="M161" s="93"/>
      <c r="N161" s="93"/>
      <c r="O161" s="93"/>
      <c r="P161" s="93"/>
      <c r="Q161" s="93"/>
      <c r="R161" s="93"/>
    </row>
    <row r="162" ht="12.75" customHeight="1">
      <c r="A162" s="93"/>
      <c r="B162" s="133"/>
      <c r="C162" s="93"/>
      <c r="D162" s="93"/>
      <c r="E162" s="93"/>
      <c r="F162" s="93"/>
      <c r="G162" s="93"/>
      <c r="H162" s="93"/>
      <c r="I162" s="93"/>
      <c r="J162" s="93"/>
      <c r="K162" s="93"/>
      <c r="L162" s="93"/>
      <c r="M162" s="93"/>
      <c r="N162" s="93"/>
      <c r="O162" s="93"/>
      <c r="P162" s="93"/>
      <c r="Q162" s="93"/>
      <c r="R162" s="93"/>
    </row>
    <row r="163" ht="12.75" customHeight="1">
      <c r="A163" s="93"/>
      <c r="B163" s="133"/>
      <c r="C163" s="93"/>
      <c r="D163" s="93"/>
      <c r="E163" s="93"/>
      <c r="F163" s="93"/>
      <c r="G163" s="93"/>
      <c r="H163" s="93"/>
      <c r="I163" s="93"/>
      <c r="J163" s="93"/>
      <c r="K163" s="93"/>
      <c r="L163" s="93"/>
      <c r="M163" s="93"/>
      <c r="N163" s="93"/>
      <c r="O163" s="93"/>
      <c r="P163" s="93"/>
      <c r="Q163" s="93"/>
      <c r="R163" s="93"/>
    </row>
    <row r="164" ht="12.75" customHeight="1">
      <c r="A164" s="93"/>
      <c r="B164" s="133"/>
      <c r="C164" s="93"/>
      <c r="D164" s="93"/>
      <c r="E164" s="93"/>
      <c r="F164" s="93"/>
      <c r="G164" s="93"/>
      <c r="H164" s="93"/>
      <c r="I164" s="93"/>
      <c r="J164" s="93"/>
      <c r="K164" s="93"/>
      <c r="L164" s="93"/>
      <c r="M164" s="93"/>
      <c r="N164" s="93"/>
      <c r="O164" s="93"/>
      <c r="P164" s="93"/>
      <c r="Q164" s="93"/>
      <c r="R164" s="93"/>
    </row>
    <row r="165" ht="12.75" customHeight="1">
      <c r="A165" s="93"/>
      <c r="B165" s="133"/>
      <c r="C165" s="93"/>
      <c r="D165" s="93"/>
      <c r="E165" s="93"/>
      <c r="F165" s="93"/>
      <c r="G165" s="93"/>
      <c r="H165" s="93"/>
      <c r="I165" s="93"/>
      <c r="J165" s="93"/>
      <c r="K165" s="93"/>
      <c r="L165" s="93"/>
      <c r="M165" s="93"/>
      <c r="N165" s="93"/>
      <c r="O165" s="93"/>
      <c r="P165" s="93"/>
      <c r="Q165" s="93"/>
      <c r="R165" s="93"/>
    </row>
    <row r="166" ht="12.75" customHeight="1">
      <c r="A166" s="93"/>
      <c r="B166" s="133"/>
      <c r="C166" s="93"/>
      <c r="D166" s="93"/>
      <c r="E166" s="93"/>
      <c r="F166" s="93"/>
      <c r="G166" s="93"/>
      <c r="H166" s="93"/>
      <c r="I166" s="93"/>
      <c r="J166" s="93"/>
      <c r="K166" s="93"/>
      <c r="L166" s="93"/>
      <c r="M166" s="93"/>
      <c r="N166" s="93"/>
      <c r="O166" s="93"/>
      <c r="P166" s="93"/>
      <c r="Q166" s="93"/>
      <c r="R166" s="93"/>
    </row>
    <row r="167" ht="12.75" customHeight="1">
      <c r="A167" s="93"/>
      <c r="B167" s="133"/>
      <c r="C167" s="93"/>
      <c r="D167" s="93"/>
      <c r="E167" s="93"/>
      <c r="F167" s="93"/>
      <c r="G167" s="93"/>
      <c r="H167" s="93"/>
      <c r="I167" s="93"/>
      <c r="J167" s="93"/>
      <c r="K167" s="93"/>
      <c r="L167" s="93"/>
      <c r="M167" s="93"/>
      <c r="N167" s="93"/>
      <c r="O167" s="93"/>
      <c r="P167" s="93"/>
      <c r="Q167" s="93"/>
      <c r="R167" s="93"/>
    </row>
    <row r="168" ht="12.75" customHeight="1">
      <c r="A168" s="93"/>
      <c r="B168" s="133"/>
      <c r="C168" s="93"/>
      <c r="D168" s="93"/>
      <c r="E168" s="93"/>
      <c r="F168" s="93"/>
      <c r="G168" s="93"/>
      <c r="H168" s="93"/>
      <c r="I168" s="93"/>
      <c r="J168" s="93"/>
      <c r="K168" s="93"/>
      <c r="L168" s="93"/>
      <c r="M168" s="93"/>
      <c r="N168" s="93"/>
      <c r="O168" s="93"/>
      <c r="P168" s="93"/>
      <c r="Q168" s="93"/>
      <c r="R168" s="93"/>
    </row>
    <row r="169" ht="12.75" customHeight="1">
      <c r="A169" s="93"/>
      <c r="B169" s="133"/>
      <c r="C169" s="93"/>
      <c r="D169" s="93"/>
      <c r="E169" s="93"/>
      <c r="F169" s="93"/>
      <c r="G169" s="93"/>
      <c r="H169" s="93"/>
      <c r="I169" s="93"/>
      <c r="J169" s="93"/>
      <c r="K169" s="93"/>
      <c r="L169" s="93"/>
      <c r="M169" s="93"/>
      <c r="N169" s="93"/>
      <c r="O169" s="93"/>
      <c r="P169" s="93"/>
      <c r="Q169" s="93"/>
      <c r="R169" s="93"/>
    </row>
    <row r="170" ht="12.75" customHeight="1">
      <c r="A170" s="93"/>
      <c r="B170" s="133"/>
      <c r="C170" s="93"/>
      <c r="D170" s="93"/>
      <c r="E170" s="93"/>
      <c r="F170" s="93"/>
      <c r="G170" s="93"/>
      <c r="H170" s="93"/>
      <c r="I170" s="93"/>
      <c r="J170" s="93"/>
      <c r="K170" s="93"/>
      <c r="L170" s="93"/>
      <c r="M170" s="93"/>
      <c r="N170" s="93"/>
      <c r="O170" s="93"/>
      <c r="P170" s="93"/>
      <c r="Q170" s="93"/>
      <c r="R170" s="93"/>
    </row>
    <row r="171" ht="12.75" customHeight="1">
      <c r="A171" s="93"/>
      <c r="B171" s="133"/>
      <c r="C171" s="93"/>
      <c r="D171" s="93"/>
      <c r="E171" s="93"/>
      <c r="F171" s="93"/>
      <c r="G171" s="93"/>
      <c r="H171" s="93"/>
      <c r="I171" s="93"/>
      <c r="J171" s="93"/>
      <c r="K171" s="93"/>
      <c r="L171" s="93"/>
      <c r="M171" s="93"/>
      <c r="N171" s="93"/>
      <c r="O171" s="93"/>
      <c r="P171" s="93"/>
      <c r="Q171" s="93"/>
      <c r="R171" s="93"/>
    </row>
    <row r="172" ht="12.75" customHeight="1">
      <c r="A172" s="93"/>
      <c r="B172" s="133"/>
      <c r="C172" s="93"/>
      <c r="D172" s="93"/>
      <c r="E172" s="93"/>
      <c r="F172" s="93"/>
      <c r="G172" s="93"/>
      <c r="H172" s="93"/>
      <c r="I172" s="93"/>
      <c r="J172" s="93"/>
      <c r="K172" s="93"/>
      <c r="L172" s="93"/>
      <c r="M172" s="93"/>
      <c r="N172" s="93"/>
      <c r="O172" s="93"/>
      <c r="P172" s="93"/>
      <c r="Q172" s="93"/>
      <c r="R172" s="93"/>
    </row>
    <row r="173" ht="12.75" customHeight="1">
      <c r="A173" s="93"/>
      <c r="B173" s="133"/>
      <c r="C173" s="93"/>
      <c r="D173" s="93"/>
      <c r="E173" s="93"/>
      <c r="F173" s="93"/>
      <c r="G173" s="93"/>
      <c r="H173" s="93"/>
      <c r="I173" s="93"/>
      <c r="J173" s="93"/>
      <c r="K173" s="93"/>
      <c r="L173" s="93"/>
      <c r="M173" s="93"/>
      <c r="N173" s="93"/>
      <c r="O173" s="93"/>
      <c r="P173" s="93"/>
      <c r="Q173" s="93"/>
      <c r="R173" s="93"/>
    </row>
    <row r="174" ht="12.75" customHeight="1">
      <c r="A174" s="93"/>
      <c r="B174" s="133"/>
      <c r="C174" s="93"/>
      <c r="D174" s="93"/>
      <c r="E174" s="93"/>
      <c r="F174" s="93"/>
      <c r="G174" s="93"/>
      <c r="H174" s="93"/>
      <c r="I174" s="93"/>
      <c r="J174" s="93"/>
      <c r="K174" s="93"/>
      <c r="L174" s="93"/>
      <c r="M174" s="93"/>
      <c r="N174" s="93"/>
      <c r="O174" s="93"/>
      <c r="P174" s="93"/>
      <c r="Q174" s="93"/>
      <c r="R174" s="93"/>
    </row>
    <row r="175" ht="12.75" customHeight="1">
      <c r="A175" s="93"/>
      <c r="B175" s="133"/>
      <c r="C175" s="93"/>
      <c r="D175" s="93"/>
      <c r="E175" s="93"/>
      <c r="F175" s="93"/>
      <c r="G175" s="93"/>
      <c r="H175" s="93"/>
      <c r="I175" s="93"/>
      <c r="J175" s="93"/>
      <c r="K175" s="93"/>
      <c r="L175" s="93"/>
      <c r="M175" s="93"/>
      <c r="N175" s="93"/>
      <c r="O175" s="93"/>
      <c r="P175" s="93"/>
      <c r="Q175" s="93"/>
      <c r="R175" s="93"/>
    </row>
    <row r="176" ht="12.75" customHeight="1">
      <c r="A176" s="93"/>
      <c r="B176" s="133"/>
      <c r="C176" s="93"/>
      <c r="D176" s="93"/>
      <c r="E176" s="93"/>
      <c r="F176" s="93"/>
      <c r="G176" s="93"/>
      <c r="H176" s="93"/>
      <c r="I176" s="93"/>
      <c r="J176" s="93"/>
      <c r="K176" s="93"/>
      <c r="L176" s="93"/>
      <c r="M176" s="93"/>
      <c r="N176" s="93"/>
      <c r="O176" s="93"/>
      <c r="P176" s="93"/>
      <c r="Q176" s="93"/>
      <c r="R176" s="93"/>
    </row>
    <row r="177" ht="12.75" customHeight="1">
      <c r="A177" s="93"/>
      <c r="B177" s="133"/>
      <c r="C177" s="93"/>
      <c r="D177" s="93"/>
      <c r="E177" s="93"/>
      <c r="F177" s="93"/>
      <c r="G177" s="93"/>
      <c r="H177" s="93"/>
      <c r="I177" s="93"/>
      <c r="J177" s="93"/>
      <c r="K177" s="93"/>
      <c r="L177" s="93"/>
      <c r="M177" s="93"/>
      <c r="N177" s="93"/>
      <c r="O177" s="93"/>
      <c r="P177" s="93"/>
      <c r="Q177" s="93"/>
      <c r="R177" s="93"/>
    </row>
    <row r="178" ht="12.75" customHeight="1">
      <c r="A178" s="93"/>
      <c r="B178" s="133"/>
      <c r="C178" s="93"/>
      <c r="D178" s="93"/>
      <c r="E178" s="93"/>
      <c r="F178" s="93"/>
      <c r="G178" s="93"/>
      <c r="H178" s="93"/>
      <c r="I178" s="93"/>
      <c r="J178" s="93"/>
      <c r="K178" s="93"/>
      <c r="L178" s="93"/>
      <c r="M178" s="93"/>
      <c r="N178" s="93"/>
      <c r="O178" s="93"/>
      <c r="P178" s="93"/>
      <c r="Q178" s="93"/>
      <c r="R178" s="93"/>
    </row>
    <row r="179" ht="12.75" customHeight="1">
      <c r="A179" s="93"/>
      <c r="B179" s="133"/>
      <c r="C179" s="93"/>
      <c r="D179" s="93"/>
      <c r="E179" s="93"/>
      <c r="F179" s="93"/>
      <c r="G179" s="93"/>
      <c r="H179" s="93"/>
      <c r="I179" s="93"/>
      <c r="J179" s="93"/>
      <c r="K179" s="93"/>
      <c r="L179" s="93"/>
      <c r="M179" s="93"/>
      <c r="N179" s="93"/>
      <c r="O179" s="93"/>
      <c r="P179" s="93"/>
      <c r="Q179" s="93"/>
      <c r="R179" s="93"/>
    </row>
    <row r="180" ht="12.75" customHeight="1">
      <c r="A180" s="93"/>
      <c r="B180" s="133"/>
      <c r="C180" s="93"/>
      <c r="D180" s="93"/>
      <c r="E180" s="93"/>
      <c r="F180" s="93"/>
      <c r="G180" s="93"/>
      <c r="H180" s="93"/>
      <c r="I180" s="93"/>
      <c r="J180" s="93"/>
      <c r="K180" s="93"/>
      <c r="L180" s="93"/>
      <c r="M180" s="93"/>
      <c r="N180" s="93"/>
      <c r="O180" s="93"/>
      <c r="P180" s="93"/>
      <c r="Q180" s="93"/>
      <c r="R180" s="93"/>
    </row>
    <row r="181" ht="12.75" customHeight="1">
      <c r="A181" s="93"/>
      <c r="B181" s="133"/>
      <c r="C181" s="93"/>
      <c r="D181" s="93"/>
      <c r="E181" s="93"/>
      <c r="F181" s="93"/>
      <c r="G181" s="93"/>
      <c r="H181" s="93"/>
      <c r="I181" s="93"/>
      <c r="J181" s="93"/>
      <c r="K181" s="93"/>
      <c r="L181" s="93"/>
      <c r="M181" s="93"/>
      <c r="N181" s="93"/>
      <c r="O181" s="93"/>
      <c r="P181" s="93"/>
      <c r="Q181" s="93"/>
      <c r="R181" s="93"/>
    </row>
    <row r="182" ht="12.75" customHeight="1">
      <c r="A182" s="93"/>
      <c r="B182" s="133"/>
      <c r="C182" s="93"/>
      <c r="D182" s="93"/>
      <c r="E182" s="93"/>
      <c r="F182" s="93"/>
      <c r="G182" s="93"/>
      <c r="H182" s="93"/>
      <c r="I182" s="93"/>
      <c r="J182" s="93"/>
      <c r="K182" s="93"/>
      <c r="L182" s="93"/>
      <c r="M182" s="93"/>
      <c r="N182" s="93"/>
      <c r="O182" s="93"/>
      <c r="P182" s="93"/>
      <c r="Q182" s="93"/>
      <c r="R182" s="93"/>
    </row>
    <row r="183" ht="12.75" customHeight="1">
      <c r="A183" s="93"/>
      <c r="B183" s="133"/>
      <c r="C183" s="93"/>
      <c r="D183" s="93"/>
      <c r="E183" s="93"/>
      <c r="F183" s="93"/>
      <c r="G183" s="93"/>
      <c r="H183" s="93"/>
      <c r="I183" s="93"/>
      <c r="J183" s="93"/>
      <c r="K183" s="93"/>
      <c r="L183" s="93"/>
      <c r="M183" s="93"/>
      <c r="N183" s="93"/>
      <c r="O183" s="93"/>
      <c r="P183" s="93"/>
      <c r="Q183" s="93"/>
      <c r="R183" s="93"/>
    </row>
    <row r="184" ht="12.75" customHeight="1">
      <c r="A184" s="93"/>
      <c r="B184" s="133"/>
      <c r="C184" s="93"/>
      <c r="D184" s="93"/>
      <c r="E184" s="93"/>
      <c r="F184" s="93"/>
      <c r="G184" s="93"/>
      <c r="H184" s="93"/>
      <c r="I184" s="93"/>
      <c r="J184" s="93"/>
      <c r="K184" s="93"/>
      <c r="L184" s="93"/>
      <c r="M184" s="93"/>
      <c r="N184" s="93"/>
      <c r="O184" s="93"/>
      <c r="P184" s="93"/>
      <c r="Q184" s="93"/>
      <c r="R184" s="93"/>
    </row>
    <row r="185" ht="12.75" customHeight="1">
      <c r="A185" s="93"/>
      <c r="B185" s="133"/>
      <c r="C185" s="93"/>
      <c r="D185" s="93"/>
      <c r="E185" s="93"/>
      <c r="F185" s="93"/>
      <c r="G185" s="93"/>
      <c r="H185" s="93"/>
      <c r="I185" s="93"/>
      <c r="J185" s="93"/>
      <c r="K185" s="93"/>
      <c r="L185" s="93"/>
      <c r="M185" s="93"/>
      <c r="N185" s="93"/>
      <c r="O185" s="93"/>
      <c r="P185" s="93"/>
      <c r="Q185" s="93"/>
      <c r="R185" s="93"/>
    </row>
    <row r="186" ht="12.75" customHeight="1">
      <c r="A186" s="93"/>
      <c r="B186" s="133"/>
      <c r="C186" s="93"/>
      <c r="D186" s="93"/>
      <c r="E186" s="93"/>
      <c r="F186" s="93"/>
      <c r="G186" s="93"/>
      <c r="H186" s="93"/>
      <c r="I186" s="93"/>
      <c r="J186" s="93"/>
      <c r="K186" s="93"/>
      <c r="L186" s="93"/>
      <c r="M186" s="93"/>
      <c r="N186" s="93"/>
      <c r="O186" s="93"/>
      <c r="P186" s="93"/>
      <c r="Q186" s="93"/>
      <c r="R186" s="93"/>
    </row>
    <row r="187" ht="12.75" customHeight="1">
      <c r="A187" s="93"/>
      <c r="B187" s="133"/>
      <c r="C187" s="93"/>
      <c r="D187" s="93"/>
      <c r="E187" s="93"/>
      <c r="F187" s="93"/>
      <c r="G187" s="93"/>
      <c r="H187" s="93"/>
      <c r="I187" s="93"/>
      <c r="J187" s="93"/>
      <c r="K187" s="93"/>
      <c r="L187" s="93"/>
      <c r="M187" s="93"/>
      <c r="N187" s="93"/>
      <c r="O187" s="93"/>
      <c r="P187" s="93"/>
      <c r="Q187" s="93"/>
      <c r="R187" s="93"/>
    </row>
    <row r="188" ht="12.75" customHeight="1">
      <c r="A188" s="93"/>
      <c r="B188" s="133"/>
      <c r="C188" s="93"/>
      <c r="D188" s="93"/>
      <c r="E188" s="93"/>
      <c r="F188" s="93"/>
      <c r="G188" s="93"/>
      <c r="H188" s="93"/>
      <c r="I188" s="93"/>
      <c r="J188" s="93"/>
      <c r="K188" s="93"/>
      <c r="L188" s="93"/>
      <c r="M188" s="93"/>
      <c r="N188" s="93"/>
      <c r="O188" s="93"/>
      <c r="P188" s="93"/>
      <c r="Q188" s="93"/>
      <c r="R188" s="93"/>
    </row>
    <row r="189" ht="12.75" customHeight="1">
      <c r="A189" s="93"/>
      <c r="B189" s="133"/>
      <c r="C189" s="93"/>
      <c r="D189" s="93"/>
      <c r="E189" s="93"/>
      <c r="F189" s="93"/>
      <c r="G189" s="93"/>
      <c r="H189" s="93"/>
      <c r="I189" s="93"/>
      <c r="J189" s="93"/>
      <c r="K189" s="93"/>
      <c r="L189" s="93"/>
      <c r="M189" s="93"/>
      <c r="N189" s="93"/>
      <c r="O189" s="93"/>
      <c r="P189" s="93"/>
      <c r="Q189" s="93"/>
      <c r="R189" s="93"/>
    </row>
    <row r="190" ht="12.75" customHeight="1">
      <c r="A190" s="93"/>
      <c r="B190" s="133"/>
      <c r="C190" s="93"/>
      <c r="D190" s="93"/>
      <c r="E190" s="93"/>
      <c r="F190" s="93"/>
      <c r="G190" s="93"/>
      <c r="H190" s="93"/>
      <c r="I190" s="93"/>
      <c r="J190" s="93"/>
      <c r="K190" s="93"/>
      <c r="L190" s="93"/>
      <c r="M190" s="93"/>
      <c r="N190" s="93"/>
      <c r="O190" s="93"/>
      <c r="P190" s="93"/>
      <c r="Q190" s="93"/>
      <c r="R190" s="93"/>
    </row>
    <row r="191" ht="12.75" customHeight="1">
      <c r="A191" s="93"/>
      <c r="B191" s="133"/>
      <c r="C191" s="93"/>
      <c r="D191" s="93"/>
      <c r="E191" s="93"/>
      <c r="F191" s="93"/>
      <c r="G191" s="93"/>
      <c r="H191" s="93"/>
      <c r="I191" s="93"/>
      <c r="J191" s="93"/>
      <c r="K191" s="93"/>
      <c r="L191" s="93"/>
      <c r="M191" s="93"/>
      <c r="N191" s="93"/>
      <c r="O191" s="93"/>
      <c r="P191" s="93"/>
      <c r="Q191" s="93"/>
      <c r="R191" s="93"/>
    </row>
    <row r="192" ht="12.75" customHeight="1">
      <c r="A192" s="93"/>
      <c r="B192" s="133"/>
      <c r="C192" s="93"/>
      <c r="D192" s="93"/>
      <c r="E192" s="93"/>
      <c r="F192" s="93"/>
      <c r="G192" s="93"/>
      <c r="H192" s="93"/>
      <c r="I192" s="93"/>
      <c r="J192" s="93"/>
      <c r="K192" s="93"/>
      <c r="L192" s="93"/>
      <c r="M192" s="93"/>
      <c r="N192" s="93"/>
      <c r="O192" s="93"/>
      <c r="P192" s="93"/>
      <c r="Q192" s="93"/>
      <c r="R192" s="93"/>
    </row>
    <row r="193" ht="12.75" customHeight="1">
      <c r="A193" s="93"/>
      <c r="B193" s="133"/>
      <c r="C193" s="93"/>
      <c r="D193" s="93"/>
      <c r="E193" s="93"/>
      <c r="F193" s="93"/>
      <c r="G193" s="93"/>
      <c r="H193" s="93"/>
      <c r="I193" s="93"/>
      <c r="J193" s="93"/>
      <c r="K193" s="93"/>
      <c r="L193" s="93"/>
      <c r="M193" s="93"/>
      <c r="N193" s="93"/>
      <c r="O193" s="93"/>
      <c r="P193" s="93"/>
      <c r="Q193" s="93"/>
      <c r="R193" s="93"/>
    </row>
    <row r="194" ht="12.75" customHeight="1">
      <c r="A194" s="93"/>
      <c r="B194" s="133"/>
      <c r="C194" s="93"/>
      <c r="D194" s="93"/>
      <c r="E194" s="93"/>
      <c r="F194" s="93"/>
      <c r="G194" s="93"/>
      <c r="H194" s="93"/>
      <c r="I194" s="93"/>
      <c r="J194" s="93"/>
      <c r="K194" s="93"/>
      <c r="L194" s="93"/>
      <c r="M194" s="93"/>
      <c r="N194" s="93"/>
      <c r="O194" s="93"/>
      <c r="P194" s="93"/>
      <c r="Q194" s="93"/>
      <c r="R194" s="93"/>
    </row>
    <row r="195" ht="12.75" customHeight="1">
      <c r="A195" s="93"/>
      <c r="B195" s="133"/>
      <c r="C195" s="93"/>
      <c r="D195" s="93"/>
      <c r="E195" s="93"/>
      <c r="F195" s="93"/>
      <c r="G195" s="93"/>
      <c r="H195" s="93"/>
      <c r="I195" s="93"/>
      <c r="J195" s="93"/>
      <c r="K195" s="93"/>
      <c r="L195" s="93"/>
      <c r="M195" s="93"/>
      <c r="N195" s="93"/>
      <c r="O195" s="93"/>
      <c r="P195" s="93"/>
      <c r="Q195" s="93"/>
      <c r="R195" s="93"/>
    </row>
    <row r="196" ht="12.75" customHeight="1">
      <c r="A196" s="93"/>
      <c r="B196" s="133"/>
      <c r="C196" s="93"/>
      <c r="D196" s="93"/>
      <c r="E196" s="93"/>
      <c r="F196" s="93"/>
      <c r="G196" s="93"/>
      <c r="H196" s="93"/>
      <c r="I196" s="93"/>
      <c r="J196" s="93"/>
      <c r="K196" s="93"/>
      <c r="L196" s="93"/>
      <c r="M196" s="93"/>
      <c r="N196" s="93"/>
      <c r="O196" s="93"/>
      <c r="P196" s="93"/>
      <c r="Q196" s="93"/>
      <c r="R196" s="93"/>
    </row>
    <row r="197" ht="12.75" customHeight="1">
      <c r="A197" s="93"/>
      <c r="B197" s="133"/>
      <c r="C197" s="93"/>
      <c r="D197" s="93"/>
      <c r="E197" s="93"/>
      <c r="F197" s="93"/>
      <c r="G197" s="93"/>
      <c r="H197" s="93"/>
      <c r="I197" s="93"/>
      <c r="J197" s="93"/>
      <c r="K197" s="93"/>
      <c r="L197" s="93"/>
      <c r="M197" s="93"/>
      <c r="N197" s="93"/>
      <c r="O197" s="93"/>
      <c r="P197" s="93"/>
      <c r="Q197" s="93"/>
      <c r="R197" s="93"/>
    </row>
    <row r="198" ht="12.75" customHeight="1">
      <c r="A198" s="93"/>
      <c r="B198" s="133"/>
      <c r="C198" s="93"/>
      <c r="D198" s="93"/>
      <c r="E198" s="93"/>
      <c r="F198" s="93"/>
      <c r="G198" s="93"/>
      <c r="H198" s="93"/>
      <c r="I198" s="93"/>
      <c r="J198" s="93"/>
      <c r="K198" s="93"/>
      <c r="L198" s="93"/>
      <c r="M198" s="93"/>
      <c r="N198" s="93"/>
      <c r="O198" s="93"/>
      <c r="P198" s="93"/>
      <c r="Q198" s="93"/>
      <c r="R198" s="93"/>
    </row>
    <row r="199" ht="12.75" customHeight="1">
      <c r="A199" s="93"/>
      <c r="B199" s="133"/>
      <c r="C199" s="93"/>
      <c r="D199" s="93"/>
      <c r="E199" s="93"/>
      <c r="F199" s="93"/>
      <c r="G199" s="93"/>
      <c r="H199" s="93"/>
      <c r="I199" s="93"/>
      <c r="J199" s="93"/>
      <c r="K199" s="93"/>
      <c r="L199" s="93"/>
      <c r="M199" s="93"/>
      <c r="N199" s="93"/>
      <c r="O199" s="93"/>
      <c r="P199" s="93"/>
      <c r="Q199" s="93"/>
      <c r="R199" s="93"/>
    </row>
    <row r="200" ht="12.75" customHeight="1">
      <c r="A200" s="93"/>
      <c r="B200" s="133"/>
      <c r="C200" s="93"/>
      <c r="D200" s="93"/>
      <c r="E200" s="93"/>
      <c r="F200" s="93"/>
      <c r="G200" s="93"/>
      <c r="H200" s="93"/>
      <c r="I200" s="93"/>
      <c r="J200" s="93"/>
      <c r="K200" s="93"/>
      <c r="L200" s="93"/>
      <c r="M200" s="93"/>
      <c r="N200" s="93"/>
      <c r="O200" s="93"/>
      <c r="P200" s="93"/>
      <c r="Q200" s="93"/>
      <c r="R200" s="93"/>
    </row>
    <row r="201" ht="12.75" customHeight="1">
      <c r="A201" s="93"/>
      <c r="B201" s="133"/>
      <c r="C201" s="93"/>
      <c r="D201" s="93"/>
      <c r="E201" s="93"/>
      <c r="F201" s="93"/>
      <c r="G201" s="93"/>
      <c r="H201" s="93"/>
      <c r="I201" s="93"/>
      <c r="J201" s="93"/>
      <c r="K201" s="93"/>
      <c r="L201" s="93"/>
      <c r="M201" s="93"/>
      <c r="N201" s="93"/>
      <c r="O201" s="93"/>
      <c r="P201" s="93"/>
      <c r="Q201" s="93"/>
      <c r="R201" s="93"/>
    </row>
    <row r="202" ht="12.75" customHeight="1">
      <c r="A202" s="93"/>
      <c r="B202" s="133"/>
      <c r="C202" s="93"/>
      <c r="D202" s="93"/>
      <c r="E202" s="93"/>
      <c r="F202" s="93"/>
      <c r="G202" s="93"/>
      <c r="H202" s="93"/>
      <c r="I202" s="93"/>
      <c r="J202" s="93"/>
      <c r="K202" s="93"/>
      <c r="L202" s="93"/>
      <c r="M202" s="93"/>
      <c r="N202" s="93"/>
      <c r="O202" s="93"/>
      <c r="P202" s="93"/>
      <c r="Q202" s="93"/>
      <c r="R202" s="93"/>
    </row>
    <row r="203" ht="12.75" customHeight="1">
      <c r="A203" s="93"/>
      <c r="B203" s="133"/>
      <c r="C203" s="93"/>
      <c r="D203" s="93"/>
      <c r="E203" s="93"/>
      <c r="F203" s="93"/>
      <c r="G203" s="93"/>
      <c r="H203" s="93"/>
      <c r="I203" s="93"/>
      <c r="J203" s="93"/>
      <c r="K203" s="93"/>
      <c r="L203" s="93"/>
      <c r="M203" s="93"/>
      <c r="N203" s="93"/>
      <c r="O203" s="93"/>
      <c r="P203" s="93"/>
      <c r="Q203" s="93"/>
      <c r="R203" s="93"/>
    </row>
    <row r="204" ht="12.75" customHeight="1">
      <c r="A204" s="93"/>
      <c r="B204" s="133"/>
      <c r="C204" s="93"/>
      <c r="D204" s="93"/>
      <c r="E204" s="93"/>
      <c r="F204" s="93"/>
      <c r="G204" s="93"/>
      <c r="H204" s="93"/>
      <c r="I204" s="93"/>
      <c r="J204" s="93"/>
      <c r="K204" s="93"/>
      <c r="L204" s="93"/>
      <c r="M204" s="93"/>
      <c r="N204" s="93"/>
      <c r="O204" s="93"/>
      <c r="P204" s="93"/>
      <c r="Q204" s="93"/>
      <c r="R204" s="93"/>
    </row>
    <row r="205" ht="12.75" customHeight="1">
      <c r="A205" s="93"/>
      <c r="B205" s="133"/>
      <c r="C205" s="93"/>
      <c r="D205" s="93"/>
      <c r="E205" s="93"/>
      <c r="F205" s="93"/>
      <c r="G205" s="93"/>
      <c r="H205" s="93"/>
      <c r="I205" s="93"/>
      <c r="J205" s="93"/>
      <c r="K205" s="93"/>
      <c r="L205" s="93"/>
      <c r="M205" s="93"/>
      <c r="N205" s="93"/>
      <c r="O205" s="93"/>
      <c r="P205" s="93"/>
      <c r="Q205" s="93"/>
      <c r="R205" s="93"/>
    </row>
    <row r="206" ht="12.75" customHeight="1">
      <c r="A206" s="93"/>
      <c r="B206" s="133"/>
      <c r="C206" s="93"/>
      <c r="D206" s="93"/>
      <c r="E206" s="93"/>
      <c r="F206" s="93"/>
      <c r="G206" s="93"/>
      <c r="H206" s="93"/>
      <c r="I206" s="93"/>
      <c r="J206" s="93"/>
      <c r="K206" s="93"/>
      <c r="L206" s="93"/>
      <c r="M206" s="93"/>
      <c r="N206" s="93"/>
      <c r="O206" s="93"/>
      <c r="P206" s="93"/>
      <c r="Q206" s="93"/>
      <c r="R206" s="93"/>
    </row>
    <row r="207" ht="12.75" customHeight="1">
      <c r="A207" s="93"/>
      <c r="B207" s="133"/>
      <c r="C207" s="93"/>
      <c r="D207" s="93"/>
      <c r="E207" s="93"/>
      <c r="F207" s="93"/>
      <c r="G207" s="93"/>
      <c r="H207" s="93"/>
      <c r="I207" s="93"/>
      <c r="J207" s="93"/>
      <c r="K207" s="93"/>
      <c r="L207" s="93"/>
      <c r="M207" s="93"/>
      <c r="N207" s="93"/>
      <c r="O207" s="93"/>
      <c r="P207" s="93"/>
      <c r="Q207" s="93"/>
      <c r="R207" s="93"/>
    </row>
    <row r="208" ht="12.75" customHeight="1">
      <c r="A208" s="93"/>
      <c r="B208" s="133"/>
      <c r="C208" s="93"/>
      <c r="D208" s="93"/>
      <c r="E208" s="93"/>
      <c r="F208" s="93"/>
      <c r="G208" s="93"/>
      <c r="H208" s="93"/>
      <c r="I208" s="93"/>
      <c r="J208" s="93"/>
      <c r="K208" s="93"/>
      <c r="L208" s="93"/>
      <c r="M208" s="93"/>
      <c r="N208" s="93"/>
      <c r="O208" s="93"/>
      <c r="P208" s="93"/>
      <c r="Q208" s="93"/>
      <c r="R208" s="93"/>
    </row>
    <row r="209" ht="12.75" customHeight="1">
      <c r="A209" s="93"/>
      <c r="B209" s="133"/>
      <c r="C209" s="93"/>
      <c r="D209" s="93"/>
      <c r="E209" s="93"/>
      <c r="F209" s="93"/>
      <c r="G209" s="93"/>
      <c r="H209" s="93"/>
      <c r="I209" s="93"/>
      <c r="J209" s="93"/>
      <c r="K209" s="93"/>
      <c r="L209" s="93"/>
      <c r="M209" s="93"/>
      <c r="N209" s="93"/>
      <c r="O209" s="93"/>
      <c r="P209" s="93"/>
      <c r="Q209" s="93"/>
      <c r="R209" s="93"/>
    </row>
    <row r="210" ht="12.75" customHeight="1">
      <c r="A210" s="93"/>
      <c r="B210" s="133"/>
      <c r="C210" s="93"/>
      <c r="D210" s="93"/>
      <c r="E210" s="93"/>
      <c r="F210" s="93"/>
      <c r="G210" s="93"/>
      <c r="H210" s="93"/>
      <c r="I210" s="93"/>
      <c r="J210" s="93"/>
      <c r="K210" s="93"/>
      <c r="L210" s="93"/>
      <c r="M210" s="93"/>
      <c r="N210" s="93"/>
      <c r="O210" s="93"/>
      <c r="P210" s="93"/>
      <c r="Q210" s="93"/>
      <c r="R210" s="93"/>
    </row>
    <row r="211" ht="12.75" customHeight="1">
      <c r="A211" s="93"/>
      <c r="B211" s="133"/>
      <c r="C211" s="93"/>
      <c r="D211" s="93"/>
      <c r="E211" s="93"/>
      <c r="F211" s="93"/>
      <c r="G211" s="93"/>
      <c r="H211" s="93"/>
      <c r="I211" s="93"/>
      <c r="J211" s="93"/>
      <c r="K211" s="93"/>
      <c r="L211" s="93"/>
      <c r="M211" s="93"/>
      <c r="N211" s="93"/>
      <c r="O211" s="93"/>
      <c r="P211" s="93"/>
      <c r="Q211" s="93"/>
      <c r="R211" s="93"/>
    </row>
    <row r="212" ht="12.75" customHeight="1">
      <c r="A212" s="93"/>
      <c r="B212" s="133"/>
      <c r="C212" s="93"/>
      <c r="D212" s="93"/>
      <c r="E212" s="93"/>
      <c r="F212" s="93"/>
      <c r="G212" s="93"/>
      <c r="H212" s="93"/>
      <c r="I212" s="93"/>
      <c r="J212" s="93"/>
      <c r="K212" s="93"/>
      <c r="L212" s="93"/>
      <c r="M212" s="93"/>
      <c r="N212" s="93"/>
      <c r="O212" s="93"/>
      <c r="P212" s="93"/>
      <c r="Q212" s="93"/>
      <c r="R212" s="93"/>
    </row>
    <row r="213" ht="12.75" customHeight="1">
      <c r="A213" s="93"/>
      <c r="B213" s="133"/>
      <c r="C213" s="93"/>
      <c r="D213" s="93"/>
      <c r="E213" s="93"/>
      <c r="F213" s="93"/>
      <c r="G213" s="93"/>
      <c r="H213" s="93"/>
      <c r="I213" s="93"/>
      <c r="J213" s="93"/>
      <c r="K213" s="93"/>
      <c r="L213" s="93"/>
      <c r="M213" s="93"/>
      <c r="N213" s="93"/>
      <c r="O213" s="93"/>
      <c r="P213" s="93"/>
      <c r="Q213" s="93"/>
      <c r="R213" s="93"/>
    </row>
    <row r="214" ht="12.75" customHeight="1">
      <c r="A214" s="93"/>
      <c r="B214" s="133"/>
      <c r="C214" s="93"/>
      <c r="D214" s="93"/>
      <c r="E214" s="93"/>
      <c r="F214" s="93"/>
      <c r="G214" s="93"/>
      <c r="H214" s="93"/>
      <c r="I214" s="93"/>
      <c r="J214" s="93"/>
      <c r="K214" s="93"/>
      <c r="L214" s="93"/>
      <c r="M214" s="93"/>
      <c r="N214" s="93"/>
      <c r="O214" s="93"/>
      <c r="P214" s="93"/>
      <c r="Q214" s="93"/>
      <c r="R214" s="93"/>
    </row>
    <row r="215" ht="12.75" customHeight="1">
      <c r="A215" s="93"/>
      <c r="B215" s="133"/>
      <c r="C215" s="93"/>
      <c r="D215" s="93"/>
      <c r="E215" s="93"/>
      <c r="F215" s="93"/>
      <c r="G215" s="93"/>
      <c r="H215" s="93"/>
      <c r="I215" s="93"/>
      <c r="J215" s="93"/>
      <c r="K215" s="93"/>
      <c r="L215" s="93"/>
      <c r="M215" s="93"/>
      <c r="N215" s="93"/>
      <c r="O215" s="93"/>
      <c r="P215" s="93"/>
      <c r="Q215" s="93"/>
      <c r="R215" s="93"/>
    </row>
    <row r="216" ht="12.75" customHeight="1">
      <c r="A216" s="93"/>
      <c r="B216" s="133"/>
      <c r="C216" s="93"/>
      <c r="D216" s="93"/>
      <c r="E216" s="93"/>
      <c r="F216" s="93"/>
      <c r="G216" s="93"/>
      <c r="H216" s="93"/>
      <c r="I216" s="93"/>
      <c r="J216" s="93"/>
      <c r="K216" s="93"/>
      <c r="L216" s="93"/>
      <c r="M216" s="93"/>
      <c r="N216" s="93"/>
      <c r="O216" s="93"/>
      <c r="P216" s="93"/>
      <c r="Q216" s="93"/>
      <c r="R216" s="93"/>
    </row>
    <row r="217" ht="12.75" customHeight="1">
      <c r="A217" s="93"/>
      <c r="B217" s="133"/>
      <c r="C217" s="93"/>
      <c r="D217" s="93"/>
      <c r="E217" s="93"/>
      <c r="F217" s="93"/>
      <c r="G217" s="93"/>
      <c r="H217" s="93"/>
      <c r="I217" s="93"/>
      <c r="J217" s="93"/>
      <c r="K217" s="93"/>
      <c r="L217" s="93"/>
      <c r="M217" s="93"/>
      <c r="N217" s="93"/>
      <c r="O217" s="93"/>
      <c r="P217" s="93"/>
      <c r="Q217" s="93"/>
      <c r="R217" s="93"/>
    </row>
    <row r="218" ht="12.75" customHeight="1">
      <c r="A218" s="93"/>
      <c r="B218" s="133"/>
      <c r="C218" s="93"/>
      <c r="D218" s="93"/>
      <c r="E218" s="93"/>
      <c r="F218" s="93"/>
      <c r="G218" s="93"/>
      <c r="H218" s="93"/>
      <c r="I218" s="93"/>
      <c r="J218" s="93"/>
      <c r="K218" s="93"/>
      <c r="L218" s="93"/>
      <c r="M218" s="93"/>
      <c r="N218" s="93"/>
      <c r="O218" s="93"/>
      <c r="P218" s="93"/>
      <c r="Q218" s="93"/>
      <c r="R218" s="93"/>
    </row>
    <row r="219" ht="12.75" customHeight="1">
      <c r="A219" s="93"/>
      <c r="B219" s="133"/>
      <c r="C219" s="93"/>
      <c r="D219" s="93"/>
      <c r="E219" s="93"/>
      <c r="F219" s="93"/>
      <c r="G219" s="93"/>
      <c r="H219" s="93"/>
      <c r="I219" s="93"/>
      <c r="J219" s="93"/>
      <c r="K219" s="93"/>
      <c r="L219" s="93"/>
      <c r="M219" s="93"/>
      <c r="N219" s="93"/>
      <c r="O219" s="93"/>
      <c r="P219" s="93"/>
      <c r="Q219" s="93"/>
      <c r="R219" s="93"/>
    </row>
    <row r="220" ht="12.75" customHeight="1">
      <c r="A220" s="93"/>
      <c r="B220" s="133"/>
      <c r="C220" s="93"/>
      <c r="D220" s="93"/>
      <c r="E220" s="93"/>
      <c r="F220" s="93"/>
      <c r="G220" s="93"/>
      <c r="H220" s="93"/>
      <c r="I220" s="93"/>
      <c r="J220" s="93"/>
      <c r="K220" s="93"/>
      <c r="L220" s="93"/>
      <c r="M220" s="93"/>
      <c r="N220" s="93"/>
      <c r="O220" s="93"/>
      <c r="P220" s="93"/>
      <c r="Q220" s="93"/>
      <c r="R220" s="93"/>
    </row>
    <row r="221" ht="12.75" customHeight="1">
      <c r="A221" s="93"/>
      <c r="B221" s="133"/>
      <c r="C221" s="93"/>
      <c r="D221" s="93"/>
      <c r="E221" s="93"/>
      <c r="F221" s="93"/>
      <c r="G221" s="93"/>
      <c r="H221" s="93"/>
      <c r="I221" s="93"/>
      <c r="J221" s="93"/>
      <c r="K221" s="93"/>
      <c r="L221" s="93"/>
      <c r="M221" s="93"/>
      <c r="N221" s="93"/>
      <c r="O221" s="93"/>
      <c r="P221" s="93"/>
      <c r="Q221" s="93"/>
      <c r="R221" s="93"/>
    </row>
    <row r="222" ht="12.75" customHeight="1">
      <c r="A222" s="93"/>
      <c r="B222" s="133"/>
      <c r="C222" s="93"/>
      <c r="D222" s="93"/>
      <c r="E222" s="93"/>
      <c r="F222" s="93"/>
      <c r="G222" s="93"/>
      <c r="H222" s="93"/>
      <c r="I222" s="93"/>
      <c r="J222" s="93"/>
      <c r="K222" s="93"/>
      <c r="L222" s="93"/>
      <c r="M222" s="93"/>
      <c r="N222" s="93"/>
      <c r="O222" s="93"/>
      <c r="P222" s="93"/>
      <c r="Q222" s="93"/>
      <c r="R222" s="93"/>
    </row>
    <row r="223" ht="12.75" customHeight="1">
      <c r="A223" s="93"/>
      <c r="B223" s="133"/>
      <c r="C223" s="93"/>
      <c r="D223" s="93"/>
      <c r="E223" s="93"/>
      <c r="F223" s="93"/>
      <c r="G223" s="93"/>
      <c r="H223" s="93"/>
      <c r="I223" s="93"/>
      <c r="J223" s="93"/>
      <c r="K223" s="93"/>
      <c r="L223" s="93"/>
      <c r="M223" s="93"/>
      <c r="N223" s="93"/>
      <c r="O223" s="93"/>
      <c r="P223" s="93"/>
      <c r="Q223" s="93"/>
      <c r="R223" s="93"/>
    </row>
    <row r="224" ht="12.75" customHeight="1">
      <c r="A224" s="93"/>
      <c r="B224" s="133"/>
      <c r="C224" s="93"/>
      <c r="D224" s="93"/>
      <c r="E224" s="93"/>
      <c r="F224" s="93"/>
      <c r="G224" s="93"/>
      <c r="H224" s="93"/>
      <c r="I224" s="93"/>
      <c r="J224" s="93"/>
      <c r="K224" s="93"/>
      <c r="L224" s="93"/>
      <c r="M224" s="93"/>
      <c r="N224" s="93"/>
      <c r="O224" s="93"/>
      <c r="P224" s="93"/>
      <c r="Q224" s="93"/>
      <c r="R224" s="93"/>
    </row>
    <row r="225" ht="12.75" customHeight="1">
      <c r="A225" s="93"/>
      <c r="B225" s="133"/>
      <c r="C225" s="93"/>
      <c r="D225" s="93"/>
      <c r="E225" s="93"/>
      <c r="F225" s="93"/>
      <c r="G225" s="93"/>
      <c r="H225" s="93"/>
      <c r="I225" s="93"/>
      <c r="J225" s="93"/>
      <c r="K225" s="93"/>
      <c r="L225" s="93"/>
      <c r="M225" s="93"/>
      <c r="N225" s="93"/>
      <c r="O225" s="93"/>
      <c r="P225" s="93"/>
      <c r="Q225" s="93"/>
      <c r="R225" s="93"/>
    </row>
    <row r="226" ht="12.75" customHeight="1">
      <c r="A226" s="93"/>
      <c r="B226" s="133"/>
      <c r="C226" s="93"/>
      <c r="D226" s="93"/>
      <c r="E226" s="93"/>
      <c r="F226" s="93"/>
      <c r="G226" s="93"/>
      <c r="H226" s="93"/>
      <c r="I226" s="93"/>
      <c r="J226" s="93"/>
      <c r="K226" s="93"/>
      <c r="L226" s="93"/>
      <c r="M226" s="93"/>
      <c r="N226" s="93"/>
      <c r="O226" s="93"/>
      <c r="P226" s="93"/>
      <c r="Q226" s="93"/>
      <c r="R226" s="93"/>
    </row>
    <row r="227" ht="12.75" customHeight="1">
      <c r="A227" s="93"/>
      <c r="B227" s="133"/>
      <c r="C227" s="93"/>
      <c r="D227" s="93"/>
      <c r="E227" s="93"/>
      <c r="F227" s="93"/>
      <c r="G227" s="93"/>
      <c r="H227" s="93"/>
      <c r="I227" s="93"/>
      <c r="J227" s="93"/>
      <c r="K227" s="93"/>
      <c r="L227" s="93"/>
      <c r="M227" s="93"/>
      <c r="N227" s="93"/>
      <c r="O227" s="93"/>
      <c r="P227" s="93"/>
      <c r="Q227" s="93"/>
      <c r="R227" s="93"/>
    </row>
    <row r="228" ht="12.75" customHeight="1">
      <c r="A228" s="93"/>
      <c r="B228" s="133"/>
      <c r="C228" s="93"/>
      <c r="D228" s="93"/>
      <c r="E228" s="93"/>
      <c r="F228" s="93"/>
      <c r="G228" s="93"/>
      <c r="H228" s="93"/>
      <c r="I228" s="93"/>
      <c r="J228" s="93"/>
      <c r="K228" s="93"/>
      <c r="L228" s="93"/>
      <c r="M228" s="93"/>
      <c r="N228" s="93"/>
      <c r="O228" s="93"/>
      <c r="P228" s="93"/>
      <c r="Q228" s="93"/>
      <c r="R228" s="93"/>
    </row>
    <row r="229" ht="12.75" customHeight="1">
      <c r="A229" s="93"/>
      <c r="B229" s="133"/>
      <c r="C229" s="93"/>
      <c r="D229" s="93"/>
      <c r="E229" s="93"/>
      <c r="F229" s="93"/>
      <c r="G229" s="93"/>
      <c r="H229" s="93"/>
      <c r="I229" s="93"/>
      <c r="J229" s="93"/>
      <c r="K229" s="93"/>
      <c r="L229" s="93"/>
      <c r="M229" s="93"/>
      <c r="N229" s="93"/>
      <c r="O229" s="93"/>
      <c r="P229" s="93"/>
      <c r="Q229" s="93"/>
      <c r="R229" s="93"/>
    </row>
    <row r="230" ht="12.75" customHeight="1">
      <c r="A230" s="93"/>
      <c r="B230" s="133"/>
      <c r="C230" s="93"/>
      <c r="D230" s="93"/>
      <c r="E230" s="93"/>
      <c r="F230" s="93"/>
      <c r="G230" s="93"/>
      <c r="H230" s="93"/>
      <c r="I230" s="93"/>
      <c r="J230" s="93"/>
      <c r="K230" s="93"/>
      <c r="L230" s="93"/>
      <c r="M230" s="93"/>
      <c r="N230" s="93"/>
      <c r="O230" s="93"/>
      <c r="P230" s="93"/>
      <c r="Q230" s="93"/>
      <c r="R230" s="93"/>
    </row>
    <row r="231" ht="12.75" customHeight="1">
      <c r="A231" s="93"/>
      <c r="B231" s="133"/>
      <c r="C231" s="93"/>
      <c r="D231" s="93"/>
      <c r="E231" s="93"/>
      <c r="F231" s="93"/>
      <c r="G231" s="93"/>
      <c r="H231" s="93"/>
      <c r="I231" s="93"/>
      <c r="J231" s="93"/>
      <c r="K231" s="93"/>
      <c r="L231" s="93"/>
      <c r="M231" s="93"/>
      <c r="N231" s="93"/>
      <c r="O231" s="93"/>
      <c r="P231" s="93"/>
      <c r="Q231" s="93"/>
      <c r="R231" s="93"/>
    </row>
    <row r="232" ht="12.75" customHeight="1">
      <c r="A232" s="93"/>
      <c r="B232" s="133"/>
      <c r="C232" s="93"/>
      <c r="D232" s="93"/>
      <c r="E232" s="93"/>
      <c r="F232" s="93"/>
      <c r="G232" s="93"/>
      <c r="H232" s="93"/>
      <c r="I232" s="93"/>
      <c r="J232" s="93"/>
      <c r="K232" s="93"/>
      <c r="L232" s="93"/>
      <c r="M232" s="93"/>
      <c r="N232" s="93"/>
      <c r="O232" s="93"/>
      <c r="P232" s="93"/>
      <c r="Q232" s="93"/>
      <c r="R232" s="93"/>
    </row>
    <row r="233" ht="12.75" customHeight="1">
      <c r="A233" s="93"/>
      <c r="B233" s="133"/>
      <c r="C233" s="93"/>
      <c r="D233" s="93"/>
      <c r="E233" s="93"/>
      <c r="F233" s="93"/>
      <c r="G233" s="93"/>
      <c r="H233" s="93"/>
      <c r="I233" s="93"/>
      <c r="J233" s="93"/>
      <c r="K233" s="93"/>
      <c r="L233" s="93"/>
      <c r="M233" s="93"/>
      <c r="N233" s="93"/>
      <c r="O233" s="93"/>
      <c r="P233" s="93"/>
      <c r="Q233" s="93"/>
      <c r="R233" s="93"/>
    </row>
    <row r="234" ht="12.75" customHeight="1">
      <c r="A234" s="93"/>
      <c r="B234" s="133"/>
      <c r="C234" s="93"/>
      <c r="D234" s="93"/>
      <c r="E234" s="93"/>
      <c r="F234" s="93"/>
      <c r="G234" s="93"/>
      <c r="H234" s="93"/>
      <c r="I234" s="93"/>
      <c r="J234" s="93"/>
      <c r="K234" s="93"/>
      <c r="L234" s="93"/>
      <c r="M234" s="93"/>
      <c r="N234" s="93"/>
      <c r="O234" s="93"/>
      <c r="P234" s="93"/>
      <c r="Q234" s="93"/>
      <c r="R234" s="93"/>
    </row>
    <row r="235" ht="12.75" customHeight="1">
      <c r="A235" s="93"/>
      <c r="B235" s="133"/>
      <c r="C235" s="93"/>
      <c r="D235" s="93"/>
      <c r="E235" s="93"/>
      <c r="F235" s="93"/>
      <c r="G235" s="93"/>
      <c r="H235" s="93"/>
      <c r="I235" s="93"/>
      <c r="J235" s="93"/>
      <c r="K235" s="93"/>
      <c r="L235" s="93"/>
      <c r="M235" s="93"/>
      <c r="N235" s="93"/>
      <c r="O235" s="93"/>
      <c r="P235" s="93"/>
      <c r="Q235" s="93"/>
      <c r="R235" s="93"/>
    </row>
    <row r="236" ht="12.75" customHeight="1">
      <c r="A236" s="93"/>
      <c r="B236" s="133"/>
      <c r="C236" s="93"/>
      <c r="D236" s="93"/>
      <c r="E236" s="93"/>
      <c r="F236" s="93"/>
      <c r="G236" s="93"/>
      <c r="H236" s="93"/>
      <c r="I236" s="93"/>
      <c r="J236" s="93"/>
      <c r="K236" s="93"/>
      <c r="L236" s="93"/>
      <c r="M236" s="93"/>
      <c r="N236" s="93"/>
      <c r="O236" s="93"/>
      <c r="P236" s="93"/>
      <c r="Q236" s="93"/>
      <c r="R236" s="93"/>
    </row>
    <row r="237" ht="12.75" customHeight="1">
      <c r="A237" s="93"/>
      <c r="B237" s="133"/>
      <c r="C237" s="93"/>
      <c r="D237" s="93"/>
      <c r="E237" s="93"/>
      <c r="F237" s="93"/>
      <c r="G237" s="93"/>
      <c r="H237" s="93"/>
      <c r="I237" s="93"/>
      <c r="J237" s="93"/>
      <c r="K237" s="93"/>
      <c r="L237" s="93"/>
      <c r="M237" s="93"/>
      <c r="N237" s="93"/>
      <c r="O237" s="93"/>
      <c r="P237" s="93"/>
      <c r="Q237" s="93"/>
      <c r="R237" s="93"/>
    </row>
    <row r="238" ht="12.75" customHeight="1">
      <c r="A238" s="93"/>
      <c r="B238" s="133"/>
      <c r="C238" s="93"/>
      <c r="D238" s="93"/>
      <c r="E238" s="93"/>
      <c r="F238" s="93"/>
      <c r="G238" s="93"/>
      <c r="H238" s="93"/>
      <c r="I238" s="93"/>
      <c r="J238" s="93"/>
      <c r="K238" s="93"/>
      <c r="L238" s="93"/>
      <c r="M238" s="93"/>
      <c r="N238" s="93"/>
      <c r="O238" s="93"/>
      <c r="P238" s="93"/>
      <c r="Q238" s="93"/>
      <c r="R238" s="93"/>
    </row>
    <row r="239" ht="12.75" customHeight="1">
      <c r="A239" s="93"/>
      <c r="B239" s="133"/>
      <c r="C239" s="93"/>
      <c r="D239" s="93"/>
      <c r="E239" s="93"/>
      <c r="F239" s="93"/>
      <c r="G239" s="93"/>
      <c r="H239" s="93"/>
      <c r="I239" s="93"/>
      <c r="J239" s="93"/>
      <c r="K239" s="93"/>
      <c r="L239" s="93"/>
      <c r="M239" s="93"/>
      <c r="N239" s="93"/>
      <c r="O239" s="93"/>
      <c r="P239" s="93"/>
      <c r="Q239" s="93"/>
      <c r="R239" s="93"/>
    </row>
    <row r="240" ht="12.75" customHeight="1">
      <c r="A240" s="93"/>
      <c r="B240" s="133"/>
      <c r="C240" s="93"/>
      <c r="D240" s="93"/>
      <c r="E240" s="93"/>
      <c r="F240" s="93"/>
      <c r="G240" s="93"/>
      <c r="H240" s="93"/>
      <c r="I240" s="93"/>
      <c r="J240" s="93"/>
      <c r="K240" s="93"/>
      <c r="L240" s="93"/>
      <c r="M240" s="93"/>
      <c r="N240" s="93"/>
      <c r="O240" s="93"/>
      <c r="P240" s="93"/>
      <c r="Q240" s="93"/>
      <c r="R240" s="93"/>
    </row>
    <row r="241" ht="12.75" customHeight="1">
      <c r="A241" s="93"/>
      <c r="B241" s="133"/>
      <c r="C241" s="93"/>
      <c r="D241" s="93"/>
      <c r="E241" s="93"/>
      <c r="F241" s="93"/>
      <c r="G241" s="93"/>
      <c r="H241" s="93"/>
      <c r="I241" s="93"/>
      <c r="J241" s="93"/>
      <c r="K241" s="93"/>
      <c r="L241" s="93"/>
      <c r="M241" s="93"/>
      <c r="N241" s="93"/>
      <c r="O241" s="93"/>
      <c r="P241" s="93"/>
      <c r="Q241" s="93"/>
      <c r="R241" s="93"/>
    </row>
    <row r="242" ht="12.75" customHeight="1">
      <c r="A242" s="93"/>
      <c r="B242" s="133"/>
      <c r="C242" s="93"/>
      <c r="D242" s="93"/>
      <c r="E242" s="93"/>
      <c r="F242" s="93"/>
      <c r="G242" s="93"/>
      <c r="H242" s="93"/>
      <c r="I242" s="93"/>
      <c r="J242" s="93"/>
      <c r="K242" s="93"/>
      <c r="L242" s="93"/>
      <c r="M242" s="93"/>
      <c r="N242" s="93"/>
      <c r="O242" s="93"/>
      <c r="P242" s="93"/>
      <c r="Q242" s="93"/>
      <c r="R242" s="93"/>
    </row>
    <row r="243" ht="12.75" customHeight="1">
      <c r="A243" s="93"/>
      <c r="B243" s="133"/>
      <c r="C243" s="93"/>
      <c r="D243" s="93"/>
      <c r="E243" s="93"/>
      <c r="F243" s="93"/>
      <c r="G243" s="93"/>
      <c r="H243" s="93"/>
      <c r="I243" s="93"/>
      <c r="J243" s="93"/>
      <c r="K243" s="93"/>
      <c r="L243" s="93"/>
      <c r="M243" s="93"/>
      <c r="N243" s="93"/>
      <c r="O243" s="93"/>
      <c r="P243" s="93"/>
      <c r="Q243" s="93"/>
      <c r="R243" s="93"/>
    </row>
    <row r="244" ht="12.75" customHeight="1">
      <c r="A244" s="93"/>
      <c r="B244" s="133"/>
      <c r="C244" s="93"/>
      <c r="D244" s="93"/>
      <c r="E244" s="93"/>
      <c r="F244" s="93"/>
      <c r="G244" s="93"/>
      <c r="H244" s="93"/>
      <c r="I244" s="93"/>
      <c r="J244" s="93"/>
      <c r="K244" s="93"/>
      <c r="L244" s="93"/>
      <c r="M244" s="93"/>
      <c r="N244" s="93"/>
      <c r="O244" s="93"/>
      <c r="P244" s="93"/>
      <c r="Q244" s="93"/>
      <c r="R244" s="93"/>
    </row>
    <row r="245" ht="12.75" customHeight="1">
      <c r="A245" s="93"/>
      <c r="B245" s="133"/>
      <c r="C245" s="93"/>
      <c r="D245" s="93"/>
      <c r="E245" s="93"/>
      <c r="F245" s="93"/>
      <c r="G245" s="93"/>
      <c r="H245" s="93"/>
      <c r="I245" s="93"/>
      <c r="J245" s="93"/>
      <c r="K245" s="93"/>
      <c r="L245" s="93"/>
      <c r="M245" s="93"/>
      <c r="N245" s="93"/>
      <c r="O245" s="93"/>
      <c r="P245" s="93"/>
      <c r="Q245" s="93"/>
      <c r="R245" s="93"/>
    </row>
    <row r="246" ht="12.75" customHeight="1">
      <c r="A246" s="93"/>
      <c r="B246" s="133"/>
      <c r="C246" s="93"/>
      <c r="D246" s="93"/>
      <c r="E246" s="93"/>
      <c r="F246" s="93"/>
      <c r="G246" s="93"/>
      <c r="H246" s="93"/>
      <c r="I246" s="93"/>
      <c r="J246" s="93"/>
      <c r="K246" s="93"/>
      <c r="L246" s="93"/>
      <c r="M246" s="93"/>
      <c r="N246" s="93"/>
      <c r="O246" s="93"/>
      <c r="P246" s="93"/>
      <c r="Q246" s="93"/>
      <c r="R246" s="93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2.63" defaultRowHeight="15.0" outlineLevelRow="1"/>
  <cols>
    <col customWidth="1" min="1" max="1" width="39.13"/>
    <col customWidth="1" min="2" max="13" width="10.13"/>
  </cols>
  <sheetData>
    <row r="1">
      <c r="A1" s="192"/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</row>
    <row r="2">
      <c r="A2" s="194" t="s">
        <v>104</v>
      </c>
      <c r="B2" s="195"/>
      <c r="C2" s="195">
        <f t="shared" ref="C2:M2" si="1">B2+1</f>
        <v>1</v>
      </c>
      <c r="D2" s="195">
        <f t="shared" si="1"/>
        <v>2</v>
      </c>
      <c r="E2" s="195">
        <f t="shared" si="1"/>
        <v>3</v>
      </c>
      <c r="F2" s="195">
        <f t="shared" si="1"/>
        <v>4</v>
      </c>
      <c r="G2" s="195">
        <f t="shared" si="1"/>
        <v>5</v>
      </c>
      <c r="H2" s="195">
        <f t="shared" si="1"/>
        <v>6</v>
      </c>
      <c r="I2" s="195">
        <f t="shared" si="1"/>
        <v>7</v>
      </c>
      <c r="J2" s="195">
        <f t="shared" si="1"/>
        <v>8</v>
      </c>
      <c r="K2" s="195">
        <f t="shared" si="1"/>
        <v>9</v>
      </c>
      <c r="L2" s="195">
        <f t="shared" si="1"/>
        <v>10</v>
      </c>
      <c r="M2" s="195">
        <f t="shared" si="1"/>
        <v>11</v>
      </c>
    </row>
    <row r="3">
      <c r="A3" s="196"/>
      <c r="B3" s="197">
        <v>45658.0</v>
      </c>
      <c r="C3" s="198">
        <f t="shared" ref="C3:M3" si="2">EDATE(B3,1)</f>
        <v>45689</v>
      </c>
      <c r="D3" s="198">
        <f t="shared" si="2"/>
        <v>45717</v>
      </c>
      <c r="E3" s="198">
        <f t="shared" si="2"/>
        <v>45748</v>
      </c>
      <c r="F3" s="198">
        <f t="shared" si="2"/>
        <v>45778</v>
      </c>
      <c r="G3" s="198">
        <f t="shared" si="2"/>
        <v>45809</v>
      </c>
      <c r="H3" s="198">
        <f t="shared" si="2"/>
        <v>45839</v>
      </c>
      <c r="I3" s="198">
        <f t="shared" si="2"/>
        <v>45870</v>
      </c>
      <c r="J3" s="198">
        <f t="shared" si="2"/>
        <v>45901</v>
      </c>
      <c r="K3" s="198">
        <f t="shared" si="2"/>
        <v>45931</v>
      </c>
      <c r="L3" s="198">
        <f t="shared" si="2"/>
        <v>45962</v>
      </c>
      <c r="M3" s="198">
        <f t="shared" si="2"/>
        <v>45992</v>
      </c>
    </row>
    <row r="4" ht="13.5" customHeight="1">
      <c r="A4" s="199"/>
      <c r="B4" s="200"/>
      <c r="C4" s="200"/>
      <c r="D4" s="200"/>
      <c r="E4" s="200"/>
      <c r="F4" s="200"/>
      <c r="G4" s="200"/>
      <c r="H4" s="200"/>
      <c r="I4" s="200"/>
      <c r="J4" s="200"/>
      <c r="K4" s="200"/>
      <c r="L4" s="200"/>
      <c r="M4" s="200"/>
    </row>
    <row r="5">
      <c r="A5" s="201" t="s">
        <v>48</v>
      </c>
      <c r="B5" s="202"/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</row>
    <row r="6">
      <c r="A6" s="203" t="s">
        <v>105</v>
      </c>
      <c r="B6" s="193"/>
      <c r="C6" s="193"/>
      <c r="D6" s="193"/>
      <c r="E6" s="193"/>
      <c r="F6" s="193"/>
      <c r="G6" s="193"/>
      <c r="H6" s="193"/>
      <c r="I6" s="193"/>
      <c r="J6" s="193"/>
      <c r="K6" s="193"/>
      <c r="L6" s="193"/>
      <c r="M6" s="193"/>
    </row>
    <row r="7">
      <c r="A7" s="204" t="s">
        <v>106</v>
      </c>
      <c r="B7" s="205">
        <v>0.0</v>
      </c>
      <c r="C7" s="205">
        <v>0.0</v>
      </c>
      <c r="D7" s="205">
        <v>0.0</v>
      </c>
      <c r="E7" s="206">
        <v>1.0</v>
      </c>
      <c r="F7" s="206">
        <v>1.0</v>
      </c>
      <c r="G7" s="206">
        <v>1.0</v>
      </c>
      <c r="H7" s="206">
        <v>1.0</v>
      </c>
      <c r="I7" s="206">
        <v>1.0</v>
      </c>
      <c r="J7" s="206">
        <v>1.0</v>
      </c>
      <c r="K7" s="206">
        <v>1.0</v>
      </c>
      <c r="L7" s="206">
        <v>1.0</v>
      </c>
      <c r="M7" s="206">
        <v>1.0</v>
      </c>
    </row>
    <row r="8">
      <c r="A8" s="207" t="s">
        <v>107</v>
      </c>
      <c r="B8" s="208">
        <f>sum('Model Assumptions'!G8*'Model Assumptions'!G9)</f>
        <v>30000</v>
      </c>
      <c r="C8" s="208">
        <f>sum('Model Assumptions'!H8*'Model Assumptions'!H9)</f>
        <v>30000</v>
      </c>
      <c r="D8" s="208">
        <f>sum('Model Assumptions'!I8*'Model Assumptions'!I9)</f>
        <v>30000</v>
      </c>
      <c r="E8" s="208">
        <f>sum('Model Assumptions'!J8*'Model Assumptions'!J9)</f>
        <v>45000</v>
      </c>
      <c r="F8" s="208">
        <f>sum('Model Assumptions'!K8*'Model Assumptions'!K9)</f>
        <v>45000</v>
      </c>
      <c r="G8" s="208">
        <f>sum('Model Assumptions'!L8*'Model Assumptions'!L9)</f>
        <v>45000</v>
      </c>
      <c r="H8" s="208">
        <f>sum('Model Assumptions'!M8*'Model Assumptions'!M9)</f>
        <v>56250</v>
      </c>
      <c r="I8" s="208">
        <f>sum('Model Assumptions'!N8*'Model Assumptions'!N9)</f>
        <v>56250</v>
      </c>
      <c r="J8" s="208">
        <f>sum('Model Assumptions'!O8*'Model Assumptions'!O9)</f>
        <v>56250</v>
      </c>
      <c r="K8" s="208">
        <f>sum('Model Assumptions'!P8*'Model Assumptions'!P9)</f>
        <v>56250</v>
      </c>
      <c r="L8" s="208">
        <f>sum('Model Assumptions'!Q8*'Model Assumptions'!Q9)</f>
        <v>56250</v>
      </c>
      <c r="M8" s="208">
        <f>sum('Model Assumptions'!R8*'Model Assumptions'!R9)</f>
        <v>56250</v>
      </c>
    </row>
    <row r="9">
      <c r="A9" s="209" t="s">
        <v>108</v>
      </c>
      <c r="B9" s="205">
        <v>1.0</v>
      </c>
      <c r="C9" s="205">
        <v>1.0</v>
      </c>
      <c r="D9" s="205">
        <v>1.0</v>
      </c>
      <c r="E9" s="205">
        <v>1.0</v>
      </c>
      <c r="F9" s="205">
        <v>1.0</v>
      </c>
      <c r="G9" s="205">
        <v>1.0</v>
      </c>
      <c r="H9" s="205">
        <v>1.0</v>
      </c>
      <c r="I9" s="205">
        <v>1.0</v>
      </c>
      <c r="J9" s="205">
        <v>1.0</v>
      </c>
      <c r="K9" s="205">
        <v>1.0</v>
      </c>
      <c r="L9" s="205">
        <v>1.0</v>
      </c>
      <c r="M9" s="205">
        <v>1.0</v>
      </c>
    </row>
    <row r="10">
      <c r="A10" s="209" t="s">
        <v>109</v>
      </c>
      <c r="B10" s="205">
        <v>1.0</v>
      </c>
      <c r="C10" s="205">
        <v>1.0</v>
      </c>
      <c r="D10" s="205">
        <v>1.0</v>
      </c>
      <c r="E10" s="206">
        <v>1.0</v>
      </c>
      <c r="F10" s="206">
        <v>1.0</v>
      </c>
      <c r="G10" s="206">
        <v>1.0</v>
      </c>
      <c r="H10" s="206">
        <v>1.0</v>
      </c>
      <c r="I10" s="206">
        <v>1.0</v>
      </c>
      <c r="J10" s="206">
        <v>1.0</v>
      </c>
      <c r="K10" s="206">
        <v>1.0</v>
      </c>
      <c r="L10" s="206">
        <v>1.0</v>
      </c>
      <c r="M10" s="206">
        <v>1.0</v>
      </c>
    </row>
    <row r="11">
      <c r="A11" s="209" t="s">
        <v>110</v>
      </c>
      <c r="B11" s="206">
        <v>0.0</v>
      </c>
      <c r="C11" s="206">
        <v>0.0</v>
      </c>
      <c r="D11" s="206">
        <v>0.0</v>
      </c>
      <c r="E11" s="206">
        <v>0.0</v>
      </c>
      <c r="F11" s="206">
        <v>0.0</v>
      </c>
      <c r="G11" s="206">
        <v>0.0</v>
      </c>
      <c r="H11" s="206">
        <v>0.3</v>
      </c>
      <c r="I11" s="206">
        <v>0.6</v>
      </c>
      <c r="J11" s="206">
        <v>0.6</v>
      </c>
      <c r="K11" s="206">
        <v>1.0</v>
      </c>
      <c r="L11" s="206">
        <v>1.0</v>
      </c>
      <c r="M11" s="206">
        <v>1.0</v>
      </c>
    </row>
    <row r="12">
      <c r="A12" s="209" t="s">
        <v>111</v>
      </c>
      <c r="B12" s="206">
        <v>0.0</v>
      </c>
      <c r="C12" s="206">
        <v>0.0</v>
      </c>
      <c r="D12" s="206">
        <v>0.0</v>
      </c>
      <c r="E12" s="206">
        <v>0.0</v>
      </c>
      <c r="F12" s="206">
        <v>0.0</v>
      </c>
      <c r="G12" s="206">
        <v>0.0</v>
      </c>
      <c r="H12" s="206">
        <v>0.0</v>
      </c>
      <c r="I12" s="206">
        <v>0.3</v>
      </c>
      <c r="J12" s="206">
        <v>0.6</v>
      </c>
      <c r="K12" s="206">
        <v>0.6</v>
      </c>
      <c r="L12" s="206">
        <v>1.0</v>
      </c>
      <c r="M12" s="206">
        <v>1.0</v>
      </c>
    </row>
    <row r="13">
      <c r="A13" s="209" t="s">
        <v>112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>
        <v>0.3</v>
      </c>
      <c r="L13" s="206">
        <v>0.3</v>
      </c>
      <c r="M13" s="206">
        <v>0.3</v>
      </c>
    </row>
    <row r="14">
      <c r="A14" s="209" t="s">
        <v>113</v>
      </c>
      <c r="B14" s="205"/>
      <c r="C14" s="205"/>
      <c r="D14" s="205"/>
      <c r="E14" s="205"/>
      <c r="F14" s="205"/>
      <c r="G14" s="205"/>
      <c r="H14" s="205"/>
      <c r="I14" s="205"/>
      <c r="J14" s="206"/>
      <c r="K14" s="206"/>
      <c r="L14" s="206"/>
      <c r="M14" s="206"/>
    </row>
    <row r="15">
      <c r="A15" s="207" t="s">
        <v>114</v>
      </c>
      <c r="B15" s="210"/>
      <c r="C15" s="210"/>
      <c r="D15" s="210"/>
      <c r="E15" s="210"/>
      <c r="F15" s="210"/>
      <c r="G15" s="210"/>
      <c r="H15" s="210"/>
      <c r="I15" s="210"/>
      <c r="J15" s="210"/>
      <c r="K15" s="210"/>
      <c r="L15" s="210"/>
      <c r="M15" s="211"/>
    </row>
    <row r="16">
      <c r="A16" s="209" t="s">
        <v>115</v>
      </c>
      <c r="B16" s="205">
        <v>1.0</v>
      </c>
      <c r="C16" s="205">
        <v>1.0</v>
      </c>
      <c r="D16" s="205">
        <v>1.0</v>
      </c>
      <c r="E16" s="205">
        <v>1.0</v>
      </c>
      <c r="F16" s="205">
        <v>1.0</v>
      </c>
      <c r="G16" s="205">
        <v>1.0</v>
      </c>
      <c r="H16" s="205">
        <v>1.0</v>
      </c>
      <c r="I16" s="205">
        <v>1.0</v>
      </c>
      <c r="J16" s="205">
        <v>1.0</v>
      </c>
      <c r="K16" s="205">
        <v>1.0</v>
      </c>
      <c r="L16" s="205">
        <v>1.0</v>
      </c>
      <c r="M16" s="205">
        <v>1.0</v>
      </c>
    </row>
    <row r="17">
      <c r="A17" s="204" t="s">
        <v>116</v>
      </c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</row>
    <row r="18">
      <c r="A18" s="204" t="s">
        <v>117</v>
      </c>
      <c r="B18" s="212"/>
      <c r="C18" s="212"/>
      <c r="D18" s="212"/>
      <c r="E18" s="212"/>
      <c r="F18" s="212"/>
      <c r="G18" s="212"/>
      <c r="H18" s="212"/>
      <c r="I18" s="212"/>
      <c r="J18" s="212"/>
      <c r="K18" s="212"/>
      <c r="L18" s="212"/>
      <c r="M18" s="213"/>
    </row>
    <row r="19" ht="15.75" customHeight="1">
      <c r="A19" s="214" t="s">
        <v>118</v>
      </c>
      <c r="B19" s="215">
        <f t="shared" ref="B19:M19" si="3">sum(B9:B14)</f>
        <v>2</v>
      </c>
      <c r="C19" s="215">
        <f t="shared" si="3"/>
        <v>2</v>
      </c>
      <c r="D19" s="215">
        <f t="shared" si="3"/>
        <v>2</v>
      </c>
      <c r="E19" s="215">
        <f t="shared" si="3"/>
        <v>2</v>
      </c>
      <c r="F19" s="215">
        <f t="shared" si="3"/>
        <v>2</v>
      </c>
      <c r="G19" s="215">
        <f t="shared" si="3"/>
        <v>2</v>
      </c>
      <c r="H19" s="215">
        <f t="shared" si="3"/>
        <v>2.3</v>
      </c>
      <c r="I19" s="215">
        <f t="shared" si="3"/>
        <v>2.9</v>
      </c>
      <c r="J19" s="215">
        <f t="shared" si="3"/>
        <v>3.2</v>
      </c>
      <c r="K19" s="215">
        <f t="shared" si="3"/>
        <v>3.9</v>
      </c>
      <c r="L19" s="215">
        <f t="shared" si="3"/>
        <v>4.3</v>
      </c>
      <c r="M19" s="215">
        <f t="shared" si="3"/>
        <v>4.3</v>
      </c>
    </row>
    <row r="20" ht="15.75" customHeight="1">
      <c r="A20" s="216" t="s">
        <v>119</v>
      </c>
      <c r="B20" s="217">
        <f t="shared" ref="B20:M20" si="4">SUM(B16:B18)</f>
        <v>1</v>
      </c>
      <c r="C20" s="217">
        <f t="shared" si="4"/>
        <v>1</v>
      </c>
      <c r="D20" s="217">
        <f t="shared" si="4"/>
        <v>1</v>
      </c>
      <c r="E20" s="217">
        <f t="shared" si="4"/>
        <v>1</v>
      </c>
      <c r="F20" s="217">
        <f t="shared" si="4"/>
        <v>1</v>
      </c>
      <c r="G20" s="217">
        <f t="shared" si="4"/>
        <v>1</v>
      </c>
      <c r="H20" s="217">
        <f t="shared" si="4"/>
        <v>1</v>
      </c>
      <c r="I20" s="217">
        <f t="shared" si="4"/>
        <v>1</v>
      </c>
      <c r="J20" s="217">
        <f t="shared" si="4"/>
        <v>1</v>
      </c>
      <c r="K20" s="217">
        <f t="shared" si="4"/>
        <v>1</v>
      </c>
      <c r="L20" s="217">
        <f t="shared" si="4"/>
        <v>1</v>
      </c>
      <c r="M20" s="217">
        <f t="shared" si="4"/>
        <v>1</v>
      </c>
    </row>
    <row r="21" ht="15.75" customHeight="1">
      <c r="A21" s="216" t="s">
        <v>120</v>
      </c>
      <c r="B21" s="206">
        <v>1.0</v>
      </c>
      <c r="C21" s="206">
        <v>1.0</v>
      </c>
      <c r="D21" s="206">
        <v>1.0</v>
      </c>
      <c r="E21" s="206">
        <v>1.0</v>
      </c>
      <c r="F21" s="206">
        <v>1.0</v>
      </c>
      <c r="G21" s="206">
        <v>2.0</v>
      </c>
      <c r="H21" s="206">
        <v>2.0</v>
      </c>
      <c r="I21" s="206">
        <v>2.0</v>
      </c>
      <c r="J21" s="206">
        <v>2.0</v>
      </c>
      <c r="K21" s="206">
        <v>2.0</v>
      </c>
      <c r="L21" s="206">
        <v>2.0</v>
      </c>
      <c r="M21" s="206">
        <v>2.0</v>
      </c>
    </row>
    <row r="22" ht="15.75" customHeight="1">
      <c r="A22" s="204"/>
      <c r="B22" s="217"/>
      <c r="C22" s="217"/>
      <c r="D22" s="217"/>
      <c r="E22" s="217"/>
      <c r="F22" s="217"/>
      <c r="G22" s="217"/>
      <c r="H22" s="217"/>
      <c r="I22" s="217"/>
      <c r="J22" s="217"/>
      <c r="K22" s="217"/>
      <c r="L22" s="217"/>
      <c r="M22" s="217"/>
    </row>
    <row r="23" ht="15.75" customHeight="1">
      <c r="A23" s="204"/>
      <c r="B23" s="217"/>
      <c r="C23" s="217"/>
      <c r="D23" s="217"/>
      <c r="E23" s="217"/>
      <c r="F23" s="217"/>
      <c r="G23" s="217"/>
      <c r="H23" s="217"/>
      <c r="I23" s="217"/>
      <c r="J23" s="217"/>
      <c r="K23" s="217"/>
      <c r="L23" s="217"/>
      <c r="M23" s="217"/>
    </row>
    <row r="24" ht="25.5" customHeight="1">
      <c r="A24" s="218" t="s">
        <v>121</v>
      </c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</row>
    <row r="25" ht="15.75" customHeight="1">
      <c r="A25" s="219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</row>
    <row r="26" ht="15.75" customHeight="1">
      <c r="A26" s="221" t="s">
        <v>122</v>
      </c>
      <c r="B26" s="222"/>
      <c r="C26" s="222"/>
      <c r="D26" s="222"/>
      <c r="E26" s="222"/>
      <c r="F26" s="222"/>
      <c r="G26" s="222"/>
      <c r="H26" s="222"/>
      <c r="I26" s="222"/>
      <c r="J26" s="222"/>
      <c r="K26" s="222"/>
      <c r="L26" s="222"/>
      <c r="M26" s="222"/>
    </row>
    <row r="27" ht="18.75" customHeight="1">
      <c r="A27" s="223" t="s">
        <v>123</v>
      </c>
      <c r="B27" s="224">
        <f t="shared" ref="B27:M27" si="5">sum(B32+B30)</f>
        <v>66000</v>
      </c>
      <c r="C27" s="224">
        <f t="shared" si="5"/>
        <v>66000</v>
      </c>
      <c r="D27" s="224">
        <f t="shared" si="5"/>
        <v>66000</v>
      </c>
      <c r="E27" s="224">
        <f t="shared" si="5"/>
        <v>96000</v>
      </c>
      <c r="F27" s="224">
        <f t="shared" si="5"/>
        <v>96000</v>
      </c>
      <c r="G27" s="224">
        <f t="shared" si="5"/>
        <v>96000</v>
      </c>
      <c r="H27" s="224">
        <f t="shared" si="5"/>
        <v>135375</v>
      </c>
      <c r="I27" s="224">
        <f t="shared" si="5"/>
        <v>169125</v>
      </c>
      <c r="J27" s="224">
        <f t="shared" si="5"/>
        <v>186000</v>
      </c>
      <c r="K27" s="224">
        <f t="shared" si="5"/>
        <v>225375</v>
      </c>
      <c r="L27" s="224">
        <f t="shared" si="5"/>
        <v>247875</v>
      </c>
      <c r="M27" s="224">
        <f t="shared" si="5"/>
        <v>247875</v>
      </c>
    </row>
    <row r="28" ht="4.5" customHeight="1" outlineLevel="1">
      <c r="A28" s="225"/>
      <c r="B28" s="217"/>
      <c r="C28" s="217"/>
      <c r="D28" s="217"/>
      <c r="E28" s="217"/>
      <c r="F28" s="217"/>
      <c r="G28" s="217"/>
      <c r="H28" s="217"/>
      <c r="I28" s="217"/>
      <c r="J28" s="217"/>
      <c r="K28" s="217"/>
      <c r="L28" s="217"/>
      <c r="M28" s="217"/>
    </row>
    <row r="29" ht="15.75" customHeight="1">
      <c r="A29" s="226" t="s">
        <v>37</v>
      </c>
      <c r="B29" s="227">
        <f>B19*'Model Assumptions'!G9</f>
        <v>4</v>
      </c>
      <c r="C29" s="227">
        <f>C19*'Model Assumptions'!H9</f>
        <v>4</v>
      </c>
      <c r="D29" s="227">
        <f>D19*'Model Assumptions'!I9</f>
        <v>4</v>
      </c>
      <c r="E29" s="227">
        <f>E19*'Model Assumptions'!J9</f>
        <v>4</v>
      </c>
      <c r="F29" s="227">
        <f>F19*'Model Assumptions'!K9</f>
        <v>4</v>
      </c>
      <c r="G29" s="227">
        <f>G19*'Model Assumptions'!L9</f>
        <v>4</v>
      </c>
      <c r="H29" s="227">
        <f>H19*'Model Assumptions'!M9</f>
        <v>5.75</v>
      </c>
      <c r="I29" s="227">
        <f>I19*'Model Assumptions'!N9</f>
        <v>7.25</v>
      </c>
      <c r="J29" s="227">
        <f>J19*'Model Assumptions'!O9</f>
        <v>8</v>
      </c>
      <c r="K29" s="227">
        <f>K19*'Model Assumptions'!P9</f>
        <v>9.75</v>
      </c>
      <c r="L29" s="227">
        <f>L19*'Model Assumptions'!Q9</f>
        <v>10.75</v>
      </c>
      <c r="M29" s="227">
        <f>M19*'Model Assumptions'!R9</f>
        <v>10.75</v>
      </c>
    </row>
    <row r="30" ht="15.75" customHeight="1">
      <c r="A30" s="209" t="s">
        <v>124</v>
      </c>
      <c r="B30" s="228">
        <f>(B29*'Model Assumptions'!G8)</f>
        <v>60000</v>
      </c>
      <c r="C30" s="228">
        <f>(C29*'Model Assumptions'!H8)</f>
        <v>60000</v>
      </c>
      <c r="D30" s="228">
        <f>(D29*'Model Assumptions'!I8)</f>
        <v>60000</v>
      </c>
      <c r="E30" s="228">
        <f>(E29*'Model Assumptions'!J8)</f>
        <v>90000</v>
      </c>
      <c r="F30" s="228">
        <f>(F29*'Model Assumptions'!K8)</f>
        <v>90000</v>
      </c>
      <c r="G30" s="228">
        <f>(G29*'Model Assumptions'!L8)</f>
        <v>90000</v>
      </c>
      <c r="H30" s="228">
        <f>(H29*'Model Assumptions'!M8)</f>
        <v>129375</v>
      </c>
      <c r="I30" s="228">
        <f>(I29*'Model Assumptions'!N8)</f>
        <v>163125</v>
      </c>
      <c r="J30" s="228">
        <f>(J29*'Model Assumptions'!O8)</f>
        <v>180000</v>
      </c>
      <c r="K30" s="228">
        <f>(K29*'Model Assumptions'!P8)</f>
        <v>219375</v>
      </c>
      <c r="L30" s="228">
        <f>(L29*'Model Assumptions'!Q8)</f>
        <v>241875</v>
      </c>
      <c r="M30" s="228">
        <f>(M29*'Model Assumptions'!R8)</f>
        <v>241875</v>
      </c>
    </row>
    <row r="31" ht="15.75" customHeight="1">
      <c r="A31" s="229" t="s">
        <v>125</v>
      </c>
      <c r="B31" s="230">
        <f>B20*'Model Assumptions'!G12</f>
        <v>2</v>
      </c>
      <c r="C31" s="230">
        <f>C20*'Model Assumptions'!H12</f>
        <v>2</v>
      </c>
      <c r="D31" s="230">
        <f>D20*'Model Assumptions'!I12</f>
        <v>2</v>
      </c>
      <c r="E31" s="230">
        <f>E20*'Model Assumptions'!J12</f>
        <v>2</v>
      </c>
      <c r="F31" s="230">
        <f>F20*'Model Assumptions'!K12</f>
        <v>2</v>
      </c>
      <c r="G31" s="230">
        <f>G20*'Model Assumptions'!L12</f>
        <v>2</v>
      </c>
      <c r="H31" s="230">
        <f>H20*'Model Assumptions'!M12</f>
        <v>2</v>
      </c>
      <c r="I31" s="230">
        <f>I20*'Model Assumptions'!N12</f>
        <v>2</v>
      </c>
      <c r="J31" s="230">
        <f>J20*'Model Assumptions'!O12</f>
        <v>2</v>
      </c>
      <c r="K31" s="230">
        <f>K20*'Model Assumptions'!P12</f>
        <v>2</v>
      </c>
      <c r="L31" s="230">
        <f>L20*'Model Assumptions'!Q12</f>
        <v>2</v>
      </c>
      <c r="M31" s="231">
        <f>M20*'Model Assumptions'!R12</f>
        <v>2</v>
      </c>
    </row>
    <row r="32" ht="15.75" customHeight="1">
      <c r="A32" s="209" t="s">
        <v>126</v>
      </c>
      <c r="B32" s="228">
        <f>B31*'Model Assumptions'!G11</f>
        <v>6000</v>
      </c>
      <c r="C32" s="228">
        <f>C31*'Model Assumptions'!H11</f>
        <v>6000</v>
      </c>
      <c r="D32" s="228">
        <f>D31*'Model Assumptions'!I11</f>
        <v>6000</v>
      </c>
      <c r="E32" s="228">
        <f>E31*'Model Assumptions'!J11</f>
        <v>6000</v>
      </c>
      <c r="F32" s="228">
        <f>F31*'Model Assumptions'!K11</f>
        <v>6000</v>
      </c>
      <c r="G32" s="228">
        <f>G31*'Model Assumptions'!L11</f>
        <v>6000</v>
      </c>
      <c r="H32" s="228">
        <f>H31*'Model Assumptions'!M11</f>
        <v>6000</v>
      </c>
      <c r="I32" s="228">
        <f>I31*'Model Assumptions'!N11</f>
        <v>6000</v>
      </c>
      <c r="J32" s="228">
        <f>J31*'Model Assumptions'!O11</f>
        <v>6000</v>
      </c>
      <c r="K32" s="228">
        <f>K31*'Model Assumptions'!P11</f>
        <v>6000</v>
      </c>
      <c r="L32" s="228">
        <f>L31*'Model Assumptions'!Q11</f>
        <v>6000</v>
      </c>
      <c r="M32" s="228">
        <f>M31*'Model Assumptions'!R11</f>
        <v>6000</v>
      </c>
    </row>
    <row r="33" ht="9.0" customHeight="1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</row>
    <row r="34" ht="15.75" customHeight="1">
      <c r="A34" s="232" t="s">
        <v>127</v>
      </c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</row>
    <row r="35" ht="15.75" customHeight="1">
      <c r="A35" s="234" t="s">
        <v>37</v>
      </c>
      <c r="B35" s="235"/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</row>
    <row r="36" ht="15.75" customHeight="1">
      <c r="A36" s="236" t="s">
        <v>128</v>
      </c>
      <c r="B36" s="237" t="str">
        <f t="shared" ref="B36:M36" si="6">B39/#REF!</f>
        <v>#REF!</v>
      </c>
      <c r="C36" s="237" t="str">
        <f t="shared" si="6"/>
        <v>#REF!</v>
      </c>
      <c r="D36" s="237" t="str">
        <f t="shared" si="6"/>
        <v>#REF!</v>
      </c>
      <c r="E36" s="237" t="str">
        <f t="shared" si="6"/>
        <v>#REF!</v>
      </c>
      <c r="F36" s="237" t="str">
        <f t="shared" si="6"/>
        <v>#REF!</v>
      </c>
      <c r="G36" s="237" t="str">
        <f t="shared" si="6"/>
        <v>#REF!</v>
      </c>
      <c r="H36" s="237" t="str">
        <f t="shared" si="6"/>
        <v>#REF!</v>
      </c>
      <c r="I36" s="237" t="str">
        <f t="shared" si="6"/>
        <v>#REF!</v>
      </c>
      <c r="J36" s="237" t="str">
        <f t="shared" si="6"/>
        <v>#REF!</v>
      </c>
      <c r="K36" s="237" t="str">
        <f t="shared" si="6"/>
        <v>#REF!</v>
      </c>
      <c r="L36" s="237" t="str">
        <f t="shared" si="6"/>
        <v>#REF!</v>
      </c>
      <c r="M36" s="237" t="str">
        <f t="shared" si="6"/>
        <v>#REF!</v>
      </c>
    </row>
    <row r="37" ht="15.75" customHeight="1">
      <c r="A37" s="236" t="s">
        <v>129</v>
      </c>
      <c r="B37" s="238">
        <f t="shared" ref="B37:M37" si="7">B44</f>
        <v>75.01172058</v>
      </c>
      <c r="C37" s="238">
        <f t="shared" si="7"/>
        <v>75.01172058</v>
      </c>
      <c r="D37" s="238">
        <f t="shared" si="7"/>
        <v>75.01172058</v>
      </c>
      <c r="E37" s="238">
        <f t="shared" si="7"/>
        <v>75.01172058</v>
      </c>
      <c r="F37" s="238">
        <f t="shared" si="7"/>
        <v>75.01172058</v>
      </c>
      <c r="G37" s="238">
        <f t="shared" si="7"/>
        <v>75.01172058</v>
      </c>
      <c r="H37" s="238">
        <f t="shared" si="7"/>
        <v>107.8293483</v>
      </c>
      <c r="I37" s="238">
        <f t="shared" si="7"/>
        <v>135.9587436</v>
      </c>
      <c r="J37" s="238">
        <f t="shared" si="7"/>
        <v>150.0234412</v>
      </c>
      <c r="K37" s="238">
        <f t="shared" si="7"/>
        <v>182.8410689</v>
      </c>
      <c r="L37" s="238">
        <f t="shared" si="7"/>
        <v>201.5939991</v>
      </c>
      <c r="M37" s="238">
        <f t="shared" si="7"/>
        <v>201.5939991</v>
      </c>
    </row>
    <row r="38" ht="15.75" customHeight="1">
      <c r="A38" s="236" t="s">
        <v>130</v>
      </c>
      <c r="B38" s="238">
        <f t="shared" ref="B38:M38" si="8">B58</f>
        <v>13.84831765</v>
      </c>
      <c r="C38" s="238">
        <f t="shared" si="8"/>
        <v>13.84831765</v>
      </c>
      <c r="D38" s="238">
        <f t="shared" si="8"/>
        <v>13.84831765</v>
      </c>
      <c r="E38" s="238">
        <f t="shared" si="8"/>
        <v>13.84831765</v>
      </c>
      <c r="F38" s="238">
        <f t="shared" si="8"/>
        <v>13.84831765</v>
      </c>
      <c r="G38" s="238">
        <f t="shared" si="8"/>
        <v>13.84831765</v>
      </c>
      <c r="H38" s="238">
        <f t="shared" si="8"/>
        <v>19.90695662</v>
      </c>
      <c r="I38" s="238">
        <f t="shared" si="8"/>
        <v>25.10007573</v>
      </c>
      <c r="J38" s="238">
        <f t="shared" si="8"/>
        <v>27.69663529</v>
      </c>
      <c r="K38" s="238">
        <f t="shared" si="8"/>
        <v>33.75527426</v>
      </c>
      <c r="L38" s="238">
        <f t="shared" si="8"/>
        <v>37.21735367</v>
      </c>
      <c r="M38" s="238">
        <f t="shared" si="8"/>
        <v>37.21735367</v>
      </c>
    </row>
    <row r="39" ht="15.75" customHeight="1">
      <c r="A39" s="236" t="s">
        <v>131</v>
      </c>
      <c r="B39" s="238">
        <f t="shared" ref="B39:M39" si="9">sum(B45+B59+B70)</f>
        <v>11.25175809</v>
      </c>
      <c r="C39" s="238">
        <f t="shared" si="9"/>
        <v>11.25175809</v>
      </c>
      <c r="D39" s="238">
        <f t="shared" si="9"/>
        <v>11.25175809</v>
      </c>
      <c r="E39" s="238">
        <f t="shared" si="9"/>
        <v>11.25175809</v>
      </c>
      <c r="F39" s="238">
        <f t="shared" si="9"/>
        <v>11.25175809</v>
      </c>
      <c r="G39" s="238">
        <f t="shared" si="9"/>
        <v>11.25175809</v>
      </c>
      <c r="H39" s="238">
        <f t="shared" si="9"/>
        <v>16.17440225</v>
      </c>
      <c r="I39" s="238">
        <f t="shared" si="9"/>
        <v>20.39381153</v>
      </c>
      <c r="J39" s="238">
        <f t="shared" si="9"/>
        <v>22.50351617</v>
      </c>
      <c r="K39" s="238">
        <f t="shared" si="9"/>
        <v>27.42616034</v>
      </c>
      <c r="L39" s="238">
        <f t="shared" si="9"/>
        <v>30.23909986</v>
      </c>
      <c r="M39" s="238">
        <f t="shared" si="9"/>
        <v>30.23909986</v>
      </c>
    </row>
    <row r="40" ht="15.75" customHeight="1">
      <c r="A40" s="236" t="s">
        <v>132</v>
      </c>
      <c r="B40" s="238">
        <f t="shared" ref="B40:M40" si="10">sum(B46+B60)</f>
        <v>5.063291139</v>
      </c>
      <c r="C40" s="238">
        <f t="shared" si="10"/>
        <v>5.063291139</v>
      </c>
      <c r="D40" s="238">
        <f t="shared" si="10"/>
        <v>5.063291139</v>
      </c>
      <c r="E40" s="238">
        <f t="shared" si="10"/>
        <v>5.063291139</v>
      </c>
      <c r="F40" s="238">
        <f t="shared" si="10"/>
        <v>5.063291139</v>
      </c>
      <c r="G40" s="238">
        <f t="shared" si="10"/>
        <v>5.063291139</v>
      </c>
      <c r="H40" s="238">
        <f t="shared" si="10"/>
        <v>7.278481013</v>
      </c>
      <c r="I40" s="238">
        <f t="shared" si="10"/>
        <v>9.17721519</v>
      </c>
      <c r="J40" s="238">
        <f t="shared" si="10"/>
        <v>10.12658228</v>
      </c>
      <c r="K40" s="238">
        <f t="shared" si="10"/>
        <v>12.34177215</v>
      </c>
      <c r="L40" s="238">
        <f t="shared" si="10"/>
        <v>13.60759494</v>
      </c>
      <c r="M40" s="238">
        <f t="shared" si="10"/>
        <v>13.60759494</v>
      </c>
    </row>
    <row r="41" ht="15.75" customHeight="1">
      <c r="A41" s="236" t="s">
        <v>133</v>
      </c>
      <c r="B41" s="237">
        <f>sum(B19*'Model Assumptions'!G9)</f>
        <v>4</v>
      </c>
      <c r="C41" s="237">
        <f>sum(C19*'Model Assumptions'!H9)</f>
        <v>4</v>
      </c>
      <c r="D41" s="237">
        <f>sum(D19*'Model Assumptions'!I9)</f>
        <v>4</v>
      </c>
      <c r="E41" s="237">
        <f>sum(E19*'Model Assumptions'!J9)</f>
        <v>4</v>
      </c>
      <c r="F41" s="237">
        <f>sum(F19*'Model Assumptions'!K9)</f>
        <v>4</v>
      </c>
      <c r="G41" s="237">
        <f>sum(G19*'Model Assumptions'!L9)</f>
        <v>4</v>
      </c>
      <c r="H41" s="237">
        <f>sum(H19*'Model Assumptions'!M9)</f>
        <v>5.75</v>
      </c>
      <c r="I41" s="237">
        <f>sum(I19*'Model Assumptions'!N9)</f>
        <v>7.25</v>
      </c>
      <c r="J41" s="237">
        <f>sum(J19*'Model Assumptions'!O9)</f>
        <v>8</v>
      </c>
      <c r="K41" s="237">
        <f>sum(K19*'Model Assumptions'!P9)</f>
        <v>9.75</v>
      </c>
      <c r="L41" s="237">
        <f>sum(L19*'Model Assumptions'!Q9)</f>
        <v>10.75</v>
      </c>
      <c r="M41" s="237">
        <f>sum(M19*'Model Assumptions'!R9)</f>
        <v>10.75</v>
      </c>
    </row>
    <row r="42" ht="15.75" customHeight="1">
      <c r="A42" s="232" t="s">
        <v>134</v>
      </c>
      <c r="B42" s="222"/>
      <c r="C42" s="222"/>
      <c r="D42" s="222"/>
      <c r="E42" s="222"/>
      <c r="F42" s="222"/>
      <c r="G42" s="222"/>
      <c r="H42" s="222"/>
      <c r="I42" s="222"/>
      <c r="J42" s="222"/>
      <c r="K42" s="222"/>
      <c r="L42" s="222"/>
      <c r="M42" s="222"/>
    </row>
    <row r="43" ht="15.75" customHeight="1">
      <c r="A43" s="239" t="s">
        <v>135</v>
      </c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</row>
    <row r="44" ht="15.75" customHeight="1">
      <c r="A44" s="241" t="s">
        <v>136</v>
      </c>
      <c r="B44" s="242">
        <f>B45/'Model Assumptions'!G35</f>
        <v>75.01172058</v>
      </c>
      <c r="C44" s="242">
        <f>C45/'Model Assumptions'!H35</f>
        <v>75.01172058</v>
      </c>
      <c r="D44" s="242">
        <f>D45/'Model Assumptions'!I35</f>
        <v>75.01172058</v>
      </c>
      <c r="E44" s="242">
        <f>E45/'Model Assumptions'!J35</f>
        <v>75.01172058</v>
      </c>
      <c r="F44" s="242">
        <f>F45/'Model Assumptions'!K35</f>
        <v>75.01172058</v>
      </c>
      <c r="G44" s="242">
        <f>G45/'Model Assumptions'!L35</f>
        <v>75.01172058</v>
      </c>
      <c r="H44" s="242">
        <f>H45/'Model Assumptions'!M35</f>
        <v>107.8293483</v>
      </c>
      <c r="I44" s="242">
        <f>I45/'Model Assumptions'!N35</f>
        <v>135.9587436</v>
      </c>
      <c r="J44" s="242">
        <f>J45/'Model Assumptions'!O35</f>
        <v>150.0234412</v>
      </c>
      <c r="K44" s="242">
        <f>K45/'Model Assumptions'!P35</f>
        <v>182.8410689</v>
      </c>
      <c r="L44" s="242">
        <f>L45/'Model Assumptions'!Q35</f>
        <v>201.5939991</v>
      </c>
      <c r="M44" s="242">
        <f>M45/'Model Assumptions'!R35</f>
        <v>201.5939991</v>
      </c>
    </row>
    <row r="45" ht="15.75" customHeight="1">
      <c r="A45" s="193" t="s">
        <v>137</v>
      </c>
      <c r="B45" s="243">
        <f>B46/'Model Assumptions'!G36</f>
        <v>2.250351617</v>
      </c>
      <c r="C45" s="243">
        <f>C46/'Model Assumptions'!H36</f>
        <v>2.250351617</v>
      </c>
      <c r="D45" s="243">
        <f>D46/'Model Assumptions'!I36</f>
        <v>2.250351617</v>
      </c>
      <c r="E45" s="243">
        <f>E46/'Model Assumptions'!J36</f>
        <v>2.250351617</v>
      </c>
      <c r="F45" s="243">
        <f>F46/'Model Assumptions'!K36</f>
        <v>2.250351617</v>
      </c>
      <c r="G45" s="243">
        <f>G46/'Model Assumptions'!L36</f>
        <v>2.250351617</v>
      </c>
      <c r="H45" s="243">
        <f>H46/'Model Assumptions'!M36</f>
        <v>3.23488045</v>
      </c>
      <c r="I45" s="243">
        <f>I46/'Model Assumptions'!N36</f>
        <v>4.078762307</v>
      </c>
      <c r="J45" s="243">
        <f>J46/'Model Assumptions'!O36</f>
        <v>4.500703235</v>
      </c>
      <c r="K45" s="243">
        <f>K46/'Model Assumptions'!P36</f>
        <v>5.485232068</v>
      </c>
      <c r="L45" s="243">
        <f>L46/'Model Assumptions'!Q36</f>
        <v>6.047819972</v>
      </c>
      <c r="M45" s="243">
        <f>M46/'Model Assumptions'!R36</f>
        <v>6.047819972</v>
      </c>
    </row>
    <row r="46" ht="15.75" customHeight="1">
      <c r="A46" s="244" t="s">
        <v>138</v>
      </c>
      <c r="B46" s="243">
        <f>B47/'Model Assumptions'!G37</f>
        <v>1.012658228</v>
      </c>
      <c r="C46" s="243">
        <f>C47/'Model Assumptions'!H37</f>
        <v>1.012658228</v>
      </c>
      <c r="D46" s="243">
        <f>D47/'Model Assumptions'!I37</f>
        <v>1.012658228</v>
      </c>
      <c r="E46" s="243">
        <f>E47/'Model Assumptions'!J37</f>
        <v>1.012658228</v>
      </c>
      <c r="F46" s="243">
        <f>F47/'Model Assumptions'!K37</f>
        <v>1.012658228</v>
      </c>
      <c r="G46" s="243">
        <f>G47/'Model Assumptions'!L37</f>
        <v>1.012658228</v>
      </c>
      <c r="H46" s="243">
        <f>H47/'Model Assumptions'!M37</f>
        <v>1.455696203</v>
      </c>
      <c r="I46" s="243">
        <f>I47/'Model Assumptions'!N37</f>
        <v>1.835443038</v>
      </c>
      <c r="J46" s="243">
        <f>J47/'Model Assumptions'!O37</f>
        <v>2.025316456</v>
      </c>
      <c r="K46" s="243">
        <f>K47/'Model Assumptions'!P37</f>
        <v>2.46835443</v>
      </c>
      <c r="L46" s="243">
        <f>L47/'Model Assumptions'!Q37</f>
        <v>2.721518987</v>
      </c>
      <c r="M46" s="243">
        <f>M47/'Model Assumptions'!R37</f>
        <v>2.721518987</v>
      </c>
    </row>
    <row r="47" ht="15.75" customHeight="1">
      <c r="A47" s="193" t="s">
        <v>139</v>
      </c>
      <c r="B47" s="243">
        <f>B29*'Model Assumptions'!G18</f>
        <v>0.8</v>
      </c>
      <c r="C47" s="243">
        <f>C29*'Model Assumptions'!H18</f>
        <v>0.8</v>
      </c>
      <c r="D47" s="243">
        <f>D29*'Model Assumptions'!I18</f>
        <v>0.8</v>
      </c>
      <c r="E47" s="243">
        <f>E29*'Model Assumptions'!J18</f>
        <v>0.8</v>
      </c>
      <c r="F47" s="243">
        <f>F29*'Model Assumptions'!K18</f>
        <v>0.8</v>
      </c>
      <c r="G47" s="243">
        <f>G29*'Model Assumptions'!L18</f>
        <v>0.8</v>
      </c>
      <c r="H47" s="243">
        <f>H29*'Model Assumptions'!M18</f>
        <v>1.15</v>
      </c>
      <c r="I47" s="243">
        <f>I29*'Model Assumptions'!N18</f>
        <v>1.45</v>
      </c>
      <c r="J47" s="243">
        <f>J29*'Model Assumptions'!O18</f>
        <v>1.6</v>
      </c>
      <c r="K47" s="243">
        <f>K29*'Model Assumptions'!P18</f>
        <v>1.95</v>
      </c>
      <c r="L47" s="243">
        <f>L29*'Model Assumptions'!Q18</f>
        <v>2.15</v>
      </c>
      <c r="M47" s="243">
        <f>M29*'Model Assumptions'!R18</f>
        <v>2.15</v>
      </c>
    </row>
    <row r="48" ht="15.75" hidden="1" customHeight="1" outlineLevel="1">
      <c r="A48" s="245" t="s">
        <v>140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</row>
    <row r="49" ht="15.75" hidden="1" customHeight="1" outlineLevel="1">
      <c r="A49" s="245" t="s">
        <v>141</v>
      </c>
      <c r="B49" s="247"/>
      <c r="C49" s="247"/>
      <c r="D49" s="247"/>
      <c r="E49" s="247"/>
      <c r="F49" s="247"/>
      <c r="G49" s="247"/>
      <c r="H49" s="247"/>
      <c r="I49" s="247"/>
      <c r="J49" s="247"/>
      <c r="K49" s="247"/>
      <c r="L49" s="247"/>
      <c r="M49" s="247"/>
    </row>
    <row r="50" ht="12.0" customHeight="1" collapsed="1">
      <c r="A50" s="245"/>
      <c r="B50" s="247"/>
      <c r="C50" s="247"/>
      <c r="D50" s="247"/>
      <c r="E50" s="247"/>
      <c r="F50" s="247"/>
      <c r="G50" s="247"/>
      <c r="H50" s="247"/>
      <c r="I50" s="247"/>
      <c r="J50" s="247"/>
      <c r="K50" s="247"/>
      <c r="L50" s="247"/>
      <c r="M50" s="247"/>
    </row>
    <row r="51" ht="15.75" customHeight="1">
      <c r="A51" s="248" t="s">
        <v>142</v>
      </c>
      <c r="B51" s="247"/>
      <c r="C51" s="247"/>
      <c r="D51" s="247"/>
      <c r="E51" s="247"/>
      <c r="F51" s="247"/>
      <c r="G51" s="247"/>
      <c r="H51" s="247"/>
      <c r="I51" s="247"/>
      <c r="J51" s="247"/>
      <c r="K51" s="247"/>
      <c r="L51" s="247"/>
      <c r="M51" s="247"/>
    </row>
    <row r="52" ht="15.75" customHeight="1">
      <c r="A52" s="249" t="s">
        <v>143</v>
      </c>
      <c r="B52" s="250">
        <f t="shared" ref="B52:M52" si="11">B86/B45</f>
        <v>3703.125</v>
      </c>
      <c r="C52" s="250">
        <f t="shared" si="11"/>
        <v>3703.125</v>
      </c>
      <c r="D52" s="250">
        <f t="shared" si="11"/>
        <v>3703.125</v>
      </c>
      <c r="E52" s="250">
        <f t="shared" si="11"/>
        <v>3703.125</v>
      </c>
      <c r="F52" s="250">
        <f t="shared" si="11"/>
        <v>3703.125</v>
      </c>
      <c r="G52" s="250">
        <f t="shared" si="11"/>
        <v>7406.25</v>
      </c>
      <c r="H52" s="250">
        <f t="shared" si="11"/>
        <v>5152.173913</v>
      </c>
      <c r="I52" s="250">
        <f t="shared" si="11"/>
        <v>4086.206897</v>
      </c>
      <c r="J52" s="250">
        <f t="shared" si="11"/>
        <v>3703.125</v>
      </c>
      <c r="K52" s="250">
        <f t="shared" si="11"/>
        <v>3038.461538</v>
      </c>
      <c r="L52" s="250">
        <f t="shared" si="11"/>
        <v>2755.813953</v>
      </c>
      <c r="M52" s="250">
        <f t="shared" si="11"/>
        <v>2755.813953</v>
      </c>
    </row>
    <row r="53" ht="15.75" customHeight="1">
      <c r="A53" s="249" t="s">
        <v>144</v>
      </c>
      <c r="B53" s="250">
        <f t="shared" ref="B53:M53" si="12">B86/B47</f>
        <v>10416.66667</v>
      </c>
      <c r="C53" s="250">
        <f t="shared" si="12"/>
        <v>10416.66667</v>
      </c>
      <c r="D53" s="250">
        <f t="shared" si="12"/>
        <v>10416.66667</v>
      </c>
      <c r="E53" s="250">
        <f t="shared" si="12"/>
        <v>10416.66667</v>
      </c>
      <c r="F53" s="250">
        <f t="shared" si="12"/>
        <v>10416.66667</v>
      </c>
      <c r="G53" s="250">
        <f t="shared" si="12"/>
        <v>20833.33333</v>
      </c>
      <c r="H53" s="250">
        <f t="shared" si="12"/>
        <v>14492.75362</v>
      </c>
      <c r="I53" s="250">
        <f t="shared" si="12"/>
        <v>11494.25287</v>
      </c>
      <c r="J53" s="250">
        <f t="shared" si="12"/>
        <v>10416.66667</v>
      </c>
      <c r="K53" s="250">
        <f t="shared" si="12"/>
        <v>8547.008547</v>
      </c>
      <c r="L53" s="250">
        <f t="shared" si="12"/>
        <v>7751.937984</v>
      </c>
      <c r="M53" s="250">
        <f t="shared" si="12"/>
        <v>7751.937984</v>
      </c>
    </row>
    <row r="54" ht="15.75" customHeight="1">
      <c r="A54" s="203" t="s">
        <v>145</v>
      </c>
      <c r="B54" s="247">
        <f t="shared" ref="B54:M54" si="13">B45/B21</f>
        <v>2.250351617</v>
      </c>
      <c r="C54" s="247">
        <f t="shared" si="13"/>
        <v>2.250351617</v>
      </c>
      <c r="D54" s="247">
        <f t="shared" si="13"/>
        <v>2.250351617</v>
      </c>
      <c r="E54" s="247">
        <f t="shared" si="13"/>
        <v>2.250351617</v>
      </c>
      <c r="F54" s="247">
        <f t="shared" si="13"/>
        <v>2.250351617</v>
      </c>
      <c r="G54" s="247">
        <f t="shared" si="13"/>
        <v>1.125175809</v>
      </c>
      <c r="H54" s="247">
        <f t="shared" si="13"/>
        <v>1.617440225</v>
      </c>
      <c r="I54" s="247">
        <f t="shared" si="13"/>
        <v>2.039381153</v>
      </c>
      <c r="J54" s="247">
        <f t="shared" si="13"/>
        <v>2.250351617</v>
      </c>
      <c r="K54" s="247">
        <f t="shared" si="13"/>
        <v>2.742616034</v>
      </c>
      <c r="L54" s="247">
        <f t="shared" si="13"/>
        <v>3.023909986</v>
      </c>
      <c r="M54" s="247">
        <f t="shared" si="13"/>
        <v>3.023909986</v>
      </c>
    </row>
    <row r="55" ht="15.75" customHeight="1">
      <c r="A55" s="203" t="s">
        <v>146</v>
      </c>
      <c r="B55" s="251">
        <f t="shared" ref="B55:M55" si="14">B47/B21</f>
        <v>0.8</v>
      </c>
      <c r="C55" s="251">
        <f t="shared" si="14"/>
        <v>0.8</v>
      </c>
      <c r="D55" s="251">
        <f t="shared" si="14"/>
        <v>0.8</v>
      </c>
      <c r="E55" s="251">
        <f t="shared" si="14"/>
        <v>0.8</v>
      </c>
      <c r="F55" s="251">
        <f t="shared" si="14"/>
        <v>0.8</v>
      </c>
      <c r="G55" s="251">
        <f t="shared" si="14"/>
        <v>0.4</v>
      </c>
      <c r="H55" s="251">
        <f t="shared" si="14"/>
        <v>0.575</v>
      </c>
      <c r="I55" s="251">
        <f t="shared" si="14"/>
        <v>0.725</v>
      </c>
      <c r="J55" s="251">
        <f t="shared" si="14"/>
        <v>0.8</v>
      </c>
      <c r="K55" s="251">
        <f t="shared" si="14"/>
        <v>0.975</v>
      </c>
      <c r="L55" s="251">
        <f t="shared" si="14"/>
        <v>1.075</v>
      </c>
      <c r="M55" s="251">
        <f t="shared" si="14"/>
        <v>1.075</v>
      </c>
    </row>
    <row r="56" ht="15.75" customHeight="1">
      <c r="A56" s="245"/>
      <c r="B56" s="247"/>
      <c r="C56" s="247"/>
      <c r="D56" s="247"/>
      <c r="E56" s="247"/>
      <c r="F56" s="247"/>
      <c r="G56" s="247"/>
      <c r="H56" s="247"/>
      <c r="I56" s="247"/>
      <c r="J56" s="247"/>
      <c r="K56" s="247"/>
      <c r="L56" s="247"/>
      <c r="M56" s="247"/>
    </row>
    <row r="57" ht="15.75" customHeight="1">
      <c r="A57" s="239" t="s">
        <v>147</v>
      </c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</row>
    <row r="58" ht="15.75" customHeight="1">
      <c r="A58" s="244" t="s">
        <v>148</v>
      </c>
      <c r="B58" s="243">
        <f>B59/'Model Assumptions'!G27</f>
        <v>13.84831765</v>
      </c>
      <c r="C58" s="243">
        <f>C59/'Model Assumptions'!H27</f>
        <v>13.84831765</v>
      </c>
      <c r="D58" s="243">
        <f>D59/'Model Assumptions'!I27</f>
        <v>13.84831765</v>
      </c>
      <c r="E58" s="243">
        <f>E59/'Model Assumptions'!J27</f>
        <v>13.84831765</v>
      </c>
      <c r="F58" s="243">
        <f>F59/'Model Assumptions'!K27</f>
        <v>13.84831765</v>
      </c>
      <c r="G58" s="243">
        <f>G59/'Model Assumptions'!L27</f>
        <v>13.84831765</v>
      </c>
      <c r="H58" s="243">
        <f>H59/'Model Assumptions'!M27</f>
        <v>19.90695662</v>
      </c>
      <c r="I58" s="243">
        <f>I59/'Model Assumptions'!N27</f>
        <v>25.10007573</v>
      </c>
      <c r="J58" s="243">
        <f>J59/'Model Assumptions'!O27</f>
        <v>27.69663529</v>
      </c>
      <c r="K58" s="243">
        <f>K59/'Model Assumptions'!P27</f>
        <v>33.75527426</v>
      </c>
      <c r="L58" s="243">
        <f>L59/'Model Assumptions'!Q27</f>
        <v>37.21735367</v>
      </c>
      <c r="M58" s="243">
        <f>M59/'Model Assumptions'!R27</f>
        <v>37.21735367</v>
      </c>
    </row>
    <row r="59" ht="15.75" customHeight="1">
      <c r="A59" s="244" t="s">
        <v>149</v>
      </c>
      <c r="B59" s="243">
        <f>B60/'Model Assumptions'!G28</f>
        <v>9.00140647</v>
      </c>
      <c r="C59" s="243">
        <f>C60/'Model Assumptions'!H28</f>
        <v>9.00140647</v>
      </c>
      <c r="D59" s="243">
        <f>D60/'Model Assumptions'!I28</f>
        <v>9.00140647</v>
      </c>
      <c r="E59" s="243">
        <f>E60/'Model Assumptions'!J28</f>
        <v>9.00140647</v>
      </c>
      <c r="F59" s="243">
        <f>F60/'Model Assumptions'!K28</f>
        <v>9.00140647</v>
      </c>
      <c r="G59" s="243">
        <f>G60/'Model Assumptions'!L28</f>
        <v>9.00140647</v>
      </c>
      <c r="H59" s="243">
        <f>H60/'Model Assumptions'!M28</f>
        <v>12.9395218</v>
      </c>
      <c r="I59" s="243">
        <f>I60/'Model Assumptions'!N28</f>
        <v>16.31504923</v>
      </c>
      <c r="J59" s="243">
        <f>J60/'Model Assumptions'!O28</f>
        <v>18.00281294</v>
      </c>
      <c r="K59" s="243">
        <f>K60/'Model Assumptions'!P28</f>
        <v>21.94092827</v>
      </c>
      <c r="L59" s="243">
        <f>L60/'Model Assumptions'!Q28</f>
        <v>24.19127989</v>
      </c>
      <c r="M59" s="243">
        <f>M60/'Model Assumptions'!R28</f>
        <v>24.19127989</v>
      </c>
    </row>
    <row r="60" ht="15.75" customHeight="1">
      <c r="A60" s="244" t="s">
        <v>150</v>
      </c>
      <c r="B60" s="243">
        <f>B61/'Model Assumptions'!G29</f>
        <v>4.050632911</v>
      </c>
      <c r="C60" s="243">
        <f>C61/'Model Assumptions'!H29</f>
        <v>4.050632911</v>
      </c>
      <c r="D60" s="243">
        <f>D61/'Model Assumptions'!I29</f>
        <v>4.050632911</v>
      </c>
      <c r="E60" s="243">
        <f>E61/'Model Assumptions'!J29</f>
        <v>4.050632911</v>
      </c>
      <c r="F60" s="243">
        <f>F61/'Model Assumptions'!K29</f>
        <v>4.050632911</v>
      </c>
      <c r="G60" s="243">
        <f>G61/'Model Assumptions'!L29</f>
        <v>4.050632911</v>
      </c>
      <c r="H60" s="243">
        <f>H61/'Model Assumptions'!M29</f>
        <v>5.82278481</v>
      </c>
      <c r="I60" s="243">
        <f>I61/'Model Assumptions'!N29</f>
        <v>7.341772152</v>
      </c>
      <c r="J60" s="243">
        <f>J61/'Model Assumptions'!O29</f>
        <v>8.101265823</v>
      </c>
      <c r="K60" s="243">
        <f>K61/'Model Assumptions'!P29</f>
        <v>9.873417722</v>
      </c>
      <c r="L60" s="243">
        <f>L61/'Model Assumptions'!Q29</f>
        <v>10.88607595</v>
      </c>
      <c r="M60" s="243">
        <f>M61/'Model Assumptions'!R29</f>
        <v>10.88607595</v>
      </c>
    </row>
    <row r="61" ht="15.75" customHeight="1">
      <c r="A61" s="193" t="s">
        <v>139</v>
      </c>
      <c r="B61" s="243">
        <f>B29*'Model Assumptions'!G17</f>
        <v>3.2</v>
      </c>
      <c r="C61" s="243">
        <f>C29*'Model Assumptions'!H17</f>
        <v>3.2</v>
      </c>
      <c r="D61" s="243">
        <f>D29*'Model Assumptions'!I17</f>
        <v>3.2</v>
      </c>
      <c r="E61" s="243">
        <f>E29*'Model Assumptions'!J17</f>
        <v>3.2</v>
      </c>
      <c r="F61" s="243">
        <f>F29*'Model Assumptions'!K17</f>
        <v>3.2</v>
      </c>
      <c r="G61" s="243">
        <f>G29*'Model Assumptions'!L17</f>
        <v>3.2</v>
      </c>
      <c r="H61" s="243">
        <f>H29*'Model Assumptions'!M17</f>
        <v>4.6</v>
      </c>
      <c r="I61" s="243">
        <f>I29*'Model Assumptions'!N17</f>
        <v>5.8</v>
      </c>
      <c r="J61" s="243">
        <f>J29*'Model Assumptions'!O17</f>
        <v>6.4</v>
      </c>
      <c r="K61" s="243">
        <f>K29*'Model Assumptions'!P17</f>
        <v>7.8</v>
      </c>
      <c r="L61" s="243">
        <f>L29*'Model Assumptions'!Q17</f>
        <v>8.6</v>
      </c>
      <c r="M61" s="243">
        <f>M29*'Model Assumptions'!R17</f>
        <v>8.6</v>
      </c>
    </row>
    <row r="62" ht="15.75" customHeight="1">
      <c r="A62" s="193"/>
      <c r="B62" s="243"/>
      <c r="C62" s="243"/>
      <c r="D62" s="243"/>
      <c r="E62" s="243"/>
      <c r="F62" s="243"/>
      <c r="G62" s="243"/>
      <c r="H62" s="243"/>
      <c r="I62" s="243"/>
      <c r="J62" s="243"/>
      <c r="K62" s="243"/>
      <c r="L62" s="243"/>
      <c r="M62" s="243"/>
    </row>
    <row r="63" ht="15.75" customHeight="1">
      <c r="A63" s="248" t="s">
        <v>142</v>
      </c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  <c r="M63" s="243"/>
    </row>
    <row r="64" ht="15.75" customHeight="1">
      <c r="A64" s="249" t="s">
        <v>151</v>
      </c>
      <c r="B64" s="252">
        <f t="shared" ref="B64:M64" si="15">IFERROR(B82/B59,"")</f>
        <v>24.61538462</v>
      </c>
      <c r="C64" s="252">
        <f t="shared" si="15"/>
        <v>24.61538462</v>
      </c>
      <c r="D64" s="252">
        <f t="shared" si="15"/>
        <v>24.61538462</v>
      </c>
      <c r="E64" s="252">
        <f t="shared" si="15"/>
        <v>24.61538462</v>
      </c>
      <c r="F64" s="252">
        <f t="shared" si="15"/>
        <v>24.61538462</v>
      </c>
      <c r="G64" s="252">
        <f t="shared" si="15"/>
        <v>24.61538462</v>
      </c>
      <c r="H64" s="252">
        <f t="shared" si="15"/>
        <v>24.61538462</v>
      </c>
      <c r="I64" s="252">
        <f t="shared" si="15"/>
        <v>24.61538462</v>
      </c>
      <c r="J64" s="252">
        <f t="shared" si="15"/>
        <v>24.61538462</v>
      </c>
      <c r="K64" s="252">
        <f t="shared" si="15"/>
        <v>24.61538462</v>
      </c>
      <c r="L64" s="252">
        <f t="shared" si="15"/>
        <v>24.61538462</v>
      </c>
      <c r="M64" s="252">
        <f t="shared" si="15"/>
        <v>24.61538462</v>
      </c>
    </row>
    <row r="65" ht="15.75" customHeight="1">
      <c r="A65" s="249" t="s">
        <v>152</v>
      </c>
      <c r="B65" s="252">
        <f t="shared" ref="B65:M65" si="16">IFERROR(B82/B61,"")</f>
        <v>69.24158823</v>
      </c>
      <c r="C65" s="252">
        <f t="shared" si="16"/>
        <v>69.24158823</v>
      </c>
      <c r="D65" s="252">
        <f t="shared" si="16"/>
        <v>69.24158823</v>
      </c>
      <c r="E65" s="252">
        <f t="shared" si="16"/>
        <v>69.24158823</v>
      </c>
      <c r="F65" s="252">
        <f t="shared" si="16"/>
        <v>69.24158823</v>
      </c>
      <c r="G65" s="252">
        <f t="shared" si="16"/>
        <v>69.24158823</v>
      </c>
      <c r="H65" s="252">
        <f t="shared" si="16"/>
        <v>69.24158823</v>
      </c>
      <c r="I65" s="252">
        <f t="shared" si="16"/>
        <v>69.24158823</v>
      </c>
      <c r="J65" s="252">
        <f t="shared" si="16"/>
        <v>69.24158823</v>
      </c>
      <c r="K65" s="252">
        <f t="shared" si="16"/>
        <v>69.24158823</v>
      </c>
      <c r="L65" s="252">
        <f t="shared" si="16"/>
        <v>69.24158823</v>
      </c>
      <c r="M65" s="252">
        <f t="shared" si="16"/>
        <v>69.24158823</v>
      </c>
    </row>
    <row r="66" ht="15.75" customHeight="1">
      <c r="A66" s="203" t="s">
        <v>153</v>
      </c>
      <c r="B66" s="246">
        <f t="shared" ref="B66:M66" si="17">B59/B19</f>
        <v>4.500703235</v>
      </c>
      <c r="C66" s="246">
        <f t="shared" si="17"/>
        <v>4.500703235</v>
      </c>
      <c r="D66" s="246">
        <f t="shared" si="17"/>
        <v>4.500703235</v>
      </c>
      <c r="E66" s="246">
        <f t="shared" si="17"/>
        <v>4.500703235</v>
      </c>
      <c r="F66" s="246">
        <f t="shared" si="17"/>
        <v>4.500703235</v>
      </c>
      <c r="G66" s="246">
        <f t="shared" si="17"/>
        <v>4.500703235</v>
      </c>
      <c r="H66" s="246">
        <f t="shared" si="17"/>
        <v>5.625879044</v>
      </c>
      <c r="I66" s="246">
        <f t="shared" si="17"/>
        <v>5.625879044</v>
      </c>
      <c r="J66" s="246">
        <f t="shared" si="17"/>
        <v>5.625879044</v>
      </c>
      <c r="K66" s="246">
        <f t="shared" si="17"/>
        <v>5.625879044</v>
      </c>
      <c r="L66" s="246">
        <f t="shared" si="17"/>
        <v>5.625879044</v>
      </c>
      <c r="M66" s="246">
        <f t="shared" si="17"/>
        <v>5.625879044</v>
      </c>
    </row>
    <row r="67" ht="15.75" customHeight="1">
      <c r="A67" s="203" t="s">
        <v>154</v>
      </c>
      <c r="B67" s="246">
        <f t="shared" ref="B67:M67" si="18">B61/B19</f>
        <v>1.6</v>
      </c>
      <c r="C67" s="246">
        <f t="shared" si="18"/>
        <v>1.6</v>
      </c>
      <c r="D67" s="246">
        <f t="shared" si="18"/>
        <v>1.6</v>
      </c>
      <c r="E67" s="246">
        <f t="shared" si="18"/>
        <v>1.6</v>
      </c>
      <c r="F67" s="246">
        <f t="shared" si="18"/>
        <v>1.6</v>
      </c>
      <c r="G67" s="246">
        <f t="shared" si="18"/>
        <v>1.6</v>
      </c>
      <c r="H67" s="246">
        <f t="shared" si="18"/>
        <v>2</v>
      </c>
      <c r="I67" s="246">
        <f t="shared" si="18"/>
        <v>2</v>
      </c>
      <c r="J67" s="246">
        <f t="shared" si="18"/>
        <v>2</v>
      </c>
      <c r="K67" s="246">
        <f t="shared" si="18"/>
        <v>2</v>
      </c>
      <c r="L67" s="246">
        <f t="shared" si="18"/>
        <v>2</v>
      </c>
      <c r="M67" s="246">
        <f t="shared" si="18"/>
        <v>2</v>
      </c>
    </row>
    <row r="68" ht="15.75" customHeight="1" outlineLevel="1">
      <c r="A68" s="253"/>
      <c r="B68" s="254"/>
      <c r="C68" s="254"/>
      <c r="D68" s="254"/>
      <c r="E68" s="254"/>
      <c r="F68" s="254"/>
      <c r="G68" s="254"/>
      <c r="H68" s="254"/>
      <c r="I68" s="254"/>
      <c r="J68" s="254"/>
      <c r="K68" s="254"/>
      <c r="L68" s="254"/>
      <c r="M68" s="254"/>
    </row>
    <row r="69" ht="15.75" customHeight="1" outlineLevel="1">
      <c r="A69" s="239" t="s">
        <v>155</v>
      </c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</row>
    <row r="70" ht="15.75" customHeight="1" outlineLevel="1">
      <c r="A70" s="193" t="s">
        <v>137</v>
      </c>
      <c r="B70" s="243">
        <f>B71/'Model Assumptions'!G43</f>
        <v>0</v>
      </c>
      <c r="C70" s="243">
        <f>C71/'Model Assumptions'!H43</f>
        <v>0</v>
      </c>
      <c r="D70" s="243">
        <f>D71/'Model Assumptions'!I43</f>
        <v>0</v>
      </c>
      <c r="E70" s="243">
        <f>E71/'Model Assumptions'!J43</f>
        <v>0</v>
      </c>
      <c r="F70" s="243">
        <f>F71/'Model Assumptions'!K43</f>
        <v>0</v>
      </c>
      <c r="G70" s="243">
        <f>G71/'Model Assumptions'!L43</f>
        <v>0</v>
      </c>
      <c r="H70" s="243">
        <f>H71/'Model Assumptions'!M43</f>
        <v>0</v>
      </c>
      <c r="I70" s="243">
        <f>I71/'Model Assumptions'!N43</f>
        <v>0</v>
      </c>
      <c r="J70" s="243">
        <f>J71/'Model Assumptions'!O43</f>
        <v>0</v>
      </c>
      <c r="K70" s="243">
        <f>K71/'Model Assumptions'!P43</f>
        <v>0</v>
      </c>
      <c r="L70" s="243">
        <f>L71/'Model Assumptions'!Q43</f>
        <v>0</v>
      </c>
      <c r="M70" s="243">
        <f>M71/'Model Assumptions'!R43</f>
        <v>0</v>
      </c>
    </row>
    <row r="71" ht="15.75" customHeight="1" outlineLevel="1">
      <c r="A71" s="193" t="s">
        <v>139</v>
      </c>
      <c r="B71" s="255">
        <f>B29*'Model Assumptions'!G19</f>
        <v>0</v>
      </c>
      <c r="C71" s="243">
        <f>C29*'Model Assumptions'!H19</f>
        <v>0</v>
      </c>
      <c r="D71" s="243">
        <f>D29*'Model Assumptions'!I19</f>
        <v>0</v>
      </c>
      <c r="E71" s="243">
        <f>E29*'Model Assumptions'!J19</f>
        <v>0</v>
      </c>
      <c r="F71" s="243">
        <f>F29*'Model Assumptions'!K19</f>
        <v>0</v>
      </c>
      <c r="G71" s="243">
        <f>G29*'Model Assumptions'!L19</f>
        <v>0</v>
      </c>
      <c r="H71" s="243">
        <f>H29*'Model Assumptions'!M19</f>
        <v>0</v>
      </c>
      <c r="I71" s="243">
        <f>I29*'Model Assumptions'!N19</f>
        <v>0</v>
      </c>
      <c r="J71" s="243">
        <f>J29*'Model Assumptions'!O19</f>
        <v>0</v>
      </c>
      <c r="K71" s="243">
        <f>K29*'Model Assumptions'!P19</f>
        <v>0</v>
      </c>
      <c r="L71" s="243">
        <f>L29*'Model Assumptions'!Q19</f>
        <v>0</v>
      </c>
      <c r="M71" s="243">
        <f>M29*'Model Assumptions'!R19</f>
        <v>0</v>
      </c>
    </row>
    <row r="72" ht="15.75" customHeight="1" outlineLevel="1">
      <c r="A72" s="193"/>
      <c r="B72" s="243"/>
      <c r="C72" s="243"/>
      <c r="D72" s="243"/>
      <c r="E72" s="243"/>
      <c r="F72" s="243"/>
      <c r="G72" s="243"/>
      <c r="H72" s="243"/>
      <c r="I72" s="243"/>
      <c r="J72" s="243"/>
      <c r="K72" s="243"/>
      <c r="L72" s="243"/>
      <c r="M72" s="243"/>
    </row>
    <row r="73" ht="15.75" customHeight="1" outlineLevel="1">
      <c r="A73" s="249" t="s">
        <v>156</v>
      </c>
      <c r="B73" s="252" t="str">
        <f t="shared" ref="B73:M73" si="19">B89/B70</f>
        <v>#DIV/0!</v>
      </c>
      <c r="C73" s="252" t="str">
        <f t="shared" si="19"/>
        <v>#DIV/0!</v>
      </c>
      <c r="D73" s="252" t="str">
        <f t="shared" si="19"/>
        <v>#DIV/0!</v>
      </c>
      <c r="E73" s="252" t="str">
        <f t="shared" si="19"/>
        <v>#DIV/0!</v>
      </c>
      <c r="F73" s="252" t="str">
        <f t="shared" si="19"/>
        <v>#DIV/0!</v>
      </c>
      <c r="G73" s="252" t="str">
        <f t="shared" si="19"/>
        <v>#DIV/0!</v>
      </c>
      <c r="H73" s="252" t="str">
        <f t="shared" si="19"/>
        <v>#DIV/0!</v>
      </c>
      <c r="I73" s="252" t="str">
        <f t="shared" si="19"/>
        <v>#DIV/0!</v>
      </c>
      <c r="J73" s="252" t="str">
        <f t="shared" si="19"/>
        <v>#DIV/0!</v>
      </c>
      <c r="K73" s="252" t="str">
        <f t="shared" si="19"/>
        <v>#DIV/0!</v>
      </c>
      <c r="L73" s="252" t="str">
        <f t="shared" si="19"/>
        <v>#DIV/0!</v>
      </c>
      <c r="M73" s="252" t="str">
        <f t="shared" si="19"/>
        <v>#DIV/0!</v>
      </c>
    </row>
    <row r="74" ht="15.75" customHeight="1" outlineLevel="1">
      <c r="A74" s="249" t="s">
        <v>157</v>
      </c>
      <c r="B74" s="252" t="str">
        <f t="shared" ref="B74:M74" si="20">B89/B71</f>
        <v>#DIV/0!</v>
      </c>
      <c r="C74" s="252" t="str">
        <f t="shared" si="20"/>
        <v>#DIV/0!</v>
      </c>
      <c r="D74" s="252" t="str">
        <f t="shared" si="20"/>
        <v>#DIV/0!</v>
      </c>
      <c r="E74" s="252" t="str">
        <f t="shared" si="20"/>
        <v>#DIV/0!</v>
      </c>
      <c r="F74" s="252" t="str">
        <f t="shared" si="20"/>
        <v>#DIV/0!</v>
      </c>
      <c r="G74" s="252" t="str">
        <f t="shared" si="20"/>
        <v>#DIV/0!</v>
      </c>
      <c r="H74" s="252" t="str">
        <f t="shared" si="20"/>
        <v>#DIV/0!</v>
      </c>
      <c r="I74" s="252" t="str">
        <f t="shared" si="20"/>
        <v>#DIV/0!</v>
      </c>
      <c r="J74" s="252" t="str">
        <f t="shared" si="20"/>
        <v>#DIV/0!</v>
      </c>
      <c r="K74" s="252" t="str">
        <f t="shared" si="20"/>
        <v>#DIV/0!</v>
      </c>
      <c r="L74" s="252" t="str">
        <f t="shared" si="20"/>
        <v>#DIV/0!</v>
      </c>
      <c r="M74" s="252" t="str">
        <f t="shared" si="20"/>
        <v>#DIV/0!</v>
      </c>
    </row>
    <row r="75" ht="15.75" customHeight="1" outlineLevel="1">
      <c r="A75" s="203" t="s">
        <v>158</v>
      </c>
      <c r="B75" s="246">
        <f t="shared" ref="B75:M75" si="21">B70/B19</f>
        <v>0</v>
      </c>
      <c r="C75" s="246">
        <f t="shared" si="21"/>
        <v>0</v>
      </c>
      <c r="D75" s="246">
        <f t="shared" si="21"/>
        <v>0</v>
      </c>
      <c r="E75" s="246">
        <f t="shared" si="21"/>
        <v>0</v>
      </c>
      <c r="F75" s="246">
        <f t="shared" si="21"/>
        <v>0</v>
      </c>
      <c r="G75" s="246">
        <f t="shared" si="21"/>
        <v>0</v>
      </c>
      <c r="H75" s="246">
        <f t="shared" si="21"/>
        <v>0</v>
      </c>
      <c r="I75" s="246">
        <f t="shared" si="21"/>
        <v>0</v>
      </c>
      <c r="J75" s="246">
        <f t="shared" si="21"/>
        <v>0</v>
      </c>
      <c r="K75" s="246">
        <f t="shared" si="21"/>
        <v>0</v>
      </c>
      <c r="L75" s="246">
        <f t="shared" si="21"/>
        <v>0</v>
      </c>
      <c r="M75" s="246">
        <f t="shared" si="21"/>
        <v>0</v>
      </c>
    </row>
    <row r="76" ht="15.75" customHeight="1" outlineLevel="1">
      <c r="A76" s="203" t="s">
        <v>159</v>
      </c>
      <c r="B76" s="246">
        <f t="shared" ref="B76:M76" si="22">B71/B19</f>
        <v>0</v>
      </c>
      <c r="C76" s="246">
        <f t="shared" si="22"/>
        <v>0</v>
      </c>
      <c r="D76" s="246">
        <f t="shared" si="22"/>
        <v>0</v>
      </c>
      <c r="E76" s="246">
        <f t="shared" si="22"/>
        <v>0</v>
      </c>
      <c r="F76" s="246">
        <f t="shared" si="22"/>
        <v>0</v>
      </c>
      <c r="G76" s="246">
        <f t="shared" si="22"/>
        <v>0</v>
      </c>
      <c r="H76" s="246">
        <f t="shared" si="22"/>
        <v>0</v>
      </c>
      <c r="I76" s="246">
        <f t="shared" si="22"/>
        <v>0</v>
      </c>
      <c r="J76" s="246">
        <f t="shared" si="22"/>
        <v>0</v>
      </c>
      <c r="K76" s="246">
        <f t="shared" si="22"/>
        <v>0</v>
      </c>
      <c r="L76" s="246">
        <f t="shared" si="22"/>
        <v>0</v>
      </c>
      <c r="M76" s="246">
        <f t="shared" si="22"/>
        <v>0</v>
      </c>
    </row>
    <row r="77" ht="15.75" customHeight="1" outlineLevel="1">
      <c r="A77" s="193"/>
      <c r="B77" s="243"/>
      <c r="C77" s="243"/>
      <c r="D77" s="243"/>
      <c r="E77" s="243"/>
      <c r="F77" s="243"/>
      <c r="G77" s="243"/>
      <c r="H77" s="243"/>
      <c r="I77" s="243"/>
      <c r="J77" s="243"/>
      <c r="K77" s="243"/>
      <c r="L77" s="243"/>
      <c r="M77" s="243"/>
    </row>
    <row r="78" ht="15.75" customHeight="1" outlineLevel="1">
      <c r="A78" s="193"/>
      <c r="B78" s="243"/>
      <c r="C78" s="243"/>
      <c r="D78" s="243"/>
      <c r="E78" s="243"/>
      <c r="F78" s="243"/>
      <c r="G78" s="243"/>
      <c r="H78" s="243"/>
      <c r="I78" s="243"/>
      <c r="J78" s="243"/>
      <c r="K78" s="243"/>
      <c r="L78" s="243"/>
      <c r="M78" s="243"/>
    </row>
    <row r="79" ht="15.75" customHeight="1" outlineLevel="1">
      <c r="A79" s="193"/>
      <c r="B79" s="243"/>
      <c r="C79" s="243"/>
      <c r="D79" s="243"/>
      <c r="E79" s="243"/>
      <c r="F79" s="243"/>
      <c r="G79" s="243"/>
      <c r="H79" s="243"/>
      <c r="I79" s="243"/>
      <c r="J79" s="243"/>
      <c r="K79" s="243"/>
      <c r="L79" s="243"/>
      <c r="M79" s="243"/>
    </row>
    <row r="80" ht="15.75" customHeight="1">
      <c r="A80" s="232" t="s">
        <v>160</v>
      </c>
      <c r="B80" s="222"/>
      <c r="C80" s="222"/>
      <c r="D80" s="222"/>
      <c r="E80" s="222"/>
      <c r="F80" s="222"/>
      <c r="G80" s="222"/>
      <c r="H80" s="222"/>
      <c r="I80" s="222"/>
      <c r="J80" s="222"/>
      <c r="K80" s="222"/>
      <c r="L80" s="222"/>
      <c r="M80" s="222"/>
    </row>
    <row r="81" ht="15.75" customHeight="1">
      <c r="A81" s="256" t="s">
        <v>75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</row>
    <row r="82">
      <c r="A82" s="193" t="s">
        <v>161</v>
      </c>
      <c r="B82" s="252">
        <f>'Model Assumptions'!G30*B58</f>
        <v>221.5730823</v>
      </c>
      <c r="C82" s="252">
        <f>'Model Assumptions'!H30*C58</f>
        <v>221.5730823</v>
      </c>
      <c r="D82" s="252">
        <f>'Model Assumptions'!I30*D58</f>
        <v>221.5730823</v>
      </c>
      <c r="E82" s="252">
        <f>'Model Assumptions'!J30*E58</f>
        <v>221.5730823</v>
      </c>
      <c r="F82" s="252">
        <f>'Model Assumptions'!K30*F58</f>
        <v>221.5730823</v>
      </c>
      <c r="G82" s="252">
        <f>'Model Assumptions'!L30*G58</f>
        <v>221.5730823</v>
      </c>
      <c r="H82" s="252">
        <f>'Model Assumptions'!M30*H58</f>
        <v>318.5113059</v>
      </c>
      <c r="I82" s="252">
        <f>'Model Assumptions'!N30*I58</f>
        <v>401.6012117</v>
      </c>
      <c r="J82" s="252">
        <f>'Model Assumptions'!O30*J58</f>
        <v>443.1461647</v>
      </c>
      <c r="K82" s="252">
        <f>'Model Assumptions'!P30*K58</f>
        <v>540.0843882</v>
      </c>
      <c r="L82" s="252">
        <f>'Model Assumptions'!Q30*L58</f>
        <v>595.4776588</v>
      </c>
      <c r="M82" s="252">
        <f>'Model Assumptions'!R30*M58</f>
        <v>595.4776588</v>
      </c>
    </row>
    <row r="83" ht="17.25" customHeight="1">
      <c r="A83" s="244" t="s">
        <v>162</v>
      </c>
      <c r="B83" s="193">
        <f>'Model Assumptions'!G51*1000</f>
        <v>15000</v>
      </c>
      <c r="C83" s="193">
        <f>'Model Assumptions'!H51*1000</f>
        <v>15000</v>
      </c>
      <c r="D83" s="193">
        <f>'Model Assumptions'!I51*1000</f>
        <v>15000</v>
      </c>
      <c r="E83" s="193">
        <f>'Model Assumptions'!J51*1000</f>
        <v>15000</v>
      </c>
      <c r="F83" s="193">
        <f>'Model Assumptions'!K51*1000</f>
        <v>15000</v>
      </c>
      <c r="G83" s="193">
        <f>'Model Assumptions'!L51*1000</f>
        <v>15000</v>
      </c>
      <c r="H83" s="193">
        <f>'Model Assumptions'!M51*1000</f>
        <v>15000</v>
      </c>
      <c r="I83" s="193">
        <f>'Model Assumptions'!N51*1000</f>
        <v>15000</v>
      </c>
      <c r="J83" s="193">
        <f>'Model Assumptions'!O51*1000</f>
        <v>15000</v>
      </c>
      <c r="K83" s="193">
        <f>'Model Assumptions'!P51*1000</f>
        <v>15000</v>
      </c>
      <c r="L83" s="193">
        <f>'Model Assumptions'!Q51*1000</f>
        <v>15000</v>
      </c>
      <c r="M83" s="193">
        <f>'Model Assumptions'!R51*1000</f>
        <v>15000</v>
      </c>
    </row>
    <row r="84" ht="17.25" customHeight="1">
      <c r="A84" s="244" t="s">
        <v>163</v>
      </c>
      <c r="B84" s="193"/>
      <c r="C84" s="193"/>
      <c r="D84" s="257"/>
      <c r="E84" s="257"/>
      <c r="F84" s="257"/>
      <c r="G84" s="257"/>
      <c r="H84" s="257"/>
      <c r="I84" s="257"/>
      <c r="J84" s="257"/>
      <c r="K84" s="257"/>
      <c r="L84" s="257"/>
      <c r="M84" s="257"/>
    </row>
    <row r="85" ht="15.75" customHeight="1">
      <c r="A85" s="256" t="s">
        <v>76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</row>
    <row r="86" ht="15.75" customHeight="1">
      <c r="A86" s="244" t="s">
        <v>164</v>
      </c>
      <c r="B86" s="252">
        <f>sum('Model Assumptions'!G50*1000)*B21</f>
        <v>8333.333333</v>
      </c>
      <c r="C86" s="252">
        <f>sum('Model Assumptions'!H50*1000)*C21</f>
        <v>8333.333333</v>
      </c>
      <c r="D86" s="252">
        <f>sum('Model Assumptions'!I50*1000)*D21</f>
        <v>8333.333333</v>
      </c>
      <c r="E86" s="252">
        <f>sum('Model Assumptions'!J50*1000)*E21</f>
        <v>8333.333333</v>
      </c>
      <c r="F86" s="252">
        <f>sum('Model Assumptions'!K50*1000)*F21</f>
        <v>8333.333333</v>
      </c>
      <c r="G86" s="252">
        <f>sum('Model Assumptions'!L50*1000)*G21</f>
        <v>16666.66667</v>
      </c>
      <c r="H86" s="252">
        <f>sum('Model Assumptions'!M50*1000)*H21</f>
        <v>16666.66667</v>
      </c>
      <c r="I86" s="252">
        <f>sum('Model Assumptions'!N50*1000)*I21</f>
        <v>16666.66667</v>
      </c>
      <c r="J86" s="252">
        <f>sum('Model Assumptions'!O50*1000)*J21</f>
        <v>16666.66667</v>
      </c>
      <c r="K86" s="252">
        <f>sum('Model Assumptions'!P50*1000)*K21</f>
        <v>16666.66667</v>
      </c>
      <c r="L86" s="252">
        <f>sum('Model Assumptions'!Q50*1000)*L21</f>
        <v>16666.66667</v>
      </c>
      <c r="M86" s="252">
        <f>sum('Model Assumptions'!R50*1000)*M21</f>
        <v>16666.66667</v>
      </c>
    </row>
    <row r="87" ht="11.25" customHeight="1">
      <c r="A87" s="256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</row>
    <row r="88" ht="15.75" customHeight="1">
      <c r="A88" s="256" t="s">
        <v>165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</row>
    <row r="89" ht="15.75" customHeight="1">
      <c r="A89" s="244" t="s">
        <v>166</v>
      </c>
      <c r="B89" s="252">
        <f>B70*'Model Assumptions'!E40</f>
        <v>0</v>
      </c>
      <c r="C89" s="252">
        <f>C70*'Model Assumptions'!F40</f>
        <v>0</v>
      </c>
      <c r="D89" s="252">
        <f>D70*'Model Assumptions'!G40</f>
        <v>0</v>
      </c>
      <c r="E89" s="252">
        <f>E70*'Model Assumptions'!H40</f>
        <v>0</v>
      </c>
      <c r="F89" s="252">
        <f>F70*'Model Assumptions'!I40</f>
        <v>0</v>
      </c>
      <c r="G89" s="252">
        <f>G70*'Model Assumptions'!J40</f>
        <v>0</v>
      </c>
      <c r="H89" s="252">
        <f>H70*'Model Assumptions'!K40</f>
        <v>0</v>
      </c>
      <c r="I89" s="252">
        <f>I70*'Model Assumptions'!L40</f>
        <v>0</v>
      </c>
      <c r="J89" s="252">
        <f>J70*'Model Assumptions'!M40</f>
        <v>0</v>
      </c>
      <c r="K89" s="252">
        <f>K70*'Model Assumptions'!N40</f>
        <v>0</v>
      </c>
      <c r="L89" s="252">
        <f>L70*'Model Assumptions'!O40</f>
        <v>0</v>
      </c>
      <c r="M89" s="252">
        <f>M70*'Model Assumptions'!P40</f>
        <v>0</v>
      </c>
    </row>
    <row r="90" ht="4.5" customHeight="1">
      <c r="A90" s="256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</row>
    <row r="91" ht="15.75" customHeight="1">
      <c r="A91" s="256" t="s">
        <v>167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</row>
    <row r="92" ht="15.75" customHeight="1">
      <c r="A92" s="244" t="s">
        <v>168</v>
      </c>
      <c r="B92" s="193">
        <f t="shared" ref="B92:M92" si="23">RoundUP(B19,0)</f>
        <v>2</v>
      </c>
      <c r="C92" s="193">
        <f t="shared" si="23"/>
        <v>2</v>
      </c>
      <c r="D92" s="193">
        <f t="shared" si="23"/>
        <v>2</v>
      </c>
      <c r="E92" s="193">
        <f t="shared" si="23"/>
        <v>2</v>
      </c>
      <c r="F92" s="193">
        <f t="shared" si="23"/>
        <v>2</v>
      </c>
      <c r="G92" s="193">
        <f t="shared" si="23"/>
        <v>2</v>
      </c>
      <c r="H92" s="193">
        <f t="shared" si="23"/>
        <v>3</v>
      </c>
      <c r="I92" s="193">
        <f t="shared" si="23"/>
        <v>3</v>
      </c>
      <c r="J92" s="193">
        <f t="shared" si="23"/>
        <v>4</v>
      </c>
      <c r="K92" s="193">
        <f t="shared" si="23"/>
        <v>4</v>
      </c>
      <c r="L92" s="193">
        <f t="shared" si="23"/>
        <v>5</v>
      </c>
      <c r="M92" s="193">
        <f t="shared" si="23"/>
        <v>5</v>
      </c>
    </row>
    <row r="93" ht="15.75" customHeight="1">
      <c r="A93" s="241" t="s">
        <v>167</v>
      </c>
      <c r="B93" s="258">
        <f>sum(B92*'Model Assumptions'!G48*1000)</f>
        <v>33333.33333</v>
      </c>
      <c r="C93" s="258">
        <f>sum(C92*'Model Assumptions'!H48*1000)</f>
        <v>33333.33333</v>
      </c>
      <c r="D93" s="258">
        <f>sum(D92*'Model Assumptions'!I48*1000)</f>
        <v>33333.33333</v>
      </c>
      <c r="E93" s="258">
        <f>sum(E92*'Model Assumptions'!J48*1000)</f>
        <v>33333.33333</v>
      </c>
      <c r="F93" s="258">
        <f>sum(F92*'Model Assumptions'!K48*1000)</f>
        <v>33333.33333</v>
      </c>
      <c r="G93" s="258">
        <f>sum(G92*'Model Assumptions'!L48*1000)</f>
        <v>33333.33333</v>
      </c>
      <c r="H93" s="258">
        <f>sum(H92*'Model Assumptions'!M48*1000)</f>
        <v>50000</v>
      </c>
      <c r="I93" s="258">
        <f>sum(I92*'Model Assumptions'!N48*1000)</f>
        <v>50000</v>
      </c>
      <c r="J93" s="258">
        <f>sum(J92*'Model Assumptions'!O48*1000)</f>
        <v>66666.66667</v>
      </c>
      <c r="K93" s="258">
        <f>sum(K92*'Model Assumptions'!P48*1000)</f>
        <v>66666.66667</v>
      </c>
      <c r="L93" s="258">
        <f>sum(L92*'Model Assumptions'!Q48*1000)</f>
        <v>83333.33333</v>
      </c>
      <c r="M93" s="258">
        <f>sum(M92*'Model Assumptions'!R48*1000)</f>
        <v>83333.33333</v>
      </c>
    </row>
    <row r="94" ht="4.5" customHeight="1">
      <c r="A94" s="256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</row>
    <row r="95" ht="15.75" customHeight="1">
      <c r="A95" s="259" t="s">
        <v>169</v>
      </c>
      <c r="B95" s="260">
        <f>SUM(B82+B82+B84+B86+B89+B93)+('Model Assumptions'!G49*B7*1000)</f>
        <v>42109.81283</v>
      </c>
      <c r="C95" s="260">
        <f>SUM(C82+C82+C84+C86+C89+C93)+('Model Assumptions'!H49*C7*1000)</f>
        <v>42109.81283</v>
      </c>
      <c r="D95" s="260">
        <f>SUM(D82+D82+D84+D86+D89+D93)+('Model Assumptions'!I49*D7*1000)</f>
        <v>42109.81283</v>
      </c>
      <c r="E95" s="260">
        <f>SUM(E82+E82+E84+E86+E89+E93)+('Model Assumptions'!J49*E7*1000)</f>
        <v>68776.4795</v>
      </c>
      <c r="F95" s="260">
        <f>SUM(F82+F82+F84+F86+F89+F93)+('Model Assumptions'!K49*F7*1000)</f>
        <v>68776.4795</v>
      </c>
      <c r="G95" s="260">
        <f>SUM(G82+G82+G84+G86+G89+G93)+('Model Assumptions'!L49*G7*1000)</f>
        <v>77109.81283</v>
      </c>
      <c r="H95" s="260">
        <f>SUM(H82+H82+H84+H86+H89+H93)+('Model Assumptions'!M49*H7*1000)</f>
        <v>93970.35595</v>
      </c>
      <c r="I95" s="260">
        <f>SUM(I82+I82+I84+I86+I89+I93)+('Model Assumptions'!N49*I7*1000)</f>
        <v>94136.53576</v>
      </c>
      <c r="J95" s="260">
        <f>SUM(J82+J82+J84+J86+J89+J93)+('Model Assumptions'!O49*J7*1000)</f>
        <v>110886.2923</v>
      </c>
      <c r="K95" s="260">
        <f>SUM(K82+K82+K84+K86+K89+K93)+('Model Assumptions'!P49*K7*1000)</f>
        <v>111080.1688</v>
      </c>
      <c r="L95" s="260">
        <f>SUM(L82+L82+L84+L86+L89+L93)+('Model Assumptions'!Q49*L7*1000)</f>
        <v>127857.622</v>
      </c>
      <c r="M95" s="260">
        <f>SUM(M82+M82+M84+M86+M89+M93)+('Model Assumptions'!R49*M7*1000)</f>
        <v>127857.622</v>
      </c>
    </row>
    <row r="96" ht="15.75" customHeight="1">
      <c r="A96" s="256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</row>
    <row r="97" ht="15.75" hidden="1" customHeight="1" outlineLevel="1">
      <c r="A97" s="261" t="s">
        <v>61</v>
      </c>
      <c r="B97" s="262"/>
      <c r="C97" s="262"/>
      <c r="D97" s="262"/>
      <c r="E97" s="262"/>
      <c r="F97" s="262"/>
      <c r="G97" s="262"/>
      <c r="H97" s="262"/>
      <c r="I97" s="262"/>
      <c r="J97" s="262"/>
      <c r="K97" s="262"/>
      <c r="L97" s="262"/>
      <c r="M97" s="262"/>
    </row>
    <row r="98" ht="15.75" hidden="1" customHeight="1" outlineLevel="1">
      <c r="A98" s="261" t="s">
        <v>170</v>
      </c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</row>
    <row r="99" ht="15.75" hidden="1" customHeight="1" outlineLevel="1">
      <c r="A99" s="261" t="s">
        <v>171</v>
      </c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</row>
    <row r="100" ht="15.75" hidden="1" customHeight="1" outlineLevel="1">
      <c r="A100" s="261" t="s">
        <v>172</v>
      </c>
      <c r="B100" s="263"/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</row>
    <row r="101" ht="15.75" hidden="1" customHeight="1" outlineLevel="1">
      <c r="A101" s="264" t="s">
        <v>160</v>
      </c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  <c r="M101" s="265"/>
    </row>
    <row r="102" ht="15.75" hidden="1" customHeight="1" outlineLevel="1">
      <c r="A102" s="261" t="s">
        <v>173</v>
      </c>
      <c r="B102" s="266"/>
      <c r="C102" s="266"/>
      <c r="D102" s="266"/>
      <c r="E102" s="266"/>
      <c r="F102" s="266"/>
      <c r="G102" s="266"/>
      <c r="H102" s="266"/>
      <c r="I102" s="266"/>
      <c r="J102" s="266"/>
      <c r="K102" s="266"/>
      <c r="L102" s="266"/>
      <c r="M102" s="266"/>
    </row>
    <row r="103" ht="15.75" hidden="1" customHeight="1" outlineLevel="1">
      <c r="A103" s="261" t="s">
        <v>174</v>
      </c>
      <c r="B103" s="266"/>
      <c r="C103" s="266"/>
      <c r="D103" s="266"/>
      <c r="E103" s="266"/>
      <c r="F103" s="266"/>
      <c r="G103" s="266"/>
      <c r="H103" s="266"/>
      <c r="I103" s="266"/>
      <c r="J103" s="266"/>
      <c r="K103" s="266"/>
      <c r="L103" s="266"/>
      <c r="M103" s="266"/>
    </row>
    <row r="104" ht="15.75" hidden="1" customHeight="1" outlineLevel="1">
      <c r="A104" s="261"/>
      <c r="B104" s="267"/>
      <c r="C104" s="267"/>
      <c r="D104" s="267"/>
      <c r="E104" s="267"/>
      <c r="F104" s="267"/>
      <c r="G104" s="267"/>
      <c r="H104" s="267"/>
      <c r="I104" s="267"/>
      <c r="J104" s="267"/>
      <c r="K104" s="267"/>
      <c r="L104" s="267"/>
      <c r="M104" s="267"/>
    </row>
    <row r="105" ht="15.75" hidden="1" customHeight="1" outlineLevel="1">
      <c r="A105" s="268" t="s">
        <v>76</v>
      </c>
      <c r="B105" s="267"/>
      <c r="C105" s="267"/>
      <c r="D105" s="267"/>
      <c r="E105" s="267"/>
      <c r="F105" s="267"/>
      <c r="G105" s="267"/>
      <c r="H105" s="267"/>
      <c r="I105" s="267"/>
      <c r="J105" s="267"/>
      <c r="K105" s="267"/>
      <c r="L105" s="267"/>
      <c r="M105" s="267"/>
    </row>
    <row r="106" ht="15.75" hidden="1" customHeight="1" outlineLevel="1">
      <c r="A106" s="261" t="s">
        <v>61</v>
      </c>
      <c r="B106" s="262"/>
      <c r="C106" s="262"/>
      <c r="D106" s="262"/>
      <c r="E106" s="262"/>
      <c r="F106" s="262"/>
      <c r="G106" s="262"/>
      <c r="H106" s="262"/>
      <c r="I106" s="262"/>
      <c r="J106" s="262"/>
      <c r="K106" s="262"/>
      <c r="L106" s="262"/>
      <c r="M106" s="262"/>
    </row>
    <row r="107" ht="15.75" hidden="1" customHeight="1" outlineLevel="1">
      <c r="A107" s="261" t="s">
        <v>170</v>
      </c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</row>
    <row r="108" ht="15.75" hidden="1" customHeight="1" outlineLevel="1">
      <c r="A108" s="261" t="s">
        <v>171</v>
      </c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</row>
    <row r="109" ht="15.75" hidden="1" customHeight="1" outlineLevel="1">
      <c r="A109" s="264" t="s">
        <v>160</v>
      </c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</row>
    <row r="110" ht="15.75" hidden="1" customHeight="1" outlineLevel="1">
      <c r="A110" s="261" t="s">
        <v>173</v>
      </c>
      <c r="B110" s="266"/>
      <c r="C110" s="266"/>
      <c r="D110" s="266"/>
      <c r="E110" s="266"/>
      <c r="F110" s="266"/>
      <c r="G110" s="266"/>
      <c r="H110" s="266"/>
      <c r="I110" s="266"/>
      <c r="J110" s="266"/>
      <c r="K110" s="266"/>
      <c r="L110" s="266"/>
      <c r="M110" s="266"/>
    </row>
    <row r="111" ht="15.75" hidden="1" customHeight="1" outlineLevel="1">
      <c r="A111" s="261" t="s">
        <v>174</v>
      </c>
      <c r="B111" s="266"/>
      <c r="C111" s="266"/>
      <c r="D111" s="266"/>
      <c r="E111" s="266"/>
      <c r="F111" s="266"/>
      <c r="G111" s="266"/>
      <c r="H111" s="266"/>
      <c r="I111" s="266"/>
      <c r="J111" s="266"/>
      <c r="K111" s="266"/>
      <c r="L111" s="266"/>
      <c r="M111" s="266"/>
    </row>
    <row r="112" ht="15.75" hidden="1" customHeight="1" outlineLevel="1">
      <c r="A112" s="261"/>
      <c r="B112" s="267"/>
      <c r="C112" s="267"/>
      <c r="D112" s="267"/>
      <c r="E112" s="267"/>
      <c r="F112" s="267"/>
      <c r="G112" s="267"/>
      <c r="H112" s="267"/>
      <c r="I112" s="267"/>
      <c r="J112" s="267"/>
      <c r="K112" s="267"/>
      <c r="L112" s="267"/>
      <c r="M112" s="267"/>
    </row>
    <row r="113" ht="15.75" hidden="1" customHeight="1" outlineLevel="1">
      <c r="A113" s="268" t="s">
        <v>175</v>
      </c>
      <c r="B113" s="267"/>
      <c r="C113" s="267"/>
      <c r="D113" s="267"/>
      <c r="E113" s="267"/>
      <c r="F113" s="267"/>
      <c r="G113" s="267"/>
      <c r="H113" s="267"/>
      <c r="I113" s="267"/>
      <c r="J113" s="267"/>
      <c r="K113" s="267"/>
      <c r="L113" s="267"/>
      <c r="M113" s="267"/>
    </row>
    <row r="114" ht="15.75" hidden="1" customHeight="1" outlineLevel="1">
      <c r="A114" s="268" t="s">
        <v>167</v>
      </c>
      <c r="B114" s="267"/>
      <c r="C114" s="267"/>
      <c r="D114" s="267"/>
      <c r="E114" s="267"/>
      <c r="F114" s="267"/>
      <c r="G114" s="267"/>
      <c r="H114" s="267"/>
      <c r="I114" s="267"/>
      <c r="J114" s="267"/>
      <c r="K114" s="267"/>
      <c r="L114" s="267"/>
      <c r="M114" s="267"/>
    </row>
    <row r="115" ht="15.75" hidden="1" customHeight="1" outlineLevel="1">
      <c r="A115" s="261"/>
      <c r="B115" s="267"/>
      <c r="C115" s="267"/>
      <c r="D115" s="267"/>
      <c r="E115" s="267"/>
      <c r="F115" s="267"/>
      <c r="G115" s="267"/>
      <c r="H115" s="267"/>
      <c r="I115" s="267"/>
      <c r="J115" s="267"/>
      <c r="K115" s="267"/>
      <c r="L115" s="267"/>
      <c r="M115" s="267"/>
    </row>
    <row r="116" ht="15.75" hidden="1" customHeight="1" outlineLevel="1">
      <c r="A116" s="269" t="s">
        <v>176</v>
      </c>
      <c r="B116" s="267"/>
      <c r="C116" s="267"/>
      <c r="D116" s="267"/>
      <c r="E116" s="267"/>
      <c r="F116" s="267"/>
      <c r="G116" s="267"/>
      <c r="H116" s="267"/>
      <c r="I116" s="267"/>
      <c r="J116" s="267"/>
      <c r="K116" s="267"/>
      <c r="L116" s="267"/>
      <c r="M116" s="267"/>
    </row>
    <row r="117" ht="15.75" hidden="1" customHeight="1" outlineLevel="1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</row>
    <row r="118" ht="15.75" customHeight="1" collapsed="1">
      <c r="A118" s="270" t="s">
        <v>177</v>
      </c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</row>
    <row r="119" ht="15.75" customHeight="1">
      <c r="A119" s="193" t="s">
        <v>61</v>
      </c>
      <c r="B119" s="272">
        <f>'Model Assumptions'!G14</f>
        <v>0.8</v>
      </c>
      <c r="C119" s="272">
        <f>'Model Assumptions'!H14</f>
        <v>0.8</v>
      </c>
      <c r="D119" s="272">
        <f>'Model Assumptions'!I14</f>
        <v>0.8</v>
      </c>
      <c r="E119" s="272">
        <f>'Model Assumptions'!J14</f>
        <v>0.8</v>
      </c>
      <c r="F119" s="272">
        <f>'Model Assumptions'!K14</f>
        <v>0.8</v>
      </c>
      <c r="G119" s="272">
        <f>'Model Assumptions'!L14</f>
        <v>0.8</v>
      </c>
      <c r="H119" s="272">
        <f>'Model Assumptions'!M14</f>
        <v>0.8</v>
      </c>
      <c r="I119" s="272">
        <f>'Model Assumptions'!N14</f>
        <v>0.8</v>
      </c>
      <c r="J119" s="272">
        <f>'Model Assumptions'!O14</f>
        <v>0.8</v>
      </c>
      <c r="K119" s="272">
        <f>'Model Assumptions'!P14</f>
        <v>0.8</v>
      </c>
      <c r="L119" s="272">
        <f>'Model Assumptions'!Q14</f>
        <v>0.8</v>
      </c>
      <c r="M119" s="272">
        <f>'Model Assumptions'!R14</f>
        <v>0.8</v>
      </c>
    </row>
    <row r="120" ht="15.75" customHeight="1">
      <c r="A120" s="193" t="s">
        <v>170</v>
      </c>
      <c r="B120" s="273">
        <f t="shared" ref="B120:M120" si="24">B27</f>
        <v>66000</v>
      </c>
      <c r="C120" s="273">
        <f t="shared" si="24"/>
        <v>66000</v>
      </c>
      <c r="D120" s="273">
        <f t="shared" si="24"/>
        <v>66000</v>
      </c>
      <c r="E120" s="273">
        <f t="shared" si="24"/>
        <v>96000</v>
      </c>
      <c r="F120" s="273">
        <f t="shared" si="24"/>
        <v>96000</v>
      </c>
      <c r="G120" s="273">
        <f t="shared" si="24"/>
        <v>96000</v>
      </c>
      <c r="H120" s="273">
        <f t="shared" si="24"/>
        <v>135375</v>
      </c>
      <c r="I120" s="273">
        <f t="shared" si="24"/>
        <v>169125</v>
      </c>
      <c r="J120" s="273">
        <f t="shared" si="24"/>
        <v>186000</v>
      </c>
      <c r="K120" s="273">
        <f t="shared" si="24"/>
        <v>225375</v>
      </c>
      <c r="L120" s="273">
        <f t="shared" si="24"/>
        <v>247875</v>
      </c>
      <c r="M120" s="273">
        <f t="shared" si="24"/>
        <v>247875</v>
      </c>
    </row>
    <row r="121" ht="15.75" customHeight="1">
      <c r="A121" s="193" t="s">
        <v>160</v>
      </c>
      <c r="B121" s="252">
        <f t="shared" ref="B121:M121" si="25">B95</f>
        <v>42109.81283</v>
      </c>
      <c r="C121" s="252">
        <f t="shared" si="25"/>
        <v>42109.81283</v>
      </c>
      <c r="D121" s="252">
        <f t="shared" si="25"/>
        <v>42109.81283</v>
      </c>
      <c r="E121" s="252">
        <f t="shared" si="25"/>
        <v>68776.4795</v>
      </c>
      <c r="F121" s="252">
        <f t="shared" si="25"/>
        <v>68776.4795</v>
      </c>
      <c r="G121" s="252">
        <f t="shared" si="25"/>
        <v>77109.81283</v>
      </c>
      <c r="H121" s="252">
        <f t="shared" si="25"/>
        <v>93970.35595</v>
      </c>
      <c r="I121" s="252">
        <f t="shared" si="25"/>
        <v>94136.53576</v>
      </c>
      <c r="J121" s="252">
        <f t="shared" si="25"/>
        <v>110886.2923</v>
      </c>
      <c r="K121" s="252">
        <f t="shared" si="25"/>
        <v>111080.1688</v>
      </c>
      <c r="L121" s="252">
        <f t="shared" si="25"/>
        <v>127857.622</v>
      </c>
      <c r="M121" s="252">
        <f t="shared" si="25"/>
        <v>127857.622</v>
      </c>
    </row>
    <row r="122" ht="15.75" customHeight="1">
      <c r="A122" s="193" t="s">
        <v>173</v>
      </c>
      <c r="B122" s="274">
        <f t="shared" ref="B122:M122" si="26">B119*B120/B121</f>
        <v>1.253864514</v>
      </c>
      <c r="C122" s="274">
        <f t="shared" si="26"/>
        <v>1.253864514</v>
      </c>
      <c r="D122" s="274">
        <f t="shared" si="26"/>
        <v>1.253864514</v>
      </c>
      <c r="E122" s="274">
        <f t="shared" si="26"/>
        <v>1.11666082</v>
      </c>
      <c r="F122" s="274">
        <f t="shared" si="26"/>
        <v>1.11666082</v>
      </c>
      <c r="G122" s="274">
        <f t="shared" si="26"/>
        <v>0.9959821867</v>
      </c>
      <c r="H122" s="274">
        <f t="shared" si="26"/>
        <v>1.152491112</v>
      </c>
      <c r="I122" s="274">
        <f t="shared" si="26"/>
        <v>1.43727405</v>
      </c>
      <c r="J122" s="274">
        <f t="shared" si="26"/>
        <v>1.34191519</v>
      </c>
      <c r="K122" s="274">
        <f t="shared" si="26"/>
        <v>1.623152017</v>
      </c>
      <c r="L122" s="274">
        <f t="shared" si="26"/>
        <v>1.550943909</v>
      </c>
      <c r="M122" s="274">
        <f t="shared" si="26"/>
        <v>1.550943909</v>
      </c>
    </row>
    <row r="123" ht="15.75" customHeight="1">
      <c r="A123" s="193" t="s">
        <v>174</v>
      </c>
      <c r="B123" s="274">
        <f t="shared" ref="B123:M123" si="27">1/B122*12</f>
        <v>9.570412007</v>
      </c>
      <c r="C123" s="274">
        <f t="shared" si="27"/>
        <v>9.570412007</v>
      </c>
      <c r="D123" s="274">
        <f t="shared" si="27"/>
        <v>9.570412007</v>
      </c>
      <c r="E123" s="274">
        <f t="shared" si="27"/>
        <v>10.74632492</v>
      </c>
      <c r="F123" s="274">
        <f t="shared" si="27"/>
        <v>10.74632492</v>
      </c>
      <c r="G123" s="274">
        <f t="shared" si="27"/>
        <v>12.04840825</v>
      </c>
      <c r="H123" s="274">
        <f t="shared" si="27"/>
        <v>10.41222781</v>
      </c>
      <c r="I123" s="274">
        <f t="shared" si="27"/>
        <v>8.349138426</v>
      </c>
      <c r="J123" s="274">
        <f t="shared" si="27"/>
        <v>8.94244293</v>
      </c>
      <c r="K123" s="274">
        <f t="shared" si="27"/>
        <v>7.39302288</v>
      </c>
      <c r="L123" s="274">
        <f t="shared" si="27"/>
        <v>7.737223721</v>
      </c>
      <c r="M123" s="274">
        <f t="shared" si="27"/>
        <v>7.737223721</v>
      </c>
    </row>
    <row r="124" ht="15.75" customHeight="1">
      <c r="A124" s="244" t="s">
        <v>178</v>
      </c>
      <c r="B124" s="275">
        <f t="shared" ref="B124:M124" si="28">B95/B120</f>
        <v>0.6380274671</v>
      </c>
      <c r="C124" s="275">
        <f t="shared" si="28"/>
        <v>0.6380274671</v>
      </c>
      <c r="D124" s="275">
        <f t="shared" si="28"/>
        <v>0.6380274671</v>
      </c>
      <c r="E124" s="275">
        <f t="shared" si="28"/>
        <v>0.7164216614</v>
      </c>
      <c r="F124" s="275">
        <f t="shared" si="28"/>
        <v>0.7164216614</v>
      </c>
      <c r="G124" s="275">
        <f t="shared" si="28"/>
        <v>0.803227217</v>
      </c>
      <c r="H124" s="275">
        <f t="shared" si="28"/>
        <v>0.6941485204</v>
      </c>
      <c r="I124" s="275">
        <f t="shared" si="28"/>
        <v>0.5566092284</v>
      </c>
      <c r="J124" s="275">
        <f t="shared" si="28"/>
        <v>0.596162862</v>
      </c>
      <c r="K124" s="275">
        <f t="shared" si="28"/>
        <v>0.492868192</v>
      </c>
      <c r="L124" s="275">
        <f t="shared" si="28"/>
        <v>0.5158149147</v>
      </c>
      <c r="M124" s="275">
        <f t="shared" si="28"/>
        <v>0.5158149147</v>
      </c>
    </row>
    <row r="125" ht="15.75" customHeight="1">
      <c r="A125" s="276" t="s">
        <v>44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  <c r="L125" s="277"/>
      <c r="M125" s="278"/>
    </row>
    <row r="126" ht="15.75" customHeight="1">
      <c r="A126" s="193" t="s">
        <v>179</v>
      </c>
      <c r="B126" s="243">
        <f t="shared" ref="B126:M126" si="29">B39/B92</f>
        <v>5.625879044</v>
      </c>
      <c r="C126" s="243">
        <f t="shared" si="29"/>
        <v>5.625879044</v>
      </c>
      <c r="D126" s="243">
        <f t="shared" si="29"/>
        <v>5.625879044</v>
      </c>
      <c r="E126" s="243">
        <f t="shared" si="29"/>
        <v>5.625879044</v>
      </c>
      <c r="F126" s="243">
        <f t="shared" si="29"/>
        <v>5.625879044</v>
      </c>
      <c r="G126" s="243">
        <f t="shared" si="29"/>
        <v>5.625879044</v>
      </c>
      <c r="H126" s="243">
        <f t="shared" si="29"/>
        <v>5.391467417</v>
      </c>
      <c r="I126" s="243">
        <f t="shared" si="29"/>
        <v>6.797937178</v>
      </c>
      <c r="J126" s="243">
        <f t="shared" si="29"/>
        <v>5.625879044</v>
      </c>
      <c r="K126" s="243">
        <f t="shared" si="29"/>
        <v>6.856540084</v>
      </c>
      <c r="L126" s="243">
        <f t="shared" si="29"/>
        <v>6.047819972</v>
      </c>
      <c r="M126" s="243">
        <f t="shared" si="29"/>
        <v>6.047819972</v>
      </c>
    </row>
    <row r="127" ht="15.75" customHeight="1">
      <c r="A127" s="193" t="s">
        <v>180</v>
      </c>
      <c r="B127" s="255">
        <f t="shared" ref="B127:M127" si="30">B29/B19</f>
        <v>2</v>
      </c>
      <c r="C127" s="255">
        <f t="shared" si="30"/>
        <v>2</v>
      </c>
      <c r="D127" s="255">
        <f t="shared" si="30"/>
        <v>2</v>
      </c>
      <c r="E127" s="255">
        <f t="shared" si="30"/>
        <v>2</v>
      </c>
      <c r="F127" s="255">
        <f t="shared" si="30"/>
        <v>2</v>
      </c>
      <c r="G127" s="255">
        <f t="shared" si="30"/>
        <v>2</v>
      </c>
      <c r="H127" s="255">
        <f t="shared" si="30"/>
        <v>2.5</v>
      </c>
      <c r="I127" s="255">
        <f t="shared" si="30"/>
        <v>2.5</v>
      </c>
      <c r="J127" s="255">
        <f t="shared" si="30"/>
        <v>2.5</v>
      </c>
      <c r="K127" s="255">
        <f t="shared" si="30"/>
        <v>2.5</v>
      </c>
      <c r="L127" s="255">
        <f t="shared" si="30"/>
        <v>2.5</v>
      </c>
      <c r="M127" s="255">
        <f t="shared" si="30"/>
        <v>2.5</v>
      </c>
    </row>
    <row r="128" ht="15.75" customHeight="1">
      <c r="A128" s="193" t="s">
        <v>181</v>
      </c>
      <c r="B128" s="252">
        <f t="shared" ref="B128:M128" si="31">B30/B29</f>
        <v>15000</v>
      </c>
      <c r="C128" s="252">
        <f t="shared" si="31"/>
        <v>15000</v>
      </c>
      <c r="D128" s="252">
        <f t="shared" si="31"/>
        <v>15000</v>
      </c>
      <c r="E128" s="252">
        <f t="shared" si="31"/>
        <v>22500</v>
      </c>
      <c r="F128" s="252">
        <f t="shared" si="31"/>
        <v>22500</v>
      </c>
      <c r="G128" s="252">
        <f t="shared" si="31"/>
        <v>22500</v>
      </c>
      <c r="H128" s="252">
        <f t="shared" si="31"/>
        <v>22500</v>
      </c>
      <c r="I128" s="252">
        <f t="shared" si="31"/>
        <v>22500</v>
      </c>
      <c r="J128" s="252">
        <f t="shared" si="31"/>
        <v>22500</v>
      </c>
      <c r="K128" s="252">
        <f t="shared" si="31"/>
        <v>22500</v>
      </c>
      <c r="L128" s="252">
        <f t="shared" si="31"/>
        <v>22500</v>
      </c>
      <c r="M128" s="252">
        <f t="shared" si="31"/>
        <v>22500</v>
      </c>
    </row>
    <row r="129" ht="15.75" customHeight="1">
      <c r="A129" s="209" t="s">
        <v>182</v>
      </c>
      <c r="B129" s="252">
        <f t="shared" ref="B129:M129" si="32">B95/B39</f>
        <v>3742.509615</v>
      </c>
      <c r="C129" s="252">
        <f t="shared" si="32"/>
        <v>3742.509615</v>
      </c>
      <c r="D129" s="252">
        <f t="shared" si="32"/>
        <v>3742.509615</v>
      </c>
      <c r="E129" s="252">
        <f t="shared" si="32"/>
        <v>6112.509615</v>
      </c>
      <c r="F129" s="252">
        <f t="shared" si="32"/>
        <v>6112.509615</v>
      </c>
      <c r="G129" s="252">
        <f t="shared" si="32"/>
        <v>6853.134615</v>
      </c>
      <c r="H129" s="252">
        <f t="shared" si="32"/>
        <v>5809.819398</v>
      </c>
      <c r="I129" s="252">
        <f t="shared" si="32"/>
        <v>4615.93634</v>
      </c>
      <c r="J129" s="252">
        <f t="shared" si="32"/>
        <v>4927.509615</v>
      </c>
      <c r="K129" s="252">
        <f t="shared" si="32"/>
        <v>4050.153846</v>
      </c>
      <c r="L129" s="252">
        <f t="shared" si="32"/>
        <v>4228.221825</v>
      </c>
      <c r="M129" s="252">
        <f t="shared" si="32"/>
        <v>4228.221825</v>
      </c>
    </row>
    <row r="130" ht="15.75" customHeight="1">
      <c r="A130" s="193" t="s">
        <v>183</v>
      </c>
      <c r="B130" s="252">
        <f t="shared" ref="B130:M130" si="33">B95/B29</f>
        <v>10527.45321</v>
      </c>
      <c r="C130" s="252">
        <f t="shared" si="33"/>
        <v>10527.45321</v>
      </c>
      <c r="D130" s="252">
        <f t="shared" si="33"/>
        <v>10527.45321</v>
      </c>
      <c r="E130" s="252">
        <f t="shared" si="33"/>
        <v>17194.11987</v>
      </c>
      <c r="F130" s="252">
        <f t="shared" si="33"/>
        <v>17194.11987</v>
      </c>
      <c r="G130" s="252">
        <f t="shared" si="33"/>
        <v>19277.45321</v>
      </c>
      <c r="H130" s="252">
        <f t="shared" si="33"/>
        <v>16342.6706</v>
      </c>
      <c r="I130" s="252">
        <f t="shared" si="33"/>
        <v>12984.34976</v>
      </c>
      <c r="J130" s="252">
        <f t="shared" si="33"/>
        <v>13860.78654</v>
      </c>
      <c r="K130" s="252">
        <f t="shared" si="33"/>
        <v>11392.83782</v>
      </c>
      <c r="L130" s="252">
        <f t="shared" si="33"/>
        <v>11893.73228</v>
      </c>
      <c r="M130" s="252">
        <f t="shared" si="33"/>
        <v>11893.73228</v>
      </c>
    </row>
    <row r="131" ht="15.75" customHeight="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</row>
    <row r="132" ht="15.75" customHeight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</row>
    <row r="133" ht="15.75" customHeight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</row>
    <row r="134" ht="15.75" customHeight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</row>
    <row r="135" ht="15.75" customHeight="1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</row>
    <row r="136" ht="15.75" customHeight="1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</row>
    <row r="137" ht="15.75" customHeight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</row>
    <row r="138" ht="15.75" customHeight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</row>
    <row r="139" ht="15.75" customHeight="1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</row>
    <row r="140" ht="15.75" customHeight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</row>
    <row r="141" ht="15.75" customHeight="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</row>
    <row r="142" ht="15.75" customHeight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</row>
    <row r="143" ht="15.75" customHeight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</row>
    <row r="144" ht="15.75" customHeight="1">
      <c r="A144" s="193"/>
      <c r="B144" s="193"/>
      <c r="C144" s="193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</row>
    <row r="145" ht="15.75" customHeight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</row>
    <row r="146" ht="15.75" customHeight="1">
      <c r="A146" s="193"/>
      <c r="B146" s="193"/>
      <c r="C146" s="193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</row>
    <row r="147" ht="15.75" customHeight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</row>
    <row r="148" ht="15.75" customHeight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</row>
    <row r="149" ht="15.75" customHeight="1">
      <c r="A149" s="193"/>
      <c r="B149" s="193"/>
      <c r="C149" s="193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</row>
    <row r="150" ht="15.75" customHeight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</row>
    <row r="151" ht="15.75" customHeight="1">
      <c r="A151" s="193"/>
      <c r="B151" s="193"/>
      <c r="C151" s="193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</row>
    <row r="152" ht="15.75" customHeight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</row>
    <row r="153" ht="15.75" customHeight="1">
      <c r="A153" s="193"/>
      <c r="B153" s="193"/>
      <c r="C153" s="193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</row>
    <row r="154" ht="15.75" customHeight="1">
      <c r="A154" s="193"/>
      <c r="B154" s="193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</row>
    <row r="155" ht="15.75" customHeight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</row>
    <row r="156" ht="15.75" customHeight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</row>
    <row r="157" ht="15.75" customHeight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</row>
    <row r="158" ht="15.75" customHeight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</row>
    <row r="159" ht="15.75" customHeight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</row>
    <row r="160" ht="15.75" customHeight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</row>
    <row r="161" ht="15.75" customHeight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</row>
    <row r="162" ht="15.75" customHeight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</row>
    <row r="163" ht="15.75" customHeight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</row>
    <row r="164" ht="15.75" customHeight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</row>
    <row r="165" ht="15.75" customHeight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</row>
    <row r="166" ht="15.75" customHeight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</row>
    <row r="167" ht="15.75" customHeight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</row>
    <row r="168" ht="15.75" customHeight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</row>
    <row r="169" ht="15.75" customHeight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</row>
    <row r="170" ht="15.75" customHeight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</row>
    <row r="171" ht="15.75" customHeight="1">
      <c r="A171" s="193"/>
      <c r="B171" s="193"/>
      <c r="C171" s="193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</row>
    <row r="172" ht="15.75" customHeight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</row>
    <row r="173" ht="15.75" customHeight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</row>
    <row r="174" ht="15.75" customHeight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</row>
    <row r="175" ht="15.75" customHeight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</row>
    <row r="176" ht="15.75" customHeight="1">
      <c r="A176" s="193"/>
      <c r="B176" s="193"/>
      <c r="C176" s="193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</row>
    <row r="177" ht="15.75" customHeight="1">
      <c r="A177" s="193"/>
      <c r="B177" s="193"/>
      <c r="C177" s="193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</row>
    <row r="178" ht="15.75" customHeight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</row>
    <row r="179" ht="15.75" customHeight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</row>
    <row r="180" ht="15.75" customHeight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</row>
    <row r="181" ht="15.75" customHeight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</row>
    <row r="182" ht="15.75" customHeight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</row>
    <row r="183" ht="15.75" customHeight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</row>
    <row r="184" ht="15.75" customHeight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</row>
    <row r="185" ht="15.75" customHeight="1">
      <c r="A185" s="193"/>
      <c r="B185" s="193"/>
      <c r="C185" s="193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</row>
    <row r="186" ht="15.75" customHeight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</row>
    <row r="187" ht="15.75" customHeight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</row>
    <row r="188" ht="15.75" customHeight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</row>
    <row r="189" ht="15.75" customHeight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</row>
    <row r="190" ht="15.75" customHeight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</row>
    <row r="191" ht="15.75" customHeight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</row>
    <row r="192" ht="15.75" customHeight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</row>
    <row r="193" ht="15.75" customHeight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</row>
    <row r="194" ht="15.75" customHeight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</row>
    <row r="195" ht="15.75" customHeight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</row>
    <row r="196" ht="15.75" customHeight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</row>
    <row r="197" ht="15.75" customHeight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</row>
    <row r="198" ht="15.75" customHeight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</row>
    <row r="199" ht="15.75" customHeight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</row>
    <row r="200" ht="15.75" customHeight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</row>
    <row r="201" ht="15.75" customHeight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</row>
    <row r="202" ht="15.75" customHeight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</row>
    <row r="203" ht="15.75" customHeight="1">
      <c r="A203" s="193"/>
      <c r="B203" s="193"/>
      <c r="C203" s="193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</row>
    <row r="204" ht="15.75" customHeight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</row>
    <row r="205" ht="15.75" customHeight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</row>
    <row r="206" ht="15.75" customHeight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</row>
    <row r="207" ht="15.75" customHeight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</row>
    <row r="208" ht="15.75" customHeight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</row>
    <row r="209" ht="15.75" customHeight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</row>
    <row r="210" ht="15.75" customHeight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</row>
    <row r="211" ht="15.75" customHeight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</row>
    <row r="212" ht="15.75" customHeight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</row>
    <row r="213" ht="15.75" customHeight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</row>
    <row r="214" ht="15.75" customHeight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</row>
    <row r="215" ht="15.75" customHeight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</row>
    <row r="216" ht="15.75" customHeight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</row>
    <row r="217" ht="15.75" customHeight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</row>
    <row r="218" ht="15.75" customHeight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</row>
    <row r="219" ht="15.75" customHeight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</row>
    <row r="220" ht="15.75" customHeight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</row>
    <row r="221" ht="15.75" customHeight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</row>
    <row r="222" ht="15.75" customHeight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</row>
    <row r="223" ht="15.75" customHeight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</row>
    <row r="224" ht="15.75" customHeight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</row>
    <row r="225" ht="15.75" customHeight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</row>
    <row r="226" ht="15.75" customHeight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</row>
    <row r="227" ht="15.75" customHeight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</row>
    <row r="228" ht="15.75" customHeight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</row>
    <row r="229" ht="15.75" customHeight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</row>
    <row r="230" ht="15.75" customHeight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</row>
    <row r="231" ht="15.75" customHeight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</row>
    <row r="232" ht="15.75" customHeight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</row>
    <row r="233" ht="15.75" customHeight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</row>
    <row r="234" ht="15.75" customHeight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</row>
    <row r="235" ht="15.75" customHeight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</row>
    <row r="236" ht="15.75" customHeight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</row>
    <row r="237" ht="15.75" customHeight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</row>
    <row r="238" ht="15.75" customHeight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</row>
    <row r="239" ht="15.75" customHeight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</row>
    <row r="240" ht="15.75" customHeight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</row>
    <row r="241" ht="15.75" customHeight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</row>
    <row r="242" ht="15.75" customHeight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</row>
    <row r="243" ht="15.75" customHeight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</row>
    <row r="244" ht="15.75" customHeight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</row>
    <row r="245" ht="15.75" customHeight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</row>
    <row r="246" ht="15.75" customHeight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</row>
    <row r="247" ht="15.75" customHeight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</row>
    <row r="248" ht="15.75" customHeight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</row>
    <row r="249" ht="15.75" customHeight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</row>
    <row r="250" ht="15.75" customHeight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</row>
    <row r="251" ht="15.75" customHeight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</row>
    <row r="252" ht="15.75" customHeight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</row>
    <row r="253" ht="15.75" customHeight="1">
      <c r="A253" s="193"/>
      <c r="B253" s="193"/>
      <c r="C253" s="193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</row>
    <row r="254" ht="15.75" customHeight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</row>
    <row r="255" ht="15.75" customHeight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</row>
    <row r="256" ht="15.75" customHeight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</row>
    <row r="257" ht="15.75" customHeight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</row>
    <row r="258" ht="15.75" customHeight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</row>
    <row r="259" ht="15.75" customHeight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</row>
    <row r="260" ht="15.75" customHeight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</row>
    <row r="261" ht="15.75" customHeight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</row>
    <row r="262" ht="15.75" customHeight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</row>
    <row r="263" ht="15.75" customHeight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</row>
    <row r="264" ht="15.75" customHeight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</row>
    <row r="265" ht="15.75" customHeight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</row>
    <row r="266" ht="15.75" customHeight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</row>
    <row r="267" ht="15.75" customHeight="1">
      <c r="A267" s="193"/>
      <c r="B267" s="193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</row>
    <row r="268" ht="15.75" customHeight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</row>
    <row r="269" ht="15.75" customHeight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</row>
    <row r="270" ht="15.75" customHeight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</row>
    <row r="271" ht="15.75" customHeight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</row>
    <row r="272" ht="15.75" customHeight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</row>
    <row r="273" ht="15.75" customHeight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</row>
    <row r="274" ht="15.75" customHeight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</row>
    <row r="275" ht="15.75" customHeight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</row>
    <row r="276" ht="15.75" customHeight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</row>
    <row r="277" ht="15.75" customHeight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</row>
    <row r="278" ht="15.75" customHeight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</row>
    <row r="279" ht="15.75" customHeight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</row>
    <row r="280" ht="15.75" customHeight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</row>
    <row r="281" ht="15.75" customHeight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</row>
    <row r="282" ht="15.75" customHeight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</row>
    <row r="283" ht="15.75" customHeight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</row>
    <row r="284" ht="15.75" customHeight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</row>
    <row r="285" ht="15.75" customHeight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</row>
    <row r="286" ht="15.75" customHeight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</row>
    <row r="287" ht="15.75" customHeight="1">
      <c r="A287" s="193"/>
      <c r="B287" s="193"/>
      <c r="C287" s="193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</row>
    <row r="288" ht="15.75" customHeight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</row>
    <row r="289" ht="15.75" customHeight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</row>
    <row r="290" ht="15.75" customHeight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</row>
    <row r="291" ht="15.75" customHeight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</row>
    <row r="292" ht="15.75" customHeight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</row>
    <row r="293" ht="15.75" customHeight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</row>
    <row r="294" ht="15.75" customHeight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</row>
    <row r="295" ht="15.75" customHeight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</row>
    <row r="296" ht="15.75" customHeight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</row>
    <row r="297" ht="15.75" customHeight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</row>
    <row r="298" ht="15.75" customHeight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</row>
    <row r="299" ht="15.75" customHeight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</row>
    <row r="300" ht="15.75" customHeight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</row>
    <row r="301" ht="15.75" customHeight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</row>
    <row r="302" ht="15.75" customHeight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</row>
    <row r="303" ht="15.75" customHeight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</row>
    <row r="304" ht="15.75" customHeight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</row>
    <row r="305" ht="15.75" customHeight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</row>
    <row r="306" ht="15.75" customHeight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</row>
    <row r="307" ht="15.75" customHeight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</row>
    <row r="308" ht="15.75" customHeight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</row>
    <row r="309" ht="15.75" customHeight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</row>
    <row r="310" ht="15.75" customHeight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</row>
    <row r="311" ht="15.75" customHeight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</row>
    <row r="312" ht="15.75" customHeight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</row>
    <row r="313" ht="15.75" customHeight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</row>
    <row r="314" ht="15.75" customHeight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</row>
    <row r="315" ht="15.75" customHeight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</row>
    <row r="316" ht="15.75" customHeight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</row>
    <row r="317" ht="15.75" customHeight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</row>
    <row r="318" ht="15.75" customHeight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</row>
    <row r="319" ht="15.75" customHeight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</row>
    <row r="320" ht="15.75" customHeight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</row>
    <row r="321" ht="15.75" customHeight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</row>
    <row r="322" ht="15.75" customHeight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</row>
    <row r="323" ht="15.75" customHeight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</row>
    <row r="324" ht="15.75" customHeight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</row>
    <row r="325" ht="15.75" customHeight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</row>
    <row r="326" ht="15.75" customHeight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</row>
    <row r="327" ht="15.75" customHeight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</row>
    <row r="328" ht="15.75" customHeight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</row>
    <row r="329" ht="15.75" customHeight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</row>
    <row r="330" ht="15.75" customHeight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</row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printOptions/>
  <pageMargins bottom="0.75" footer="0.0" header="0.0" left="0.7" right="0.7" top="0.75"/>
  <pageSetup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/>
  <cols>
    <col customWidth="1" min="1" max="1" width="10.88"/>
    <col customWidth="1" min="2" max="2" width="32.63"/>
    <col customWidth="1" min="3" max="14" width="10.88"/>
  </cols>
  <sheetData>
    <row r="1" ht="15.0" customHeight="1">
      <c r="B1" s="279" t="s">
        <v>184</v>
      </c>
    </row>
    <row r="2" ht="15.0" customHeight="1">
      <c r="B2" s="280" t="s">
        <v>185</v>
      </c>
    </row>
    <row r="3" ht="13.5" customHeight="1">
      <c r="A3" s="281"/>
      <c r="B3" s="281"/>
      <c r="C3" s="281"/>
      <c r="D3" s="281"/>
      <c r="E3" s="281"/>
      <c r="F3" s="281"/>
      <c r="G3" s="281"/>
      <c r="H3" s="281"/>
      <c r="I3" s="281"/>
      <c r="J3" s="281"/>
      <c r="K3" s="281"/>
      <c r="L3" s="281"/>
      <c r="M3" s="281"/>
      <c r="N3" s="281"/>
    </row>
    <row r="4" ht="13.5" customHeight="1">
      <c r="A4" s="281"/>
      <c r="B4" s="281"/>
      <c r="C4" s="281"/>
      <c r="D4" s="281"/>
      <c r="E4" s="281"/>
      <c r="F4" s="281"/>
      <c r="G4" s="281"/>
      <c r="H4" s="281"/>
      <c r="I4" s="281"/>
      <c r="J4" s="281"/>
      <c r="K4" s="281"/>
      <c r="L4" s="281"/>
      <c r="M4" s="281"/>
      <c r="N4" s="281"/>
    </row>
    <row r="5" ht="13.5" customHeight="1">
      <c r="A5" s="281"/>
      <c r="B5" s="281"/>
      <c r="C5" s="282">
        <v>44562.0</v>
      </c>
      <c r="D5" s="282">
        <f t="shared" ref="D5:N5" si="1">EDATE(C5,1)</f>
        <v>44593</v>
      </c>
      <c r="E5" s="282">
        <f t="shared" si="1"/>
        <v>44621</v>
      </c>
      <c r="F5" s="282">
        <f t="shared" si="1"/>
        <v>44652</v>
      </c>
      <c r="G5" s="282">
        <f t="shared" si="1"/>
        <v>44682</v>
      </c>
      <c r="H5" s="282">
        <f t="shared" si="1"/>
        <v>44713</v>
      </c>
      <c r="I5" s="282">
        <f t="shared" si="1"/>
        <v>44743</v>
      </c>
      <c r="J5" s="282">
        <f t="shared" si="1"/>
        <v>44774</v>
      </c>
      <c r="K5" s="282">
        <f t="shared" si="1"/>
        <v>44805</v>
      </c>
      <c r="L5" s="282">
        <f t="shared" si="1"/>
        <v>44835</v>
      </c>
      <c r="M5" s="282">
        <f t="shared" si="1"/>
        <v>44866</v>
      </c>
      <c r="N5" s="282">
        <f t="shared" si="1"/>
        <v>44896</v>
      </c>
    </row>
    <row r="6" ht="13.5" customHeight="1">
      <c r="A6" s="281"/>
      <c r="B6" s="283" t="s">
        <v>186</v>
      </c>
      <c r="C6" s="284"/>
      <c r="D6" s="284"/>
      <c r="E6" s="284"/>
      <c r="F6" s="284"/>
      <c r="G6" s="284"/>
      <c r="H6" s="284"/>
      <c r="I6" s="284"/>
      <c r="J6" s="284"/>
      <c r="K6" s="284"/>
      <c r="L6" s="284"/>
      <c r="M6" s="284"/>
      <c r="N6" s="284"/>
    </row>
    <row r="7" ht="13.5" customHeight="1">
      <c r="A7" s="281"/>
      <c r="B7" s="285" t="s">
        <v>187</v>
      </c>
      <c r="C7" s="286">
        <v>33333.0</v>
      </c>
      <c r="D7" s="286">
        <v>33333.0</v>
      </c>
      <c r="E7" s="286">
        <v>33333.0</v>
      </c>
      <c r="F7" s="286">
        <v>33333.0</v>
      </c>
      <c r="G7" s="286">
        <v>33333.0</v>
      </c>
      <c r="H7" s="286">
        <v>33333.0</v>
      </c>
      <c r="I7" s="286">
        <v>33333.0</v>
      </c>
      <c r="J7" s="286">
        <v>33333.0</v>
      </c>
      <c r="K7" s="286">
        <v>33333.0</v>
      </c>
      <c r="L7" s="286">
        <v>33333.0</v>
      </c>
      <c r="M7" s="286">
        <v>33333.0</v>
      </c>
      <c r="N7" s="286">
        <v>33333.0</v>
      </c>
    </row>
    <row r="8" ht="13.5" customHeight="1">
      <c r="A8" s="281"/>
      <c r="B8" s="285" t="s">
        <v>188</v>
      </c>
      <c r="C8" s="287"/>
      <c r="D8" s="287"/>
      <c r="E8" s="287"/>
      <c r="F8" s="287"/>
      <c r="G8" s="286">
        <v>33333.0</v>
      </c>
      <c r="H8" s="286">
        <v>33333.0</v>
      </c>
      <c r="I8" s="286">
        <v>33333.0</v>
      </c>
      <c r="J8" s="286">
        <v>33333.0</v>
      </c>
      <c r="K8" s="286">
        <v>33333.0</v>
      </c>
      <c r="L8" s="286">
        <v>33333.0</v>
      </c>
      <c r="M8" s="286">
        <v>33333.0</v>
      </c>
      <c r="N8" s="286">
        <v>33333.0</v>
      </c>
    </row>
    <row r="9" ht="13.5" customHeight="1">
      <c r="A9" s="281"/>
      <c r="B9" s="281" t="s">
        <v>189</v>
      </c>
      <c r="C9" s="287"/>
      <c r="D9" s="287"/>
      <c r="E9" s="287"/>
      <c r="F9" s="287"/>
      <c r="G9" s="287"/>
      <c r="H9" s="287"/>
      <c r="I9" s="287"/>
      <c r="J9" s="287"/>
      <c r="K9" s="287"/>
      <c r="L9" s="287"/>
      <c r="M9" s="287"/>
      <c r="N9" s="287"/>
    </row>
    <row r="10" ht="13.5" customHeight="1">
      <c r="A10" s="281"/>
      <c r="B10" s="288" t="s">
        <v>36</v>
      </c>
      <c r="C10" s="289">
        <f t="shared" ref="C10:N10" si="2">SUM(C6:C9)</f>
        <v>33333</v>
      </c>
      <c r="D10" s="289">
        <f t="shared" si="2"/>
        <v>33333</v>
      </c>
      <c r="E10" s="289">
        <f t="shared" si="2"/>
        <v>33333</v>
      </c>
      <c r="F10" s="289">
        <f t="shared" si="2"/>
        <v>33333</v>
      </c>
      <c r="G10" s="289">
        <f t="shared" si="2"/>
        <v>66666</v>
      </c>
      <c r="H10" s="289">
        <f t="shared" si="2"/>
        <v>66666</v>
      </c>
      <c r="I10" s="289">
        <f t="shared" si="2"/>
        <v>66666</v>
      </c>
      <c r="J10" s="289">
        <f t="shared" si="2"/>
        <v>66666</v>
      </c>
      <c r="K10" s="289">
        <f t="shared" si="2"/>
        <v>66666</v>
      </c>
      <c r="L10" s="289">
        <f t="shared" si="2"/>
        <v>66666</v>
      </c>
      <c r="M10" s="289">
        <f t="shared" si="2"/>
        <v>66666</v>
      </c>
      <c r="N10" s="289">
        <f t="shared" si="2"/>
        <v>66666</v>
      </c>
    </row>
    <row r="11" ht="13.5" customHeight="1">
      <c r="A11" s="281"/>
      <c r="B11" s="290"/>
      <c r="C11" s="291"/>
      <c r="D11" s="291"/>
      <c r="E11" s="291"/>
      <c r="F11" s="291"/>
      <c r="G11" s="291"/>
      <c r="H11" s="291"/>
      <c r="I11" s="291"/>
      <c r="J11" s="291"/>
      <c r="K11" s="291"/>
      <c r="L11" s="291"/>
      <c r="M11" s="291"/>
      <c r="N11" s="291"/>
    </row>
    <row r="12" ht="13.5" customHeight="1">
      <c r="A12" s="281"/>
      <c r="B12" s="283" t="s">
        <v>190</v>
      </c>
      <c r="C12" s="284"/>
      <c r="D12" s="284"/>
      <c r="E12" s="284"/>
      <c r="F12" s="284"/>
      <c r="G12" s="284"/>
      <c r="H12" s="284"/>
      <c r="I12" s="284"/>
      <c r="J12" s="284"/>
      <c r="K12" s="284"/>
      <c r="L12" s="284"/>
      <c r="M12" s="284"/>
      <c r="N12" s="284"/>
    </row>
    <row r="13" ht="13.5" customHeight="1">
      <c r="A13" s="281"/>
      <c r="B13" s="285" t="s">
        <v>187</v>
      </c>
      <c r="C13" s="292"/>
      <c r="D13" s="292"/>
      <c r="E13" s="292"/>
      <c r="F13" s="292"/>
      <c r="G13" s="293">
        <v>0.0</v>
      </c>
      <c r="H13" s="292"/>
      <c r="I13" s="292"/>
      <c r="J13" s="292"/>
      <c r="K13" s="292"/>
      <c r="L13" s="292"/>
      <c r="M13" s="292"/>
      <c r="N13" s="292"/>
    </row>
    <row r="14" ht="13.5" customHeight="1">
      <c r="A14" s="281"/>
      <c r="B14" s="285" t="s">
        <v>188</v>
      </c>
      <c r="C14" s="292"/>
      <c r="D14" s="292"/>
      <c r="E14" s="292"/>
      <c r="F14" s="292"/>
      <c r="G14" s="293">
        <v>0.0</v>
      </c>
      <c r="H14" s="292"/>
      <c r="I14" s="292"/>
      <c r="J14" s="292"/>
      <c r="K14" s="292"/>
      <c r="L14" s="292"/>
      <c r="M14" s="292"/>
      <c r="N14" s="292"/>
    </row>
    <row r="15" ht="13.5" customHeight="1">
      <c r="A15" s="281"/>
      <c r="B15" s="281" t="s">
        <v>189</v>
      </c>
      <c r="C15" s="292"/>
      <c r="D15" s="292"/>
      <c r="E15" s="292"/>
      <c r="F15" s="292"/>
      <c r="G15" s="292"/>
      <c r="H15" s="292"/>
      <c r="I15" s="292"/>
      <c r="J15" s="292"/>
      <c r="K15" s="292"/>
      <c r="L15" s="292"/>
      <c r="M15" s="292"/>
      <c r="N15" s="292"/>
    </row>
    <row r="16" ht="13.5" customHeight="1">
      <c r="A16" s="281"/>
      <c r="B16" s="281"/>
      <c r="C16" s="292"/>
      <c r="D16" s="292"/>
      <c r="E16" s="292"/>
      <c r="F16" s="292"/>
      <c r="G16" s="292"/>
      <c r="H16" s="292"/>
      <c r="I16" s="292"/>
      <c r="J16" s="292"/>
      <c r="K16" s="292"/>
      <c r="L16" s="292"/>
      <c r="M16" s="292"/>
      <c r="N16" s="292"/>
    </row>
    <row r="17" ht="13.5" customHeight="1">
      <c r="A17" s="281"/>
      <c r="B17" s="294" t="s">
        <v>191</v>
      </c>
      <c r="C17" s="295">
        <f t="shared" ref="C17:N17" si="3">SUM(C13:C15)/12</f>
        <v>0</v>
      </c>
      <c r="D17" s="295">
        <f t="shared" si="3"/>
        <v>0</v>
      </c>
      <c r="E17" s="295">
        <f t="shared" si="3"/>
        <v>0</v>
      </c>
      <c r="F17" s="295">
        <f t="shared" si="3"/>
        <v>0</v>
      </c>
      <c r="G17" s="295">
        <f t="shared" si="3"/>
        <v>0</v>
      </c>
      <c r="H17" s="295">
        <f t="shared" si="3"/>
        <v>0</v>
      </c>
      <c r="I17" s="295">
        <f t="shared" si="3"/>
        <v>0</v>
      </c>
      <c r="J17" s="295">
        <f t="shared" si="3"/>
        <v>0</v>
      </c>
      <c r="K17" s="295">
        <f t="shared" si="3"/>
        <v>0</v>
      </c>
      <c r="L17" s="295">
        <f t="shared" si="3"/>
        <v>0</v>
      </c>
      <c r="M17" s="295">
        <f t="shared" si="3"/>
        <v>0</v>
      </c>
      <c r="N17" s="295">
        <f t="shared" si="3"/>
        <v>0</v>
      </c>
    </row>
    <row r="18" ht="4.5" customHeight="1">
      <c r="A18" s="281"/>
      <c r="B18" s="281"/>
      <c r="C18" s="291"/>
      <c r="D18" s="291"/>
      <c r="E18" s="291"/>
      <c r="F18" s="291"/>
      <c r="G18" s="291"/>
      <c r="H18" s="291"/>
      <c r="I18" s="291"/>
      <c r="J18" s="291"/>
      <c r="K18" s="291"/>
      <c r="L18" s="291"/>
      <c r="M18" s="291"/>
      <c r="N18" s="291"/>
    </row>
    <row r="19" ht="13.5" customHeight="1">
      <c r="A19" s="281"/>
      <c r="B19" s="281" t="s">
        <v>192</v>
      </c>
      <c r="C19" s="296">
        <f t="shared" ref="C19:N19" si="4">C13/C7</f>
        <v>0</v>
      </c>
      <c r="D19" s="296">
        <f t="shared" si="4"/>
        <v>0</v>
      </c>
      <c r="E19" s="296">
        <f t="shared" si="4"/>
        <v>0</v>
      </c>
      <c r="F19" s="296">
        <f t="shared" si="4"/>
        <v>0</v>
      </c>
      <c r="G19" s="296">
        <f t="shared" si="4"/>
        <v>0</v>
      </c>
      <c r="H19" s="296">
        <f t="shared" si="4"/>
        <v>0</v>
      </c>
      <c r="I19" s="296">
        <f t="shared" si="4"/>
        <v>0</v>
      </c>
      <c r="J19" s="296">
        <f t="shared" si="4"/>
        <v>0</v>
      </c>
      <c r="K19" s="296">
        <f t="shared" si="4"/>
        <v>0</v>
      </c>
      <c r="L19" s="296">
        <f t="shared" si="4"/>
        <v>0</v>
      </c>
      <c r="M19" s="296">
        <f t="shared" si="4"/>
        <v>0</v>
      </c>
      <c r="N19" s="296">
        <f t="shared" si="4"/>
        <v>0</v>
      </c>
    </row>
    <row r="20" ht="13.5" customHeight="1">
      <c r="A20" s="281"/>
      <c r="B20" s="281" t="s">
        <v>193</v>
      </c>
      <c r="C20" s="297" t="str">
        <f t="shared" ref="C20:N20" si="5">C14/C8</f>
        <v>#DIV/0!</v>
      </c>
      <c r="D20" s="297" t="str">
        <f t="shared" si="5"/>
        <v>#DIV/0!</v>
      </c>
      <c r="E20" s="297" t="str">
        <f t="shared" si="5"/>
        <v>#DIV/0!</v>
      </c>
      <c r="F20" s="297" t="str">
        <f t="shared" si="5"/>
        <v>#DIV/0!</v>
      </c>
      <c r="G20" s="296">
        <f t="shared" si="5"/>
        <v>0</v>
      </c>
      <c r="H20" s="296">
        <f t="shared" si="5"/>
        <v>0</v>
      </c>
      <c r="I20" s="296">
        <f t="shared" si="5"/>
        <v>0</v>
      </c>
      <c r="J20" s="296">
        <f t="shared" si="5"/>
        <v>0</v>
      </c>
      <c r="K20" s="296">
        <f t="shared" si="5"/>
        <v>0</v>
      </c>
      <c r="L20" s="296">
        <f t="shared" si="5"/>
        <v>0</v>
      </c>
      <c r="M20" s="296">
        <f t="shared" si="5"/>
        <v>0</v>
      </c>
      <c r="N20" s="296">
        <f t="shared" si="5"/>
        <v>0</v>
      </c>
    </row>
    <row r="21" ht="13.5" customHeight="1">
      <c r="A21" s="281"/>
      <c r="B21" s="281" t="s">
        <v>194</v>
      </c>
      <c r="C21" s="297" t="str">
        <f t="shared" ref="C21:N21" si="6">C15/C9</f>
        <v>#DIV/0!</v>
      </c>
      <c r="D21" s="297" t="str">
        <f t="shared" si="6"/>
        <v>#DIV/0!</v>
      </c>
      <c r="E21" s="297" t="str">
        <f t="shared" si="6"/>
        <v>#DIV/0!</v>
      </c>
      <c r="F21" s="297" t="str">
        <f t="shared" si="6"/>
        <v>#DIV/0!</v>
      </c>
      <c r="G21" s="297" t="str">
        <f t="shared" si="6"/>
        <v>#DIV/0!</v>
      </c>
      <c r="H21" s="297" t="str">
        <f t="shared" si="6"/>
        <v>#DIV/0!</v>
      </c>
      <c r="I21" s="297" t="str">
        <f t="shared" si="6"/>
        <v>#DIV/0!</v>
      </c>
      <c r="J21" s="297" t="str">
        <f t="shared" si="6"/>
        <v>#DIV/0!</v>
      </c>
      <c r="K21" s="297" t="str">
        <f t="shared" si="6"/>
        <v>#DIV/0!</v>
      </c>
      <c r="L21" s="297" t="str">
        <f t="shared" si="6"/>
        <v>#DIV/0!</v>
      </c>
      <c r="M21" s="297" t="str">
        <f t="shared" si="6"/>
        <v>#DIV/0!</v>
      </c>
      <c r="N21" s="297" t="str">
        <f t="shared" si="6"/>
        <v>#DIV/0!</v>
      </c>
    </row>
    <row r="22" ht="13.5" customHeight="1">
      <c r="A22" s="281"/>
      <c r="B22" s="298" t="s">
        <v>195</v>
      </c>
      <c r="C22" s="299">
        <f t="shared" ref="C22:N22" si="7">C17/C10</f>
        <v>0</v>
      </c>
      <c r="D22" s="299">
        <f t="shared" si="7"/>
        <v>0</v>
      </c>
      <c r="E22" s="299">
        <f t="shared" si="7"/>
        <v>0</v>
      </c>
      <c r="F22" s="299">
        <f t="shared" si="7"/>
        <v>0</v>
      </c>
      <c r="G22" s="299">
        <f t="shared" si="7"/>
        <v>0</v>
      </c>
      <c r="H22" s="299">
        <f t="shared" si="7"/>
        <v>0</v>
      </c>
      <c r="I22" s="299">
        <f t="shared" si="7"/>
        <v>0</v>
      </c>
      <c r="J22" s="299">
        <f t="shared" si="7"/>
        <v>0</v>
      </c>
      <c r="K22" s="299">
        <f t="shared" si="7"/>
        <v>0</v>
      </c>
      <c r="L22" s="299">
        <f t="shared" si="7"/>
        <v>0</v>
      </c>
      <c r="M22" s="299">
        <f t="shared" si="7"/>
        <v>0</v>
      </c>
      <c r="N22" s="299">
        <f t="shared" si="7"/>
        <v>0</v>
      </c>
    </row>
    <row r="23" ht="13.5" customHeight="1">
      <c r="A23" s="281"/>
      <c r="B23" s="281"/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</row>
    <row r="24" ht="13.5" customHeight="1">
      <c r="A24" s="281"/>
      <c r="B24" s="300" t="s">
        <v>196</v>
      </c>
      <c r="C24" s="284"/>
      <c r="D24" s="284"/>
      <c r="E24" s="284"/>
      <c r="F24" s="284"/>
      <c r="G24" s="284"/>
      <c r="H24" s="284"/>
      <c r="I24" s="284"/>
      <c r="J24" s="284"/>
      <c r="K24" s="284"/>
      <c r="L24" s="284"/>
      <c r="M24" s="284"/>
      <c r="N24" s="284"/>
    </row>
    <row r="25" ht="13.5" customHeight="1">
      <c r="A25" s="281"/>
      <c r="B25" s="285" t="s">
        <v>187</v>
      </c>
      <c r="C25" s="301">
        <v>7476.66</v>
      </c>
      <c r="D25" s="301">
        <v>7476.66</v>
      </c>
      <c r="E25" s="301">
        <v>7476.66</v>
      </c>
      <c r="F25" s="301">
        <v>7476.66</v>
      </c>
      <c r="G25" s="301">
        <v>7476.66</v>
      </c>
      <c r="H25" s="301">
        <v>7867.34</v>
      </c>
      <c r="I25" s="301">
        <v>3738.33</v>
      </c>
      <c r="J25" s="301">
        <v>0.0</v>
      </c>
      <c r="K25" s="301">
        <f t="shared" ref="K25:N25" si="8">J25</f>
        <v>0</v>
      </c>
      <c r="L25" s="301">
        <f t="shared" si="8"/>
        <v>0</v>
      </c>
      <c r="M25" s="301">
        <f t="shared" si="8"/>
        <v>0</v>
      </c>
      <c r="N25" s="301">
        <f t="shared" si="8"/>
        <v>0</v>
      </c>
    </row>
    <row r="26" ht="13.5" customHeight="1">
      <c r="A26" s="281"/>
      <c r="B26" s="285" t="s">
        <v>188</v>
      </c>
      <c r="C26" s="301">
        <v>8845.83</v>
      </c>
      <c r="D26" s="301">
        <v>8845.83</v>
      </c>
      <c r="E26" s="301">
        <v>8845.83</v>
      </c>
      <c r="F26" s="301">
        <v>8845.83</v>
      </c>
      <c r="G26" s="301">
        <v>8845.83</v>
      </c>
      <c r="H26" s="301">
        <v>9960.49</v>
      </c>
      <c r="I26" s="301">
        <v>9937.5</v>
      </c>
      <c r="J26" s="301">
        <v>9960.49</v>
      </c>
      <c r="K26" s="301">
        <v>9960.49</v>
      </c>
      <c r="L26" s="301">
        <v>9960.49</v>
      </c>
      <c r="M26" s="301">
        <v>9960.49</v>
      </c>
      <c r="N26" s="301">
        <v>9960.49</v>
      </c>
    </row>
    <row r="27" ht="13.5" customHeight="1">
      <c r="A27" s="281"/>
      <c r="B27" s="281" t="s">
        <v>189</v>
      </c>
      <c r="C27" s="287"/>
      <c r="D27" s="287"/>
      <c r="E27" s="287"/>
      <c r="F27" s="287"/>
      <c r="G27" s="287"/>
      <c r="H27" s="287"/>
      <c r="I27" s="287"/>
      <c r="J27" s="287"/>
      <c r="K27" s="287"/>
      <c r="L27" s="287"/>
      <c r="M27" s="287"/>
      <c r="N27" s="287"/>
    </row>
    <row r="28" ht="13.5" customHeight="1">
      <c r="A28" s="281"/>
      <c r="B28" s="285" t="s">
        <v>197</v>
      </c>
      <c r="C28" s="287"/>
      <c r="D28" s="287"/>
      <c r="E28" s="287"/>
      <c r="F28" s="287"/>
      <c r="G28" s="287"/>
      <c r="H28" s="286">
        <v>3736.21</v>
      </c>
      <c r="I28" s="286">
        <v>5439.96</v>
      </c>
      <c r="J28" s="286">
        <v>5439.96</v>
      </c>
      <c r="K28" s="286">
        <v>5439.96</v>
      </c>
      <c r="L28" s="286">
        <v>5439.96</v>
      </c>
      <c r="M28" s="286">
        <v>5439.96</v>
      </c>
      <c r="N28" s="286">
        <v>5439.96</v>
      </c>
    </row>
    <row r="29" ht="13.5" customHeight="1">
      <c r="A29" s="281"/>
      <c r="B29" s="281" t="s">
        <v>198</v>
      </c>
      <c r="C29" s="287"/>
      <c r="D29" s="287"/>
      <c r="E29" s="287"/>
      <c r="F29" s="287"/>
      <c r="G29" s="287"/>
      <c r="H29" s="287"/>
      <c r="I29" s="287"/>
      <c r="J29" s="287"/>
      <c r="K29" s="287"/>
      <c r="L29" s="287"/>
      <c r="M29" s="287"/>
      <c r="N29" s="287"/>
    </row>
    <row r="30" ht="13.5" customHeight="1">
      <c r="A30" s="281"/>
      <c r="B30" s="288" t="s">
        <v>36</v>
      </c>
      <c r="C30" s="302">
        <f t="shared" ref="C30:N30" si="9">SUM(C25:C29)</f>
        <v>16322.49</v>
      </c>
      <c r="D30" s="302">
        <f t="shared" si="9"/>
        <v>16322.49</v>
      </c>
      <c r="E30" s="302">
        <f t="shared" si="9"/>
        <v>16322.49</v>
      </c>
      <c r="F30" s="302">
        <f t="shared" si="9"/>
        <v>16322.49</v>
      </c>
      <c r="G30" s="302">
        <f t="shared" si="9"/>
        <v>16322.49</v>
      </c>
      <c r="H30" s="302">
        <f t="shared" si="9"/>
        <v>21564.04</v>
      </c>
      <c r="I30" s="302">
        <f t="shared" si="9"/>
        <v>19115.79</v>
      </c>
      <c r="J30" s="302">
        <f t="shared" si="9"/>
        <v>15400.45</v>
      </c>
      <c r="K30" s="302">
        <f t="shared" si="9"/>
        <v>15400.45</v>
      </c>
      <c r="L30" s="302">
        <f t="shared" si="9"/>
        <v>15400.45</v>
      </c>
      <c r="M30" s="302">
        <f t="shared" si="9"/>
        <v>15400.45</v>
      </c>
      <c r="N30" s="302">
        <f t="shared" si="9"/>
        <v>15400.45</v>
      </c>
    </row>
    <row r="31" ht="13.5" customHeight="1">
      <c r="A31" s="281"/>
      <c r="B31" s="281"/>
      <c r="C31" s="281"/>
      <c r="D31" s="281"/>
      <c r="E31" s="281"/>
      <c r="F31" s="281"/>
      <c r="G31" s="281"/>
      <c r="H31" s="281"/>
      <c r="I31" s="281"/>
      <c r="J31" s="281"/>
      <c r="K31" s="281"/>
      <c r="L31" s="281"/>
      <c r="M31" s="281"/>
      <c r="N31" s="281"/>
    </row>
    <row r="32" ht="13.5" customHeight="1">
      <c r="A32" s="281"/>
      <c r="B32" s="283" t="s">
        <v>199</v>
      </c>
      <c r="C32" s="284"/>
      <c r="D32" s="284"/>
      <c r="E32" s="284"/>
      <c r="F32" s="284"/>
      <c r="G32" s="284"/>
      <c r="H32" s="284"/>
      <c r="I32" s="284"/>
      <c r="J32" s="284"/>
      <c r="K32" s="284"/>
      <c r="L32" s="284"/>
      <c r="M32" s="284"/>
      <c r="N32" s="284"/>
    </row>
    <row r="33" ht="13.5" customHeight="1">
      <c r="A33" s="281"/>
      <c r="B33" s="285" t="s">
        <v>187</v>
      </c>
      <c r="C33" s="287"/>
      <c r="D33" s="287"/>
      <c r="E33" s="287"/>
      <c r="F33" s="287"/>
      <c r="G33" s="287"/>
      <c r="H33" s="287"/>
      <c r="I33" s="287"/>
      <c r="J33" s="287"/>
      <c r="K33" s="287"/>
      <c r="L33" s="287"/>
      <c r="M33" s="287"/>
      <c r="N33" s="287"/>
    </row>
    <row r="34" ht="13.5" customHeight="1">
      <c r="A34" s="281"/>
      <c r="B34" s="285" t="s">
        <v>188</v>
      </c>
      <c r="C34" s="287"/>
      <c r="D34" s="287"/>
      <c r="E34" s="287"/>
      <c r="F34" s="287"/>
      <c r="G34" s="287"/>
      <c r="H34" s="287"/>
      <c r="I34" s="287"/>
      <c r="J34" s="287"/>
      <c r="K34" s="287"/>
      <c r="L34" s="287"/>
      <c r="M34" s="287"/>
      <c r="N34" s="287"/>
    </row>
    <row r="35" ht="13.5" customHeight="1">
      <c r="A35" s="281"/>
      <c r="B35" s="281" t="s">
        <v>189</v>
      </c>
      <c r="C35" s="287"/>
      <c r="D35" s="287"/>
      <c r="E35" s="287"/>
      <c r="F35" s="287"/>
      <c r="G35" s="287"/>
      <c r="H35" s="287"/>
      <c r="I35" s="287"/>
      <c r="J35" s="287"/>
      <c r="K35" s="287"/>
      <c r="L35" s="287"/>
      <c r="M35" s="287"/>
      <c r="N35" s="287"/>
    </row>
    <row r="36" ht="13.5" customHeight="1">
      <c r="A36" s="281"/>
      <c r="B36" s="281"/>
      <c r="C36" s="287"/>
      <c r="D36" s="287"/>
      <c r="E36" s="287"/>
      <c r="F36" s="287"/>
      <c r="G36" s="287"/>
      <c r="H36" s="287"/>
      <c r="I36" s="287"/>
      <c r="J36" s="287"/>
      <c r="K36" s="287"/>
      <c r="L36" s="287"/>
      <c r="M36" s="287"/>
      <c r="N36" s="287"/>
    </row>
    <row r="37" ht="13.5" customHeight="1">
      <c r="A37" s="281"/>
      <c r="B37" s="288" t="s">
        <v>36</v>
      </c>
      <c r="C37" s="288">
        <f t="shared" ref="C37:N37" si="10">SUM(C33:C35)</f>
        <v>0</v>
      </c>
      <c r="D37" s="288">
        <f t="shared" si="10"/>
        <v>0</v>
      </c>
      <c r="E37" s="288">
        <f t="shared" si="10"/>
        <v>0</v>
      </c>
      <c r="F37" s="288">
        <f t="shared" si="10"/>
        <v>0</v>
      </c>
      <c r="G37" s="288">
        <f t="shared" si="10"/>
        <v>0</v>
      </c>
      <c r="H37" s="288">
        <f t="shared" si="10"/>
        <v>0</v>
      </c>
      <c r="I37" s="288">
        <f t="shared" si="10"/>
        <v>0</v>
      </c>
      <c r="J37" s="288">
        <f t="shared" si="10"/>
        <v>0</v>
      </c>
      <c r="K37" s="288">
        <f t="shared" si="10"/>
        <v>0</v>
      </c>
      <c r="L37" s="288">
        <f t="shared" si="10"/>
        <v>0</v>
      </c>
      <c r="M37" s="288">
        <f t="shared" si="10"/>
        <v>0</v>
      </c>
      <c r="N37" s="288">
        <f t="shared" si="10"/>
        <v>0</v>
      </c>
    </row>
    <row r="38" ht="13.5" customHeight="1">
      <c r="A38" s="281"/>
      <c r="B38" s="281"/>
      <c r="C38" s="281"/>
      <c r="D38" s="281"/>
      <c r="E38" s="281"/>
      <c r="F38" s="281"/>
      <c r="G38" s="281"/>
      <c r="H38" s="281"/>
      <c r="I38" s="281"/>
      <c r="J38" s="281"/>
      <c r="K38" s="281"/>
      <c r="L38" s="281"/>
      <c r="M38" s="281"/>
      <c r="N38" s="281"/>
    </row>
    <row r="39" ht="13.5" customHeight="1">
      <c r="A39" s="281"/>
      <c r="B39" s="283" t="s">
        <v>200</v>
      </c>
      <c r="C39" s="284"/>
      <c r="D39" s="284"/>
      <c r="E39" s="284"/>
      <c r="F39" s="284"/>
      <c r="G39" s="284"/>
      <c r="H39" s="284"/>
      <c r="I39" s="284"/>
      <c r="J39" s="284"/>
      <c r="K39" s="284"/>
      <c r="L39" s="284"/>
      <c r="M39" s="284"/>
      <c r="N39" s="284"/>
    </row>
    <row r="40" ht="13.5" customHeight="1">
      <c r="A40" s="281"/>
      <c r="B40" s="285" t="s">
        <v>187</v>
      </c>
      <c r="C40" s="287"/>
      <c r="D40" s="287"/>
      <c r="E40" s="287"/>
      <c r="F40" s="287"/>
      <c r="G40" s="301">
        <v>1.0</v>
      </c>
      <c r="H40" s="287"/>
      <c r="I40" s="287"/>
      <c r="J40" s="287"/>
      <c r="K40" s="287"/>
      <c r="L40" s="287"/>
      <c r="M40" s="287"/>
      <c r="N40" s="287"/>
    </row>
    <row r="41" ht="13.5" customHeight="1">
      <c r="A41" s="281"/>
      <c r="B41" s="285" t="s">
        <v>188</v>
      </c>
      <c r="C41" s="287"/>
      <c r="D41" s="287"/>
      <c r="E41" s="287"/>
      <c r="F41" s="287"/>
      <c r="G41" s="301">
        <v>5.0</v>
      </c>
      <c r="H41" s="287"/>
      <c r="I41" s="287"/>
      <c r="J41" s="287"/>
      <c r="K41" s="287"/>
      <c r="L41" s="287"/>
      <c r="M41" s="287"/>
      <c r="N41" s="287"/>
    </row>
    <row r="42" ht="13.5" customHeight="1">
      <c r="A42" s="281"/>
      <c r="B42" s="281" t="s">
        <v>189</v>
      </c>
      <c r="C42" s="287"/>
      <c r="D42" s="287"/>
      <c r="E42" s="287"/>
      <c r="F42" s="287"/>
      <c r="G42" s="287"/>
      <c r="H42" s="287"/>
      <c r="I42" s="287"/>
      <c r="J42" s="287"/>
      <c r="K42" s="287"/>
      <c r="L42" s="287"/>
      <c r="M42" s="287"/>
      <c r="N42" s="287"/>
    </row>
    <row r="43" ht="13.5" customHeight="1">
      <c r="A43" s="281"/>
      <c r="B43" s="288" t="s">
        <v>36</v>
      </c>
      <c r="C43" s="288">
        <f t="shared" ref="C43:N43" si="11">SUM(C40:C42)</f>
        <v>0</v>
      </c>
      <c r="D43" s="288">
        <f t="shared" si="11"/>
        <v>0</v>
      </c>
      <c r="E43" s="288">
        <f t="shared" si="11"/>
        <v>0</v>
      </c>
      <c r="F43" s="288">
        <f t="shared" si="11"/>
        <v>0</v>
      </c>
      <c r="G43" s="288">
        <f t="shared" si="11"/>
        <v>6</v>
      </c>
      <c r="H43" s="288">
        <f t="shared" si="11"/>
        <v>0</v>
      </c>
      <c r="I43" s="288">
        <f t="shared" si="11"/>
        <v>0</v>
      </c>
      <c r="J43" s="288">
        <f t="shared" si="11"/>
        <v>0</v>
      </c>
      <c r="K43" s="288">
        <f t="shared" si="11"/>
        <v>0</v>
      </c>
      <c r="L43" s="288">
        <f t="shared" si="11"/>
        <v>0</v>
      </c>
      <c r="M43" s="288">
        <f t="shared" si="11"/>
        <v>0</v>
      </c>
      <c r="N43" s="288">
        <f t="shared" si="11"/>
        <v>0</v>
      </c>
    </row>
    <row r="44" ht="13.5" customHeight="1">
      <c r="A44" s="281"/>
      <c r="B44" s="281"/>
      <c r="C44" s="281"/>
      <c r="D44" s="281"/>
      <c r="E44" s="281"/>
      <c r="F44" s="281"/>
      <c r="G44" s="281"/>
      <c r="H44" s="281"/>
      <c r="I44" s="281"/>
      <c r="J44" s="281"/>
      <c r="K44" s="281"/>
      <c r="L44" s="281"/>
      <c r="M44" s="281"/>
      <c r="N44" s="281"/>
    </row>
    <row r="45" ht="13.5" customHeight="1">
      <c r="A45" s="281"/>
      <c r="B45" s="300" t="s">
        <v>201</v>
      </c>
      <c r="C45" s="284"/>
      <c r="D45" s="284"/>
      <c r="E45" s="284"/>
      <c r="F45" s="284"/>
      <c r="G45" s="284"/>
      <c r="H45" s="284"/>
      <c r="I45" s="284"/>
      <c r="J45" s="284"/>
      <c r="K45" s="284"/>
      <c r="L45" s="284"/>
      <c r="M45" s="284"/>
      <c r="N45" s="284"/>
    </row>
    <row r="46" ht="13.5" customHeight="1">
      <c r="A46" s="281"/>
      <c r="B46" s="285" t="s">
        <v>187</v>
      </c>
      <c r="C46" s="287">
        <v>2.0</v>
      </c>
      <c r="D46" s="287"/>
      <c r="E46" s="287"/>
      <c r="F46" s="287"/>
      <c r="G46" s="301">
        <v>0.0</v>
      </c>
      <c r="H46" s="287"/>
      <c r="I46" s="287"/>
      <c r="J46" s="287"/>
      <c r="K46" s="287"/>
      <c r="L46" s="287"/>
      <c r="M46" s="287"/>
      <c r="N46" s="287"/>
    </row>
    <row r="47" ht="13.5" customHeight="1">
      <c r="A47" s="281"/>
      <c r="B47" s="285" t="s">
        <v>188</v>
      </c>
      <c r="C47" s="287"/>
      <c r="D47" s="287"/>
      <c r="E47" s="287"/>
      <c r="F47" s="287"/>
      <c r="G47" s="301">
        <v>0.0</v>
      </c>
      <c r="H47" s="287"/>
      <c r="I47" s="287"/>
      <c r="J47" s="287"/>
      <c r="K47" s="287"/>
      <c r="L47" s="287"/>
      <c r="M47" s="287"/>
      <c r="N47" s="287"/>
    </row>
    <row r="48" ht="13.5" customHeight="1">
      <c r="A48" s="281"/>
      <c r="B48" s="281" t="s">
        <v>189</v>
      </c>
      <c r="C48" s="287"/>
      <c r="D48" s="287"/>
      <c r="E48" s="287"/>
      <c r="F48" s="287"/>
      <c r="G48" s="287"/>
      <c r="H48" s="287"/>
      <c r="I48" s="287"/>
      <c r="J48" s="287"/>
      <c r="K48" s="287"/>
      <c r="L48" s="287"/>
      <c r="M48" s="287"/>
      <c r="N48" s="287"/>
    </row>
    <row r="49" ht="13.5" customHeight="1">
      <c r="A49" s="281"/>
      <c r="B49" s="281"/>
      <c r="C49" s="287"/>
      <c r="D49" s="287"/>
      <c r="E49" s="287"/>
      <c r="F49" s="287"/>
      <c r="G49" s="287"/>
      <c r="H49" s="287"/>
      <c r="I49" s="287"/>
      <c r="J49" s="287"/>
      <c r="K49" s="287"/>
      <c r="L49" s="287"/>
      <c r="M49" s="287"/>
      <c r="N49" s="287"/>
    </row>
    <row r="50" ht="13.5" customHeight="1">
      <c r="A50" s="281"/>
      <c r="B50" s="288" t="s">
        <v>36</v>
      </c>
      <c r="C50" s="303">
        <f t="shared" ref="C50:N50" si="12">SUM(C46:C48)</f>
        <v>2</v>
      </c>
      <c r="D50" s="303">
        <f t="shared" si="12"/>
        <v>0</v>
      </c>
      <c r="E50" s="303">
        <f t="shared" si="12"/>
        <v>0</v>
      </c>
      <c r="F50" s="303">
        <f t="shared" si="12"/>
        <v>0</v>
      </c>
      <c r="G50" s="303">
        <f t="shared" si="12"/>
        <v>0</v>
      </c>
      <c r="H50" s="303">
        <f t="shared" si="12"/>
        <v>0</v>
      </c>
      <c r="I50" s="303">
        <f t="shared" si="12"/>
        <v>0</v>
      </c>
      <c r="J50" s="303">
        <f t="shared" si="12"/>
        <v>0</v>
      </c>
      <c r="K50" s="303">
        <f t="shared" si="12"/>
        <v>0</v>
      </c>
      <c r="L50" s="303">
        <f t="shared" si="12"/>
        <v>0</v>
      </c>
      <c r="M50" s="303">
        <f t="shared" si="12"/>
        <v>0</v>
      </c>
      <c r="N50" s="303">
        <f t="shared" si="12"/>
        <v>0</v>
      </c>
    </row>
    <row r="51" ht="13.5" customHeight="1">
      <c r="A51" s="281"/>
      <c r="B51" s="297" t="s">
        <v>202</v>
      </c>
      <c r="C51" s="304" t="str">
        <f t="shared" ref="C51:N51" si="13">C46/C40</f>
        <v>#DIV/0!</v>
      </c>
      <c r="D51" s="304" t="str">
        <f t="shared" si="13"/>
        <v>#DIV/0!</v>
      </c>
      <c r="E51" s="304" t="str">
        <f t="shared" si="13"/>
        <v>#DIV/0!</v>
      </c>
      <c r="F51" s="304" t="str">
        <f t="shared" si="13"/>
        <v>#DIV/0!</v>
      </c>
      <c r="G51" s="304">
        <f t="shared" si="13"/>
        <v>0</v>
      </c>
      <c r="H51" s="304" t="str">
        <f t="shared" si="13"/>
        <v>#DIV/0!</v>
      </c>
      <c r="I51" s="304" t="str">
        <f t="shared" si="13"/>
        <v>#DIV/0!</v>
      </c>
      <c r="J51" s="304" t="str">
        <f t="shared" si="13"/>
        <v>#DIV/0!</v>
      </c>
      <c r="K51" s="304" t="str">
        <f t="shared" si="13"/>
        <v>#DIV/0!</v>
      </c>
      <c r="L51" s="304" t="str">
        <f t="shared" si="13"/>
        <v>#DIV/0!</v>
      </c>
      <c r="M51" s="304" t="str">
        <f t="shared" si="13"/>
        <v>#DIV/0!</v>
      </c>
      <c r="N51" s="304" t="str">
        <f t="shared" si="13"/>
        <v>#DIV/0!</v>
      </c>
    </row>
    <row r="52" ht="13.5" customHeight="1">
      <c r="A52" s="281"/>
      <c r="B52" s="297" t="s">
        <v>203</v>
      </c>
      <c r="C52" s="304" t="str">
        <f t="shared" ref="C52:N52" si="14">C47/C41</f>
        <v>#DIV/0!</v>
      </c>
      <c r="D52" s="304" t="str">
        <f t="shared" si="14"/>
        <v>#DIV/0!</v>
      </c>
      <c r="E52" s="304" t="str">
        <f t="shared" si="14"/>
        <v>#DIV/0!</v>
      </c>
      <c r="F52" s="304" t="str">
        <f t="shared" si="14"/>
        <v>#DIV/0!</v>
      </c>
      <c r="G52" s="304">
        <f t="shared" si="14"/>
        <v>0</v>
      </c>
      <c r="H52" s="304" t="str">
        <f t="shared" si="14"/>
        <v>#DIV/0!</v>
      </c>
      <c r="I52" s="304" t="str">
        <f t="shared" si="14"/>
        <v>#DIV/0!</v>
      </c>
      <c r="J52" s="304" t="str">
        <f t="shared" si="14"/>
        <v>#DIV/0!</v>
      </c>
      <c r="K52" s="304" t="str">
        <f t="shared" si="14"/>
        <v>#DIV/0!</v>
      </c>
      <c r="L52" s="304" t="str">
        <f t="shared" si="14"/>
        <v>#DIV/0!</v>
      </c>
      <c r="M52" s="304" t="str">
        <f t="shared" si="14"/>
        <v>#DIV/0!</v>
      </c>
      <c r="N52" s="304" t="str">
        <f t="shared" si="14"/>
        <v>#DIV/0!</v>
      </c>
    </row>
    <row r="53" ht="13.5" customHeight="1">
      <c r="A53" s="281"/>
      <c r="B53" s="297" t="s">
        <v>204</v>
      </c>
      <c r="C53" s="304" t="str">
        <f t="shared" ref="C53:N53" si="15">C48/C42</f>
        <v>#DIV/0!</v>
      </c>
      <c r="D53" s="304" t="str">
        <f t="shared" si="15"/>
        <v>#DIV/0!</v>
      </c>
      <c r="E53" s="304" t="str">
        <f t="shared" si="15"/>
        <v>#DIV/0!</v>
      </c>
      <c r="F53" s="304" t="str">
        <f t="shared" si="15"/>
        <v>#DIV/0!</v>
      </c>
      <c r="G53" s="304" t="str">
        <f t="shared" si="15"/>
        <v>#DIV/0!</v>
      </c>
      <c r="H53" s="304" t="str">
        <f t="shared" si="15"/>
        <v>#DIV/0!</v>
      </c>
      <c r="I53" s="304" t="str">
        <f t="shared" si="15"/>
        <v>#DIV/0!</v>
      </c>
      <c r="J53" s="304" t="str">
        <f t="shared" si="15"/>
        <v>#DIV/0!</v>
      </c>
      <c r="K53" s="304" t="str">
        <f t="shared" si="15"/>
        <v>#DIV/0!</v>
      </c>
      <c r="L53" s="304" t="str">
        <f t="shared" si="15"/>
        <v>#DIV/0!</v>
      </c>
      <c r="M53" s="304" t="str">
        <f t="shared" si="15"/>
        <v>#DIV/0!</v>
      </c>
      <c r="N53" s="304" t="str">
        <f t="shared" si="15"/>
        <v>#DIV/0!</v>
      </c>
    </row>
    <row r="54" ht="13.5" customHeight="1">
      <c r="A54" s="281"/>
      <c r="B54" s="297"/>
      <c r="C54" s="304" t="str">
        <f t="shared" ref="C54:N54" si="16">C49/C43</f>
        <v>#DIV/0!</v>
      </c>
      <c r="D54" s="304" t="str">
        <f t="shared" si="16"/>
        <v>#DIV/0!</v>
      </c>
      <c r="E54" s="304" t="str">
        <f t="shared" si="16"/>
        <v>#DIV/0!</v>
      </c>
      <c r="F54" s="304" t="str">
        <f t="shared" si="16"/>
        <v>#DIV/0!</v>
      </c>
      <c r="G54" s="304">
        <f t="shared" si="16"/>
        <v>0</v>
      </c>
      <c r="H54" s="304" t="str">
        <f t="shared" si="16"/>
        <v>#DIV/0!</v>
      </c>
      <c r="I54" s="304" t="str">
        <f t="shared" si="16"/>
        <v>#DIV/0!</v>
      </c>
      <c r="J54" s="304" t="str">
        <f t="shared" si="16"/>
        <v>#DIV/0!</v>
      </c>
      <c r="K54" s="304" t="str">
        <f t="shared" si="16"/>
        <v>#DIV/0!</v>
      </c>
      <c r="L54" s="304" t="str">
        <f t="shared" si="16"/>
        <v>#DIV/0!</v>
      </c>
      <c r="M54" s="304" t="str">
        <f t="shared" si="16"/>
        <v>#DIV/0!</v>
      </c>
      <c r="N54" s="304" t="str">
        <f t="shared" si="16"/>
        <v>#DIV/0!</v>
      </c>
    </row>
    <row r="55" ht="13.5" customHeight="1">
      <c r="A55" s="281"/>
      <c r="B55" s="305" t="s">
        <v>205</v>
      </c>
      <c r="C55" s="306" t="str">
        <f t="shared" ref="C55:N55" si="17">C50/C43</f>
        <v>#DIV/0!</v>
      </c>
      <c r="D55" s="306" t="str">
        <f t="shared" si="17"/>
        <v>#DIV/0!</v>
      </c>
      <c r="E55" s="306" t="str">
        <f t="shared" si="17"/>
        <v>#DIV/0!</v>
      </c>
      <c r="F55" s="306" t="str">
        <f t="shared" si="17"/>
        <v>#DIV/0!</v>
      </c>
      <c r="G55" s="306">
        <f t="shared" si="17"/>
        <v>0</v>
      </c>
      <c r="H55" s="306" t="str">
        <f t="shared" si="17"/>
        <v>#DIV/0!</v>
      </c>
      <c r="I55" s="306" t="str">
        <f t="shared" si="17"/>
        <v>#DIV/0!</v>
      </c>
      <c r="J55" s="306" t="str">
        <f t="shared" si="17"/>
        <v>#DIV/0!</v>
      </c>
      <c r="K55" s="306" t="str">
        <f t="shared" si="17"/>
        <v>#DIV/0!</v>
      </c>
      <c r="L55" s="306" t="str">
        <f t="shared" si="17"/>
        <v>#DIV/0!</v>
      </c>
      <c r="M55" s="306" t="str">
        <f t="shared" si="17"/>
        <v>#DIV/0!</v>
      </c>
      <c r="N55" s="306" t="str">
        <f t="shared" si="17"/>
        <v>#DIV/0!</v>
      </c>
    </row>
    <row r="56" ht="4.5" customHeight="1">
      <c r="A56" s="281"/>
      <c r="B56" s="281"/>
      <c r="C56" s="281"/>
      <c r="D56" s="281"/>
      <c r="E56" s="281"/>
      <c r="F56" s="281"/>
      <c r="G56" s="281"/>
      <c r="H56" s="281"/>
      <c r="I56" s="281"/>
      <c r="J56" s="281"/>
      <c r="K56" s="281"/>
      <c r="L56" s="281"/>
      <c r="M56" s="281"/>
      <c r="N56" s="281"/>
    </row>
    <row r="57" ht="13.5" customHeight="1">
      <c r="A57" s="281"/>
      <c r="B57" s="297" t="s">
        <v>206</v>
      </c>
      <c r="C57" s="304" t="str">
        <f t="shared" ref="C57:N57" si="18">C40/C33</f>
        <v>#DIV/0!</v>
      </c>
      <c r="D57" s="304" t="str">
        <f t="shared" si="18"/>
        <v>#DIV/0!</v>
      </c>
      <c r="E57" s="304" t="str">
        <f t="shared" si="18"/>
        <v>#DIV/0!</v>
      </c>
      <c r="F57" s="304" t="str">
        <f t="shared" si="18"/>
        <v>#DIV/0!</v>
      </c>
      <c r="G57" s="304" t="str">
        <f t="shared" si="18"/>
        <v>#DIV/0!</v>
      </c>
      <c r="H57" s="304" t="str">
        <f t="shared" si="18"/>
        <v>#DIV/0!</v>
      </c>
      <c r="I57" s="304" t="str">
        <f t="shared" si="18"/>
        <v>#DIV/0!</v>
      </c>
      <c r="J57" s="304" t="str">
        <f t="shared" si="18"/>
        <v>#DIV/0!</v>
      </c>
      <c r="K57" s="304" t="str">
        <f t="shared" si="18"/>
        <v>#DIV/0!</v>
      </c>
      <c r="L57" s="304" t="str">
        <f t="shared" si="18"/>
        <v>#DIV/0!</v>
      </c>
      <c r="M57" s="304" t="str">
        <f t="shared" si="18"/>
        <v>#DIV/0!</v>
      </c>
      <c r="N57" s="304" t="str">
        <f t="shared" si="18"/>
        <v>#DIV/0!</v>
      </c>
    </row>
    <row r="58" ht="13.5" customHeight="1">
      <c r="A58" s="281"/>
      <c r="B58" s="297" t="s">
        <v>207</v>
      </c>
      <c r="C58" s="304" t="str">
        <f t="shared" ref="C58:N58" si="19">C41/C34</f>
        <v>#DIV/0!</v>
      </c>
      <c r="D58" s="304" t="str">
        <f t="shared" si="19"/>
        <v>#DIV/0!</v>
      </c>
      <c r="E58" s="304" t="str">
        <f t="shared" si="19"/>
        <v>#DIV/0!</v>
      </c>
      <c r="F58" s="304" t="str">
        <f t="shared" si="19"/>
        <v>#DIV/0!</v>
      </c>
      <c r="G58" s="304" t="str">
        <f t="shared" si="19"/>
        <v>#DIV/0!</v>
      </c>
      <c r="H58" s="304" t="str">
        <f t="shared" si="19"/>
        <v>#DIV/0!</v>
      </c>
      <c r="I58" s="304" t="str">
        <f t="shared" si="19"/>
        <v>#DIV/0!</v>
      </c>
      <c r="J58" s="304" t="str">
        <f t="shared" si="19"/>
        <v>#DIV/0!</v>
      </c>
      <c r="K58" s="304" t="str">
        <f t="shared" si="19"/>
        <v>#DIV/0!</v>
      </c>
      <c r="L58" s="304" t="str">
        <f t="shared" si="19"/>
        <v>#DIV/0!</v>
      </c>
      <c r="M58" s="304" t="str">
        <f t="shared" si="19"/>
        <v>#DIV/0!</v>
      </c>
      <c r="N58" s="304" t="str">
        <f t="shared" si="19"/>
        <v>#DIV/0!</v>
      </c>
    </row>
    <row r="59" ht="13.5" customHeight="1">
      <c r="A59" s="281"/>
      <c r="B59" s="297" t="s">
        <v>208</v>
      </c>
      <c r="C59" s="304" t="str">
        <f t="shared" ref="C59:N59" si="20">C42/C35</f>
        <v>#DIV/0!</v>
      </c>
      <c r="D59" s="304" t="str">
        <f t="shared" si="20"/>
        <v>#DIV/0!</v>
      </c>
      <c r="E59" s="304" t="str">
        <f t="shared" si="20"/>
        <v>#DIV/0!</v>
      </c>
      <c r="F59" s="304" t="str">
        <f t="shared" si="20"/>
        <v>#DIV/0!</v>
      </c>
      <c r="G59" s="304" t="str">
        <f t="shared" si="20"/>
        <v>#DIV/0!</v>
      </c>
      <c r="H59" s="304" t="str">
        <f t="shared" si="20"/>
        <v>#DIV/0!</v>
      </c>
      <c r="I59" s="304" t="str">
        <f t="shared" si="20"/>
        <v>#DIV/0!</v>
      </c>
      <c r="J59" s="304" t="str">
        <f t="shared" si="20"/>
        <v>#DIV/0!</v>
      </c>
      <c r="K59" s="304" t="str">
        <f t="shared" si="20"/>
        <v>#DIV/0!</v>
      </c>
      <c r="L59" s="304" t="str">
        <f t="shared" si="20"/>
        <v>#DIV/0!</v>
      </c>
      <c r="M59" s="304" t="str">
        <f t="shared" si="20"/>
        <v>#DIV/0!</v>
      </c>
      <c r="N59" s="304" t="str">
        <f t="shared" si="20"/>
        <v>#DIV/0!</v>
      </c>
    </row>
    <row r="60" ht="13.5" customHeight="1">
      <c r="A60" s="281"/>
      <c r="B60" s="297"/>
      <c r="C60" s="304" t="str">
        <f t="shared" ref="C60:N60" si="21">C43/C36</f>
        <v>#DIV/0!</v>
      </c>
      <c r="D60" s="304" t="str">
        <f t="shared" si="21"/>
        <v>#DIV/0!</v>
      </c>
      <c r="E60" s="304" t="str">
        <f t="shared" si="21"/>
        <v>#DIV/0!</v>
      </c>
      <c r="F60" s="304" t="str">
        <f t="shared" si="21"/>
        <v>#DIV/0!</v>
      </c>
      <c r="G60" s="304" t="str">
        <f t="shared" si="21"/>
        <v>#DIV/0!</v>
      </c>
      <c r="H60" s="304" t="str">
        <f t="shared" si="21"/>
        <v>#DIV/0!</v>
      </c>
      <c r="I60" s="304" t="str">
        <f t="shared" si="21"/>
        <v>#DIV/0!</v>
      </c>
      <c r="J60" s="304" t="str">
        <f t="shared" si="21"/>
        <v>#DIV/0!</v>
      </c>
      <c r="K60" s="304" t="str">
        <f t="shared" si="21"/>
        <v>#DIV/0!</v>
      </c>
      <c r="L60" s="304" t="str">
        <f t="shared" si="21"/>
        <v>#DIV/0!</v>
      </c>
      <c r="M60" s="304" t="str">
        <f t="shared" si="21"/>
        <v>#DIV/0!</v>
      </c>
      <c r="N60" s="304" t="str">
        <f t="shared" si="21"/>
        <v>#DIV/0!</v>
      </c>
    </row>
    <row r="61" ht="13.5" customHeight="1">
      <c r="A61" s="281"/>
      <c r="B61" s="305" t="s">
        <v>209</v>
      </c>
      <c r="C61" s="307" t="str">
        <f t="shared" ref="C61:N61" si="22">C43/C37</f>
        <v>#DIV/0!</v>
      </c>
      <c r="D61" s="307" t="str">
        <f t="shared" si="22"/>
        <v>#DIV/0!</v>
      </c>
      <c r="E61" s="307" t="str">
        <f t="shared" si="22"/>
        <v>#DIV/0!</v>
      </c>
      <c r="F61" s="307" t="str">
        <f t="shared" si="22"/>
        <v>#DIV/0!</v>
      </c>
      <c r="G61" s="307" t="str">
        <f t="shared" si="22"/>
        <v>#DIV/0!</v>
      </c>
      <c r="H61" s="307" t="str">
        <f t="shared" si="22"/>
        <v>#DIV/0!</v>
      </c>
      <c r="I61" s="307" t="str">
        <f t="shared" si="22"/>
        <v>#DIV/0!</v>
      </c>
      <c r="J61" s="307" t="str">
        <f t="shared" si="22"/>
        <v>#DIV/0!</v>
      </c>
      <c r="K61" s="307" t="str">
        <f t="shared" si="22"/>
        <v>#DIV/0!</v>
      </c>
      <c r="L61" s="307" t="str">
        <f t="shared" si="22"/>
        <v>#DIV/0!</v>
      </c>
      <c r="M61" s="307" t="str">
        <f t="shared" si="22"/>
        <v>#DIV/0!</v>
      </c>
      <c r="N61" s="307" t="str">
        <f t="shared" si="22"/>
        <v>#DIV/0!</v>
      </c>
    </row>
    <row r="62" ht="13.5" customHeight="1">
      <c r="A62" s="281"/>
      <c r="B62" s="281"/>
      <c r="C62" s="281"/>
      <c r="D62" s="281"/>
      <c r="E62" s="281"/>
      <c r="F62" s="281"/>
      <c r="G62" s="281"/>
      <c r="H62" s="281"/>
      <c r="I62" s="281"/>
      <c r="J62" s="281"/>
      <c r="K62" s="281"/>
      <c r="L62" s="281"/>
      <c r="M62" s="281"/>
      <c r="N62" s="281"/>
    </row>
    <row r="63" ht="13.5" customHeight="1">
      <c r="A63" s="281"/>
      <c r="B63" s="281"/>
      <c r="C63" s="281"/>
      <c r="D63" s="281"/>
      <c r="E63" s="281"/>
      <c r="F63" s="281"/>
      <c r="G63" s="281"/>
      <c r="H63" s="281"/>
      <c r="I63" s="281"/>
      <c r="J63" s="281"/>
      <c r="K63" s="281"/>
      <c r="L63" s="281"/>
      <c r="M63" s="281"/>
      <c r="N63" s="281"/>
    </row>
    <row r="64" ht="13.5" customHeight="1">
      <c r="A64" s="281"/>
      <c r="B64" s="300" t="s">
        <v>210</v>
      </c>
      <c r="C64" s="284"/>
      <c r="D64" s="284"/>
      <c r="E64" s="284"/>
      <c r="F64" s="284"/>
      <c r="G64" s="284"/>
      <c r="H64" s="284"/>
      <c r="I64" s="284"/>
      <c r="J64" s="284"/>
      <c r="K64" s="284"/>
      <c r="L64" s="284"/>
      <c r="M64" s="284"/>
      <c r="N64" s="284"/>
    </row>
    <row r="65" ht="13.5" customHeight="1">
      <c r="A65" s="281"/>
      <c r="B65" s="281" t="s">
        <v>211</v>
      </c>
      <c r="C65" s="287"/>
      <c r="D65" s="287"/>
      <c r="E65" s="287"/>
      <c r="F65" s="287"/>
      <c r="G65" s="287"/>
      <c r="H65" s="301">
        <v>1.0</v>
      </c>
      <c r="I65" s="287"/>
      <c r="J65" s="287"/>
      <c r="K65" s="287"/>
      <c r="L65" s="287"/>
      <c r="M65" s="287"/>
      <c r="N65" s="287"/>
    </row>
    <row r="66" ht="13.5" customHeight="1">
      <c r="A66" s="281"/>
      <c r="B66" s="281" t="s">
        <v>212</v>
      </c>
      <c r="C66" s="287"/>
      <c r="D66" s="287"/>
      <c r="E66" s="287"/>
      <c r="F66" s="287"/>
      <c r="G66" s="287"/>
      <c r="H66" s="287"/>
      <c r="I66" s="287"/>
      <c r="J66" s="287"/>
      <c r="K66" s="287"/>
      <c r="L66" s="287"/>
      <c r="M66" s="287"/>
      <c r="N66" s="287"/>
    </row>
    <row r="67" ht="13.5" customHeight="1">
      <c r="A67" s="281"/>
      <c r="B67" s="285" t="s">
        <v>213</v>
      </c>
      <c r="C67" s="287"/>
      <c r="D67" s="287"/>
      <c r="E67" s="287"/>
      <c r="F67" s="287"/>
      <c r="G67" s="287"/>
      <c r="H67" s="287"/>
      <c r="I67" s="287"/>
      <c r="J67" s="287"/>
      <c r="K67" s="287"/>
      <c r="L67" s="287"/>
      <c r="M67" s="287"/>
      <c r="N67" s="287"/>
    </row>
    <row r="68" ht="13.5" customHeight="1">
      <c r="A68" s="281"/>
      <c r="B68" s="281" t="s">
        <v>214</v>
      </c>
      <c r="C68" s="287"/>
      <c r="D68" s="287"/>
      <c r="E68" s="287"/>
      <c r="F68" s="287"/>
      <c r="G68" s="287"/>
      <c r="H68" s="287"/>
      <c r="I68" s="287"/>
      <c r="J68" s="287"/>
      <c r="K68" s="287"/>
      <c r="L68" s="287"/>
      <c r="M68" s="287"/>
      <c r="N68" s="287"/>
    </row>
    <row r="69" ht="13.5" customHeight="1">
      <c r="A69" s="281"/>
      <c r="B69" s="281"/>
      <c r="C69" s="281"/>
      <c r="D69" s="281"/>
      <c r="E69" s="281"/>
      <c r="F69" s="281"/>
      <c r="G69" s="281"/>
      <c r="H69" s="281"/>
      <c r="I69" s="281"/>
      <c r="J69" s="281"/>
      <c r="K69" s="281"/>
      <c r="L69" s="281"/>
      <c r="M69" s="281"/>
      <c r="N69" s="281"/>
    </row>
    <row r="70" ht="13.5" customHeight="1">
      <c r="A70" s="281"/>
      <c r="B70" s="297" t="s">
        <v>215</v>
      </c>
      <c r="C70" s="308" t="str">
        <f t="shared" ref="C70:N70" si="23">C67/C66</f>
        <v>#DIV/0!</v>
      </c>
      <c r="D70" s="308" t="str">
        <f t="shared" si="23"/>
        <v>#DIV/0!</v>
      </c>
      <c r="E70" s="308" t="str">
        <f t="shared" si="23"/>
        <v>#DIV/0!</v>
      </c>
      <c r="F70" s="308" t="str">
        <f t="shared" si="23"/>
        <v>#DIV/0!</v>
      </c>
      <c r="G70" s="308" t="str">
        <f t="shared" si="23"/>
        <v>#DIV/0!</v>
      </c>
      <c r="H70" s="308" t="str">
        <f t="shared" si="23"/>
        <v>#DIV/0!</v>
      </c>
      <c r="I70" s="308" t="str">
        <f t="shared" si="23"/>
        <v>#DIV/0!</v>
      </c>
      <c r="J70" s="308" t="str">
        <f t="shared" si="23"/>
        <v>#DIV/0!</v>
      </c>
      <c r="K70" s="308" t="str">
        <f t="shared" si="23"/>
        <v>#DIV/0!</v>
      </c>
      <c r="L70" s="308" t="str">
        <f t="shared" si="23"/>
        <v>#DIV/0!</v>
      </c>
      <c r="M70" s="308" t="str">
        <f t="shared" si="23"/>
        <v>#DIV/0!</v>
      </c>
      <c r="N70" s="308" t="str">
        <f t="shared" si="23"/>
        <v>#DIV/0!</v>
      </c>
    </row>
    <row r="71" ht="13.5" customHeight="1">
      <c r="A71" s="281"/>
      <c r="B71" s="297" t="s">
        <v>216</v>
      </c>
      <c r="C71" s="308" t="str">
        <f t="shared" ref="C71:N71" si="24">C68/C67</f>
        <v>#DIV/0!</v>
      </c>
      <c r="D71" s="308" t="str">
        <f t="shared" si="24"/>
        <v>#DIV/0!</v>
      </c>
      <c r="E71" s="308" t="str">
        <f t="shared" si="24"/>
        <v>#DIV/0!</v>
      </c>
      <c r="F71" s="308" t="str">
        <f t="shared" si="24"/>
        <v>#DIV/0!</v>
      </c>
      <c r="G71" s="308" t="str">
        <f t="shared" si="24"/>
        <v>#DIV/0!</v>
      </c>
      <c r="H71" s="308" t="str">
        <f t="shared" si="24"/>
        <v>#DIV/0!</v>
      </c>
      <c r="I71" s="308" t="str">
        <f t="shared" si="24"/>
        <v>#DIV/0!</v>
      </c>
      <c r="J71" s="308" t="str">
        <f t="shared" si="24"/>
        <v>#DIV/0!</v>
      </c>
      <c r="K71" s="308" t="str">
        <f t="shared" si="24"/>
        <v>#DIV/0!</v>
      </c>
      <c r="L71" s="308" t="str">
        <f t="shared" si="24"/>
        <v>#DIV/0!</v>
      </c>
      <c r="M71" s="308" t="str">
        <f t="shared" si="24"/>
        <v>#DIV/0!</v>
      </c>
      <c r="N71" s="308" t="str">
        <f t="shared" si="24"/>
        <v>#DIV/0!</v>
      </c>
    </row>
    <row r="72" ht="13.5" customHeight="1">
      <c r="A72" s="281"/>
      <c r="B72" s="281"/>
      <c r="C72" s="281"/>
      <c r="D72" s="281"/>
      <c r="E72" s="281"/>
      <c r="F72" s="281"/>
      <c r="G72" s="281"/>
      <c r="H72" s="281"/>
      <c r="I72" s="281"/>
      <c r="J72" s="281"/>
      <c r="K72" s="281"/>
      <c r="L72" s="281"/>
      <c r="M72" s="281"/>
      <c r="N72" s="281"/>
    </row>
    <row r="73" ht="13.5" customHeight="1">
      <c r="A73" s="281"/>
      <c r="B73" s="285" t="s">
        <v>213</v>
      </c>
      <c r="C73" s="281"/>
      <c r="D73" s="281"/>
      <c r="E73" s="281"/>
      <c r="F73" s="281"/>
      <c r="G73" s="281"/>
      <c r="H73" s="281"/>
      <c r="I73" s="281"/>
      <c r="J73" s="281"/>
      <c r="K73" s="281"/>
      <c r="L73" s="281"/>
      <c r="M73" s="281"/>
      <c r="N73" s="281"/>
    </row>
    <row r="74" ht="13.5" customHeight="1">
      <c r="A74" s="281"/>
      <c r="B74" s="300" t="s">
        <v>217</v>
      </c>
      <c r="C74" s="284"/>
      <c r="D74" s="284"/>
      <c r="E74" s="284"/>
      <c r="F74" s="284"/>
      <c r="G74" s="284"/>
      <c r="H74" s="284"/>
      <c r="I74" s="284"/>
      <c r="J74" s="284"/>
      <c r="K74" s="284"/>
      <c r="L74" s="284"/>
      <c r="M74" s="284"/>
      <c r="N74" s="284"/>
    </row>
    <row r="75" ht="13.5" customHeight="1">
      <c r="A75" s="281"/>
      <c r="B75" s="281" t="s">
        <v>76</v>
      </c>
      <c r="C75" s="287"/>
      <c r="D75" s="287"/>
      <c r="E75" s="287"/>
      <c r="F75" s="287"/>
      <c r="G75" s="287"/>
      <c r="H75" s="287"/>
      <c r="I75" s="287"/>
      <c r="J75" s="287"/>
      <c r="K75" s="287"/>
      <c r="L75" s="287"/>
      <c r="M75" s="287"/>
      <c r="N75" s="287"/>
    </row>
    <row r="76" ht="13.5" customHeight="1">
      <c r="A76" s="281"/>
      <c r="B76" s="281" t="s">
        <v>218</v>
      </c>
      <c r="C76" s="287"/>
      <c r="D76" s="287"/>
      <c r="E76" s="287"/>
      <c r="F76" s="287"/>
      <c r="G76" s="287"/>
      <c r="H76" s="287"/>
      <c r="I76" s="287"/>
      <c r="J76" s="287"/>
      <c r="K76" s="287"/>
      <c r="L76" s="287"/>
      <c r="M76" s="287"/>
      <c r="N76" s="287"/>
    </row>
    <row r="77" ht="13.5" customHeight="1">
      <c r="A77" s="281"/>
      <c r="B77" s="281" t="s">
        <v>219</v>
      </c>
      <c r="C77" s="285">
        <v>6759.0</v>
      </c>
      <c r="D77" s="285">
        <v>6759.0</v>
      </c>
      <c r="E77" s="285">
        <v>6759.0</v>
      </c>
      <c r="F77" s="285">
        <v>6759.0</v>
      </c>
      <c r="G77" s="285">
        <v>6759.0</v>
      </c>
      <c r="H77" s="285">
        <v>7352.35</v>
      </c>
      <c r="I77" s="285">
        <v>6899.36</v>
      </c>
      <c r="J77" s="285">
        <v>6899.36</v>
      </c>
      <c r="K77" s="285">
        <v>6899.36</v>
      </c>
      <c r="L77" s="285">
        <v>6899.36</v>
      </c>
      <c r="M77" s="285">
        <v>6899.36</v>
      </c>
      <c r="N77" s="285">
        <v>6899.36</v>
      </c>
    </row>
    <row r="78" ht="13.5" customHeight="1">
      <c r="A78" s="281"/>
      <c r="B78" s="288" t="s">
        <v>36</v>
      </c>
      <c r="C78" s="302">
        <f t="shared" ref="C78:N78" si="25">SUM(C75:C77)</f>
        <v>6759</v>
      </c>
      <c r="D78" s="302">
        <f t="shared" si="25"/>
        <v>6759</v>
      </c>
      <c r="E78" s="302">
        <f t="shared" si="25"/>
        <v>6759</v>
      </c>
      <c r="F78" s="302">
        <f t="shared" si="25"/>
        <v>6759</v>
      </c>
      <c r="G78" s="302">
        <f t="shared" si="25"/>
        <v>6759</v>
      </c>
      <c r="H78" s="302">
        <f t="shared" si="25"/>
        <v>7352.35</v>
      </c>
      <c r="I78" s="302">
        <f t="shared" si="25"/>
        <v>6899.36</v>
      </c>
      <c r="J78" s="302">
        <f t="shared" si="25"/>
        <v>6899.36</v>
      </c>
      <c r="K78" s="302">
        <f t="shared" si="25"/>
        <v>6899.36</v>
      </c>
      <c r="L78" s="302">
        <f t="shared" si="25"/>
        <v>6899.36</v>
      </c>
      <c r="M78" s="302">
        <f t="shared" si="25"/>
        <v>6899.36</v>
      </c>
      <c r="N78" s="302">
        <f t="shared" si="25"/>
        <v>6899.36</v>
      </c>
    </row>
    <row r="79" ht="13.5" customHeight="1">
      <c r="A79" s="281"/>
      <c r="B79" s="281"/>
      <c r="C79" s="281"/>
      <c r="D79" s="281"/>
      <c r="E79" s="281"/>
      <c r="F79" s="281"/>
      <c r="G79" s="281"/>
      <c r="H79" s="281"/>
      <c r="I79" s="281"/>
      <c r="J79" s="281"/>
      <c r="K79" s="281"/>
      <c r="L79" s="281"/>
      <c r="M79" s="281"/>
      <c r="N79" s="281"/>
    </row>
    <row r="80" ht="13.5" customHeight="1">
      <c r="A80" s="281"/>
      <c r="B80" s="309" t="s">
        <v>220</v>
      </c>
      <c r="C80" s="281"/>
      <c r="D80" s="281"/>
      <c r="E80" s="281"/>
      <c r="F80" s="281"/>
      <c r="G80" s="281"/>
      <c r="H80" s="281"/>
      <c r="I80" s="281"/>
      <c r="J80" s="281"/>
      <c r="K80" s="281"/>
      <c r="L80" s="281"/>
      <c r="M80" s="281"/>
      <c r="N80" s="281"/>
    </row>
    <row r="81" ht="13.5" customHeight="1">
      <c r="A81" s="281"/>
      <c r="B81" s="281" t="s">
        <v>76</v>
      </c>
      <c r="C81" s="287"/>
      <c r="D81" s="287"/>
      <c r="E81" s="287"/>
      <c r="F81" s="287"/>
      <c r="G81" s="287"/>
      <c r="H81" s="287"/>
      <c r="I81" s="287"/>
      <c r="J81" s="287"/>
      <c r="K81" s="287"/>
      <c r="L81" s="287"/>
      <c r="M81" s="287"/>
      <c r="N81" s="287"/>
    </row>
    <row r="82" ht="13.5" customHeight="1">
      <c r="A82" s="281"/>
      <c r="B82" s="281" t="s">
        <v>218</v>
      </c>
      <c r="C82" s="287"/>
      <c r="D82" s="287"/>
      <c r="E82" s="287"/>
      <c r="F82" s="287"/>
      <c r="G82" s="287"/>
      <c r="H82" s="287"/>
      <c r="I82" s="287"/>
      <c r="J82" s="287"/>
      <c r="K82" s="287"/>
      <c r="L82" s="287"/>
      <c r="M82" s="287"/>
      <c r="N82" s="287"/>
    </row>
    <row r="83" ht="13.5" customHeight="1">
      <c r="A83" s="281"/>
      <c r="B83" s="288" t="s">
        <v>36</v>
      </c>
      <c r="C83" s="288">
        <f t="shared" ref="C83:N83" si="26">SUM(C81:C82)</f>
        <v>0</v>
      </c>
      <c r="D83" s="288">
        <f t="shared" si="26"/>
        <v>0</v>
      </c>
      <c r="E83" s="288">
        <f t="shared" si="26"/>
        <v>0</v>
      </c>
      <c r="F83" s="288">
        <f t="shared" si="26"/>
        <v>0</v>
      </c>
      <c r="G83" s="288">
        <f t="shared" si="26"/>
        <v>0</v>
      </c>
      <c r="H83" s="288">
        <f t="shared" si="26"/>
        <v>0</v>
      </c>
      <c r="I83" s="288">
        <f t="shared" si="26"/>
        <v>0</v>
      </c>
      <c r="J83" s="288">
        <f t="shared" si="26"/>
        <v>0</v>
      </c>
      <c r="K83" s="288">
        <f t="shared" si="26"/>
        <v>0</v>
      </c>
      <c r="L83" s="288">
        <f t="shared" si="26"/>
        <v>0</v>
      </c>
      <c r="M83" s="288">
        <f t="shared" si="26"/>
        <v>0</v>
      </c>
      <c r="N83" s="288">
        <f t="shared" si="26"/>
        <v>0</v>
      </c>
    </row>
    <row r="84" ht="13.5" customHeight="1">
      <c r="A84" s="281"/>
      <c r="B84" s="281"/>
      <c r="C84" s="281"/>
      <c r="D84" s="281"/>
      <c r="E84" s="281"/>
      <c r="F84" s="281"/>
      <c r="G84" s="281"/>
      <c r="H84" s="281"/>
      <c r="I84" s="281"/>
      <c r="J84" s="281"/>
      <c r="K84" s="281"/>
      <c r="L84" s="281"/>
      <c r="M84" s="281"/>
      <c r="N84" s="281"/>
    </row>
    <row r="85" ht="13.5" customHeight="1">
      <c r="A85" s="281"/>
      <c r="B85" s="309" t="s">
        <v>221</v>
      </c>
      <c r="C85" s="281"/>
      <c r="D85" s="281"/>
      <c r="E85" s="281"/>
      <c r="F85" s="281"/>
      <c r="G85" s="281"/>
      <c r="H85" s="281"/>
      <c r="I85" s="281"/>
      <c r="J85" s="281"/>
      <c r="K85" s="281"/>
      <c r="L85" s="281"/>
      <c r="M85" s="281"/>
      <c r="N85" s="281"/>
    </row>
    <row r="86" ht="13.5" customHeight="1">
      <c r="A86" s="281"/>
      <c r="B86" s="281" t="s">
        <v>76</v>
      </c>
      <c r="C86" s="287"/>
      <c r="D86" s="287"/>
      <c r="E86" s="287"/>
      <c r="F86" s="287"/>
      <c r="G86" s="287"/>
      <c r="H86" s="287"/>
      <c r="I86" s="287"/>
      <c r="J86" s="287"/>
      <c r="K86" s="287"/>
      <c r="L86" s="287"/>
      <c r="M86" s="287"/>
      <c r="N86" s="287"/>
    </row>
    <row r="87" ht="13.5" customHeight="1">
      <c r="A87" s="281"/>
      <c r="B87" s="281" t="s">
        <v>218</v>
      </c>
      <c r="C87" s="287"/>
      <c r="D87" s="287"/>
      <c r="E87" s="287"/>
      <c r="F87" s="287"/>
      <c r="G87" s="287"/>
      <c r="H87" s="287"/>
      <c r="I87" s="287"/>
      <c r="J87" s="287"/>
      <c r="K87" s="287"/>
      <c r="L87" s="287"/>
      <c r="M87" s="287"/>
      <c r="N87" s="287"/>
    </row>
    <row r="88" ht="13.5" customHeight="1">
      <c r="A88" s="281"/>
      <c r="B88" s="288" t="s">
        <v>36</v>
      </c>
      <c r="C88" s="288">
        <f t="shared" ref="C88:N88" si="27">SUM(C86:C87)</f>
        <v>0</v>
      </c>
      <c r="D88" s="288">
        <f t="shared" si="27"/>
        <v>0</v>
      </c>
      <c r="E88" s="288">
        <f t="shared" si="27"/>
        <v>0</v>
      </c>
      <c r="F88" s="288">
        <f t="shared" si="27"/>
        <v>0</v>
      </c>
      <c r="G88" s="288">
        <f t="shared" si="27"/>
        <v>0</v>
      </c>
      <c r="H88" s="288">
        <f t="shared" si="27"/>
        <v>0</v>
      </c>
      <c r="I88" s="288">
        <f t="shared" si="27"/>
        <v>0</v>
      </c>
      <c r="J88" s="288">
        <f t="shared" si="27"/>
        <v>0</v>
      </c>
      <c r="K88" s="288">
        <f t="shared" si="27"/>
        <v>0</v>
      </c>
      <c r="L88" s="288">
        <f t="shared" si="27"/>
        <v>0</v>
      </c>
      <c r="M88" s="288">
        <f t="shared" si="27"/>
        <v>0</v>
      </c>
      <c r="N88" s="288">
        <f t="shared" si="27"/>
        <v>0</v>
      </c>
    </row>
    <row r="89" ht="13.5" customHeight="1">
      <c r="A89" s="281"/>
      <c r="B89" s="281"/>
      <c r="C89" s="281"/>
      <c r="D89" s="281"/>
      <c r="E89" s="281"/>
      <c r="F89" s="281"/>
      <c r="G89" s="281"/>
      <c r="H89" s="281"/>
      <c r="I89" s="281"/>
      <c r="J89" s="281"/>
      <c r="K89" s="281"/>
      <c r="L89" s="281"/>
      <c r="M89" s="281"/>
      <c r="N89" s="281"/>
    </row>
    <row r="90" ht="13.5" customHeight="1">
      <c r="A90" s="281"/>
      <c r="B90" s="309" t="s">
        <v>222</v>
      </c>
      <c r="C90" s="281"/>
      <c r="D90" s="281"/>
      <c r="E90" s="281"/>
      <c r="F90" s="281"/>
      <c r="G90" s="281"/>
      <c r="H90" s="281"/>
      <c r="I90" s="281"/>
      <c r="J90" s="281"/>
      <c r="K90" s="281"/>
      <c r="L90" s="281"/>
      <c r="M90" s="281"/>
      <c r="N90" s="281"/>
    </row>
    <row r="91" ht="13.5" customHeight="1">
      <c r="A91" s="281"/>
      <c r="B91" s="281" t="s">
        <v>76</v>
      </c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287"/>
      <c r="N91" s="287"/>
    </row>
    <row r="92" ht="13.5" customHeight="1">
      <c r="A92" s="281"/>
      <c r="B92" s="281" t="s">
        <v>218</v>
      </c>
      <c r="C92" s="287"/>
      <c r="D92" s="287"/>
      <c r="E92" s="287"/>
      <c r="F92" s="287"/>
      <c r="G92" s="287"/>
      <c r="H92" s="287"/>
      <c r="I92" s="287"/>
      <c r="J92" s="287"/>
      <c r="K92" s="287"/>
      <c r="L92" s="287"/>
      <c r="M92" s="287"/>
      <c r="N92" s="287"/>
    </row>
    <row r="93" ht="13.5" customHeight="1">
      <c r="A93" s="281"/>
      <c r="B93" s="288" t="s">
        <v>36</v>
      </c>
      <c r="C93" s="288">
        <f t="shared" ref="C93:N93" si="28">SUM(C91:C92)</f>
        <v>0</v>
      </c>
      <c r="D93" s="288">
        <f t="shared" si="28"/>
        <v>0</v>
      </c>
      <c r="E93" s="288">
        <f t="shared" si="28"/>
        <v>0</v>
      </c>
      <c r="F93" s="288">
        <f t="shared" si="28"/>
        <v>0</v>
      </c>
      <c r="G93" s="288">
        <f t="shared" si="28"/>
        <v>0</v>
      </c>
      <c r="H93" s="288">
        <f t="shared" si="28"/>
        <v>0</v>
      </c>
      <c r="I93" s="288">
        <f t="shared" si="28"/>
        <v>0</v>
      </c>
      <c r="J93" s="288">
        <f t="shared" si="28"/>
        <v>0</v>
      </c>
      <c r="K93" s="288">
        <f t="shared" si="28"/>
        <v>0</v>
      </c>
      <c r="L93" s="288">
        <f t="shared" si="28"/>
        <v>0</v>
      </c>
      <c r="M93" s="288">
        <f t="shared" si="28"/>
        <v>0</v>
      </c>
      <c r="N93" s="288">
        <f t="shared" si="28"/>
        <v>0</v>
      </c>
    </row>
    <row r="94" ht="13.5" customHeight="1">
      <c r="A94" s="281"/>
      <c r="B94" s="290" t="s">
        <v>223</v>
      </c>
      <c r="C94" s="304" t="str">
        <f t="shared" ref="C94:N94" si="29">C91/C86</f>
        <v>#DIV/0!</v>
      </c>
      <c r="D94" s="304" t="str">
        <f t="shared" si="29"/>
        <v>#DIV/0!</v>
      </c>
      <c r="E94" s="304" t="str">
        <f t="shared" si="29"/>
        <v>#DIV/0!</v>
      </c>
      <c r="F94" s="304" t="str">
        <f t="shared" si="29"/>
        <v>#DIV/0!</v>
      </c>
      <c r="G94" s="304" t="str">
        <f t="shared" si="29"/>
        <v>#DIV/0!</v>
      </c>
      <c r="H94" s="304" t="str">
        <f t="shared" si="29"/>
        <v>#DIV/0!</v>
      </c>
      <c r="I94" s="304" t="str">
        <f t="shared" si="29"/>
        <v>#DIV/0!</v>
      </c>
      <c r="J94" s="304" t="str">
        <f t="shared" si="29"/>
        <v>#DIV/0!</v>
      </c>
      <c r="K94" s="304" t="str">
        <f t="shared" si="29"/>
        <v>#DIV/0!</v>
      </c>
      <c r="L94" s="304" t="str">
        <f t="shared" si="29"/>
        <v>#DIV/0!</v>
      </c>
      <c r="M94" s="304" t="str">
        <f t="shared" si="29"/>
        <v>#DIV/0!</v>
      </c>
      <c r="N94" s="304" t="str">
        <f t="shared" si="29"/>
        <v>#DIV/0!</v>
      </c>
    </row>
    <row r="95" ht="13.5" customHeight="1">
      <c r="A95" s="281"/>
      <c r="B95" s="290" t="s">
        <v>224</v>
      </c>
      <c r="C95" s="304" t="str">
        <f t="shared" ref="C95:N95" si="30">C92/C87</f>
        <v>#DIV/0!</v>
      </c>
      <c r="D95" s="304" t="str">
        <f t="shared" si="30"/>
        <v>#DIV/0!</v>
      </c>
      <c r="E95" s="304" t="str">
        <f t="shared" si="30"/>
        <v>#DIV/0!</v>
      </c>
      <c r="F95" s="304" t="str">
        <f t="shared" si="30"/>
        <v>#DIV/0!</v>
      </c>
      <c r="G95" s="304" t="str">
        <f t="shared" si="30"/>
        <v>#DIV/0!</v>
      </c>
      <c r="H95" s="304" t="str">
        <f t="shared" si="30"/>
        <v>#DIV/0!</v>
      </c>
      <c r="I95" s="304" t="str">
        <f t="shared" si="30"/>
        <v>#DIV/0!</v>
      </c>
      <c r="J95" s="304" t="str">
        <f t="shared" si="30"/>
        <v>#DIV/0!</v>
      </c>
      <c r="K95" s="304" t="str">
        <f t="shared" si="30"/>
        <v>#DIV/0!</v>
      </c>
      <c r="L95" s="304" t="str">
        <f t="shared" si="30"/>
        <v>#DIV/0!</v>
      </c>
      <c r="M95" s="304" t="str">
        <f t="shared" si="30"/>
        <v>#DIV/0!</v>
      </c>
      <c r="N95" s="304" t="str">
        <f t="shared" si="30"/>
        <v>#DIV/0!</v>
      </c>
    </row>
    <row r="96" ht="13.5" customHeight="1">
      <c r="A96" s="281"/>
      <c r="B96" s="310" t="s">
        <v>225</v>
      </c>
      <c r="C96" s="311" t="str">
        <f t="shared" ref="C96:N96" si="31">C93/C88</f>
        <v>#DIV/0!</v>
      </c>
      <c r="D96" s="311" t="str">
        <f t="shared" si="31"/>
        <v>#DIV/0!</v>
      </c>
      <c r="E96" s="311" t="str">
        <f t="shared" si="31"/>
        <v>#DIV/0!</v>
      </c>
      <c r="F96" s="311" t="str">
        <f t="shared" si="31"/>
        <v>#DIV/0!</v>
      </c>
      <c r="G96" s="311" t="str">
        <f t="shared" si="31"/>
        <v>#DIV/0!</v>
      </c>
      <c r="H96" s="311" t="str">
        <f t="shared" si="31"/>
        <v>#DIV/0!</v>
      </c>
      <c r="I96" s="311" t="str">
        <f t="shared" si="31"/>
        <v>#DIV/0!</v>
      </c>
      <c r="J96" s="311" t="str">
        <f t="shared" si="31"/>
        <v>#DIV/0!</v>
      </c>
      <c r="K96" s="311" t="str">
        <f t="shared" si="31"/>
        <v>#DIV/0!</v>
      </c>
      <c r="L96" s="311" t="str">
        <f t="shared" si="31"/>
        <v>#DIV/0!</v>
      </c>
      <c r="M96" s="311" t="str">
        <f t="shared" si="31"/>
        <v>#DIV/0!</v>
      </c>
      <c r="N96" s="311" t="str">
        <f t="shared" si="31"/>
        <v>#DIV/0!</v>
      </c>
    </row>
    <row r="97" ht="13.5" customHeight="1">
      <c r="A97" s="281"/>
      <c r="B97" s="281"/>
      <c r="C97" s="281"/>
      <c r="D97" s="281"/>
      <c r="E97" s="281"/>
      <c r="F97" s="281"/>
      <c r="G97" s="281"/>
      <c r="H97" s="281"/>
      <c r="I97" s="281"/>
      <c r="J97" s="281"/>
      <c r="K97" s="281"/>
      <c r="L97" s="281"/>
      <c r="M97" s="281"/>
      <c r="N97" s="281"/>
    </row>
    <row r="98" ht="13.5" customHeight="1">
      <c r="A98" s="281"/>
      <c r="B98" s="309" t="s">
        <v>226</v>
      </c>
      <c r="C98" s="281"/>
      <c r="D98" s="281"/>
      <c r="E98" s="281"/>
      <c r="F98" s="281"/>
      <c r="G98" s="281"/>
      <c r="H98" s="281"/>
      <c r="I98" s="281"/>
      <c r="J98" s="281"/>
      <c r="K98" s="281"/>
      <c r="L98" s="281"/>
      <c r="M98" s="281"/>
      <c r="N98" s="281"/>
    </row>
    <row r="99" ht="13.5" customHeight="1">
      <c r="A99" s="281"/>
      <c r="B99" s="281" t="s">
        <v>76</v>
      </c>
      <c r="C99" s="287"/>
      <c r="D99" s="287"/>
      <c r="E99" s="287"/>
      <c r="F99" s="287"/>
      <c r="G99" s="287"/>
      <c r="H99" s="287"/>
      <c r="I99" s="287"/>
      <c r="J99" s="287"/>
      <c r="K99" s="287"/>
      <c r="L99" s="287"/>
      <c r="M99" s="287"/>
      <c r="N99" s="287"/>
    </row>
    <row r="100" ht="13.5" customHeight="1">
      <c r="A100" s="281"/>
      <c r="B100" s="281" t="s">
        <v>77</v>
      </c>
      <c r="C100" s="287"/>
      <c r="D100" s="287"/>
      <c r="E100" s="287"/>
      <c r="F100" s="287"/>
      <c r="G100" s="287"/>
      <c r="H100" s="287"/>
      <c r="I100" s="287"/>
      <c r="J100" s="287"/>
      <c r="K100" s="287"/>
      <c r="L100" s="287"/>
      <c r="M100" s="287"/>
      <c r="N100" s="287"/>
    </row>
    <row r="101" ht="13.5" customHeight="1">
      <c r="A101" s="281"/>
      <c r="B101" s="288" t="s">
        <v>36</v>
      </c>
      <c r="C101" s="288">
        <f t="shared" ref="C101:N101" si="32">SUM(C99:C100)</f>
        <v>0</v>
      </c>
      <c r="D101" s="288">
        <f t="shared" si="32"/>
        <v>0</v>
      </c>
      <c r="E101" s="288">
        <f t="shared" si="32"/>
        <v>0</v>
      </c>
      <c r="F101" s="288">
        <f t="shared" si="32"/>
        <v>0</v>
      </c>
      <c r="G101" s="288">
        <f t="shared" si="32"/>
        <v>0</v>
      </c>
      <c r="H101" s="288">
        <f t="shared" si="32"/>
        <v>0</v>
      </c>
      <c r="I101" s="288">
        <f t="shared" si="32"/>
        <v>0</v>
      </c>
      <c r="J101" s="288">
        <f t="shared" si="32"/>
        <v>0</v>
      </c>
      <c r="K101" s="288">
        <f t="shared" si="32"/>
        <v>0</v>
      </c>
      <c r="L101" s="288">
        <f t="shared" si="32"/>
        <v>0</v>
      </c>
      <c r="M101" s="288">
        <f t="shared" si="32"/>
        <v>0</v>
      </c>
      <c r="N101" s="288">
        <f t="shared" si="32"/>
        <v>0</v>
      </c>
    </row>
    <row r="102" ht="13.5" customHeight="1">
      <c r="A102" s="281"/>
      <c r="B102" s="290" t="s">
        <v>227</v>
      </c>
      <c r="C102" s="304" t="str">
        <f t="shared" ref="C102:N102" si="33">C99/C91</f>
        <v>#DIV/0!</v>
      </c>
      <c r="D102" s="304" t="str">
        <f t="shared" si="33"/>
        <v>#DIV/0!</v>
      </c>
      <c r="E102" s="304" t="str">
        <f t="shared" si="33"/>
        <v>#DIV/0!</v>
      </c>
      <c r="F102" s="304" t="str">
        <f t="shared" si="33"/>
        <v>#DIV/0!</v>
      </c>
      <c r="G102" s="304" t="str">
        <f t="shared" si="33"/>
        <v>#DIV/0!</v>
      </c>
      <c r="H102" s="304" t="str">
        <f t="shared" si="33"/>
        <v>#DIV/0!</v>
      </c>
      <c r="I102" s="304" t="str">
        <f t="shared" si="33"/>
        <v>#DIV/0!</v>
      </c>
      <c r="J102" s="304" t="str">
        <f t="shared" si="33"/>
        <v>#DIV/0!</v>
      </c>
      <c r="K102" s="304" t="str">
        <f t="shared" si="33"/>
        <v>#DIV/0!</v>
      </c>
      <c r="L102" s="304" t="str">
        <f t="shared" si="33"/>
        <v>#DIV/0!</v>
      </c>
      <c r="M102" s="304" t="str">
        <f t="shared" si="33"/>
        <v>#DIV/0!</v>
      </c>
      <c r="N102" s="304" t="str">
        <f t="shared" si="33"/>
        <v>#DIV/0!</v>
      </c>
    </row>
    <row r="103" ht="13.5" customHeight="1">
      <c r="A103" s="281"/>
      <c r="B103" s="290" t="s">
        <v>228</v>
      </c>
      <c r="C103" s="304" t="str">
        <f t="shared" ref="C103:N103" si="34">C100/C92</f>
        <v>#DIV/0!</v>
      </c>
      <c r="D103" s="304" t="str">
        <f t="shared" si="34"/>
        <v>#DIV/0!</v>
      </c>
      <c r="E103" s="304" t="str">
        <f t="shared" si="34"/>
        <v>#DIV/0!</v>
      </c>
      <c r="F103" s="304" t="str">
        <f t="shared" si="34"/>
        <v>#DIV/0!</v>
      </c>
      <c r="G103" s="304" t="str">
        <f t="shared" si="34"/>
        <v>#DIV/0!</v>
      </c>
      <c r="H103" s="304" t="str">
        <f t="shared" si="34"/>
        <v>#DIV/0!</v>
      </c>
      <c r="I103" s="304" t="str">
        <f t="shared" si="34"/>
        <v>#DIV/0!</v>
      </c>
      <c r="J103" s="304" t="str">
        <f t="shared" si="34"/>
        <v>#DIV/0!</v>
      </c>
      <c r="K103" s="304" t="str">
        <f t="shared" si="34"/>
        <v>#DIV/0!</v>
      </c>
      <c r="L103" s="304" t="str">
        <f t="shared" si="34"/>
        <v>#DIV/0!</v>
      </c>
      <c r="M103" s="304" t="str">
        <f t="shared" si="34"/>
        <v>#DIV/0!</v>
      </c>
      <c r="N103" s="304" t="str">
        <f t="shared" si="34"/>
        <v>#DIV/0!</v>
      </c>
    </row>
    <row r="104" ht="13.5" customHeight="1">
      <c r="A104" s="281"/>
      <c r="B104" s="310" t="s">
        <v>229</v>
      </c>
      <c r="C104" s="312" t="str">
        <f t="shared" ref="C104:N104" si="35">C101/C93</f>
        <v>#DIV/0!</v>
      </c>
      <c r="D104" s="312" t="str">
        <f t="shared" si="35"/>
        <v>#DIV/0!</v>
      </c>
      <c r="E104" s="312" t="str">
        <f t="shared" si="35"/>
        <v>#DIV/0!</v>
      </c>
      <c r="F104" s="312" t="str">
        <f t="shared" si="35"/>
        <v>#DIV/0!</v>
      </c>
      <c r="G104" s="312" t="str">
        <f t="shared" si="35"/>
        <v>#DIV/0!</v>
      </c>
      <c r="H104" s="312" t="str">
        <f t="shared" si="35"/>
        <v>#DIV/0!</v>
      </c>
      <c r="I104" s="312" t="str">
        <f t="shared" si="35"/>
        <v>#DIV/0!</v>
      </c>
      <c r="J104" s="312" t="str">
        <f t="shared" si="35"/>
        <v>#DIV/0!</v>
      </c>
      <c r="K104" s="312" t="str">
        <f t="shared" si="35"/>
        <v>#DIV/0!</v>
      </c>
      <c r="L104" s="312" t="str">
        <f t="shared" si="35"/>
        <v>#DIV/0!</v>
      </c>
      <c r="M104" s="312" t="str">
        <f t="shared" si="35"/>
        <v>#DIV/0!</v>
      </c>
      <c r="N104" s="312" t="str">
        <f t="shared" si="35"/>
        <v>#DIV/0!</v>
      </c>
    </row>
    <row r="105" ht="13.5" customHeight="1">
      <c r="A105" s="281"/>
      <c r="B105" s="281"/>
      <c r="C105" s="281"/>
      <c r="D105" s="281"/>
      <c r="E105" s="281"/>
      <c r="F105" s="281"/>
      <c r="G105" s="281"/>
      <c r="H105" s="281"/>
      <c r="I105" s="281"/>
      <c r="J105" s="281"/>
      <c r="K105" s="281"/>
      <c r="L105" s="281"/>
      <c r="M105" s="281"/>
      <c r="N105" s="281"/>
    </row>
    <row r="106" ht="13.5" customHeight="1">
      <c r="A106" s="281"/>
      <c r="B106" s="309" t="s">
        <v>230</v>
      </c>
      <c r="C106" s="281"/>
      <c r="D106" s="281"/>
      <c r="E106" s="281"/>
      <c r="F106" s="281"/>
      <c r="G106" s="281"/>
      <c r="H106" s="281"/>
      <c r="I106" s="281"/>
      <c r="J106" s="281"/>
      <c r="K106" s="281"/>
      <c r="L106" s="281"/>
      <c r="M106" s="281"/>
      <c r="N106" s="281"/>
    </row>
    <row r="107" ht="13.5" customHeight="1">
      <c r="A107" s="281"/>
      <c r="B107" s="281" t="s">
        <v>76</v>
      </c>
      <c r="C107" s="281" t="str">
        <f t="shared" ref="C107:N107" si="36">C81/C99</f>
        <v>#DIV/0!</v>
      </c>
      <c r="D107" s="281" t="str">
        <f t="shared" si="36"/>
        <v>#DIV/0!</v>
      </c>
      <c r="E107" s="281" t="str">
        <f t="shared" si="36"/>
        <v>#DIV/0!</v>
      </c>
      <c r="F107" s="281" t="str">
        <f t="shared" si="36"/>
        <v>#DIV/0!</v>
      </c>
      <c r="G107" s="281" t="str">
        <f t="shared" si="36"/>
        <v>#DIV/0!</v>
      </c>
      <c r="H107" s="281" t="str">
        <f t="shared" si="36"/>
        <v>#DIV/0!</v>
      </c>
      <c r="I107" s="281" t="str">
        <f t="shared" si="36"/>
        <v>#DIV/0!</v>
      </c>
      <c r="J107" s="281" t="str">
        <f t="shared" si="36"/>
        <v>#DIV/0!</v>
      </c>
      <c r="K107" s="281" t="str">
        <f t="shared" si="36"/>
        <v>#DIV/0!</v>
      </c>
      <c r="L107" s="281" t="str">
        <f t="shared" si="36"/>
        <v>#DIV/0!</v>
      </c>
      <c r="M107" s="281" t="str">
        <f t="shared" si="36"/>
        <v>#DIV/0!</v>
      </c>
      <c r="N107" s="281" t="str">
        <f t="shared" si="36"/>
        <v>#DIV/0!</v>
      </c>
    </row>
    <row r="108" ht="13.5" customHeight="1">
      <c r="A108" s="281"/>
      <c r="B108" s="281" t="s">
        <v>77</v>
      </c>
      <c r="C108" s="281" t="str">
        <f t="shared" ref="C108:N108" si="37">C82/C100</f>
        <v>#DIV/0!</v>
      </c>
      <c r="D108" s="281" t="str">
        <f t="shared" si="37"/>
        <v>#DIV/0!</v>
      </c>
      <c r="E108" s="281" t="str">
        <f t="shared" si="37"/>
        <v>#DIV/0!</v>
      </c>
      <c r="F108" s="281" t="str">
        <f t="shared" si="37"/>
        <v>#DIV/0!</v>
      </c>
      <c r="G108" s="281" t="str">
        <f t="shared" si="37"/>
        <v>#DIV/0!</v>
      </c>
      <c r="H108" s="281" t="str">
        <f t="shared" si="37"/>
        <v>#DIV/0!</v>
      </c>
      <c r="I108" s="281" t="str">
        <f t="shared" si="37"/>
        <v>#DIV/0!</v>
      </c>
      <c r="J108" s="281" t="str">
        <f t="shared" si="37"/>
        <v>#DIV/0!</v>
      </c>
      <c r="K108" s="281" t="str">
        <f t="shared" si="37"/>
        <v>#DIV/0!</v>
      </c>
      <c r="L108" s="281" t="str">
        <f t="shared" si="37"/>
        <v>#DIV/0!</v>
      </c>
      <c r="M108" s="281" t="str">
        <f t="shared" si="37"/>
        <v>#DIV/0!</v>
      </c>
      <c r="N108" s="281" t="str">
        <f t="shared" si="37"/>
        <v>#DIV/0!</v>
      </c>
    </row>
    <row r="109" ht="13.5" customHeight="1">
      <c r="A109" s="281"/>
      <c r="B109" s="281"/>
      <c r="C109" s="281"/>
      <c r="D109" s="281"/>
      <c r="E109" s="281"/>
      <c r="F109" s="281"/>
      <c r="G109" s="281"/>
      <c r="H109" s="281"/>
      <c r="I109" s="281"/>
      <c r="J109" s="281"/>
      <c r="K109" s="281"/>
      <c r="L109" s="281"/>
      <c r="M109" s="281"/>
      <c r="N109" s="281"/>
    </row>
    <row r="110" ht="13.5" customHeight="1">
      <c r="A110" s="281"/>
      <c r="B110" s="281"/>
      <c r="C110" s="281"/>
      <c r="D110" s="281"/>
      <c r="E110" s="281"/>
      <c r="F110" s="281"/>
      <c r="G110" s="281"/>
      <c r="H110" s="281"/>
      <c r="I110" s="281"/>
      <c r="J110" s="281"/>
      <c r="K110" s="281"/>
      <c r="L110" s="281"/>
      <c r="M110" s="281"/>
      <c r="N110" s="281"/>
    </row>
    <row r="111" ht="13.5" customHeight="1">
      <c r="A111" s="281"/>
      <c r="B111" s="281"/>
      <c r="C111" s="281"/>
      <c r="D111" s="281"/>
      <c r="E111" s="281"/>
      <c r="F111" s="281"/>
      <c r="G111" s="281"/>
      <c r="H111" s="281"/>
      <c r="I111" s="281"/>
      <c r="J111" s="281"/>
      <c r="K111" s="281"/>
      <c r="L111" s="281"/>
      <c r="M111" s="281"/>
      <c r="N111" s="281"/>
    </row>
    <row r="112" ht="13.5" customHeight="1">
      <c r="A112" s="281"/>
      <c r="B112" s="281"/>
      <c r="C112" s="281"/>
      <c r="D112" s="281"/>
      <c r="E112" s="281"/>
      <c r="F112" s="281"/>
      <c r="G112" s="281"/>
      <c r="H112" s="281"/>
      <c r="I112" s="281"/>
      <c r="J112" s="281"/>
      <c r="K112" s="281"/>
      <c r="L112" s="281"/>
      <c r="M112" s="281"/>
      <c r="N112" s="281"/>
    </row>
    <row r="113" ht="13.5" customHeight="1">
      <c r="A113" s="281"/>
      <c r="B113" s="281"/>
      <c r="C113" s="281"/>
      <c r="D113" s="281"/>
      <c r="E113" s="281"/>
      <c r="F113" s="281"/>
      <c r="G113" s="281"/>
      <c r="H113" s="281"/>
      <c r="I113" s="281"/>
      <c r="J113" s="281"/>
      <c r="K113" s="281"/>
      <c r="L113" s="281"/>
      <c r="M113" s="281"/>
      <c r="N113" s="281"/>
    </row>
    <row r="114" ht="13.5" customHeight="1">
      <c r="A114" s="281"/>
      <c r="B114" s="281"/>
      <c r="C114" s="281"/>
      <c r="D114" s="281"/>
      <c r="E114" s="281"/>
      <c r="F114" s="281"/>
      <c r="G114" s="281"/>
      <c r="H114" s="281"/>
      <c r="I114" s="281"/>
      <c r="J114" s="281"/>
      <c r="K114" s="281"/>
      <c r="L114" s="281"/>
      <c r="M114" s="281"/>
      <c r="N114" s="281"/>
    </row>
    <row r="115" ht="13.5" customHeight="1">
      <c r="A115" s="281"/>
      <c r="B115" s="281"/>
      <c r="C115" s="281"/>
      <c r="D115" s="281"/>
      <c r="E115" s="281"/>
      <c r="F115" s="281"/>
      <c r="G115" s="281"/>
      <c r="H115" s="281"/>
      <c r="I115" s="281"/>
      <c r="J115" s="281"/>
      <c r="K115" s="281"/>
      <c r="L115" s="281"/>
      <c r="M115" s="281"/>
      <c r="N115" s="281"/>
    </row>
    <row r="116" ht="13.5" customHeight="1">
      <c r="A116" s="281"/>
      <c r="B116" s="281"/>
      <c r="C116" s="281"/>
      <c r="D116" s="281"/>
      <c r="E116" s="281"/>
      <c r="F116" s="281"/>
      <c r="G116" s="281"/>
      <c r="H116" s="281"/>
      <c r="I116" s="281"/>
      <c r="J116" s="281"/>
      <c r="K116" s="281"/>
      <c r="L116" s="281"/>
      <c r="M116" s="281"/>
      <c r="N116" s="281"/>
    </row>
    <row r="117" ht="13.5" customHeight="1">
      <c r="A117" s="281"/>
      <c r="B117" s="281"/>
      <c r="C117" s="281"/>
      <c r="D117" s="281"/>
      <c r="E117" s="281"/>
      <c r="F117" s="281"/>
      <c r="G117" s="281"/>
      <c r="H117" s="281"/>
      <c r="I117" s="281"/>
      <c r="J117" s="281"/>
      <c r="K117" s="281"/>
      <c r="L117" s="281"/>
      <c r="M117" s="281"/>
      <c r="N117" s="281"/>
    </row>
    <row r="118" ht="13.5" customHeight="1">
      <c r="A118" s="281"/>
      <c r="B118" s="281"/>
      <c r="C118" s="281"/>
      <c r="D118" s="281"/>
      <c r="E118" s="281"/>
      <c r="F118" s="281"/>
      <c r="G118" s="281"/>
      <c r="H118" s="281"/>
      <c r="I118" s="281"/>
      <c r="J118" s="281"/>
      <c r="K118" s="281"/>
      <c r="L118" s="281"/>
      <c r="M118" s="281"/>
      <c r="N118" s="281"/>
    </row>
    <row r="119" ht="13.5" customHeight="1">
      <c r="A119" s="281"/>
      <c r="B119" s="281"/>
      <c r="C119" s="281"/>
      <c r="D119" s="281"/>
      <c r="E119" s="281"/>
      <c r="F119" s="281"/>
      <c r="G119" s="281"/>
      <c r="H119" s="281"/>
      <c r="I119" s="281"/>
      <c r="J119" s="281"/>
      <c r="K119" s="281"/>
      <c r="L119" s="281"/>
      <c r="M119" s="281"/>
      <c r="N119" s="281"/>
    </row>
    <row r="120" ht="13.5" customHeight="1">
      <c r="A120" s="281"/>
      <c r="B120" s="281"/>
      <c r="C120" s="281"/>
      <c r="D120" s="281"/>
      <c r="E120" s="281"/>
      <c r="F120" s="281"/>
      <c r="G120" s="281"/>
      <c r="H120" s="281"/>
      <c r="I120" s="281"/>
      <c r="J120" s="281"/>
      <c r="K120" s="281"/>
      <c r="L120" s="281"/>
      <c r="M120" s="281"/>
      <c r="N120" s="281"/>
    </row>
    <row r="121" ht="13.5" customHeight="1">
      <c r="A121" s="281"/>
      <c r="B121" s="281"/>
      <c r="C121" s="281"/>
      <c r="D121" s="281"/>
      <c r="E121" s="281"/>
      <c r="F121" s="281"/>
      <c r="G121" s="281"/>
      <c r="H121" s="281"/>
      <c r="I121" s="281"/>
      <c r="J121" s="281"/>
      <c r="K121" s="281"/>
      <c r="L121" s="281"/>
      <c r="M121" s="281"/>
      <c r="N121" s="281"/>
    </row>
    <row r="122" ht="13.5" customHeight="1">
      <c r="A122" s="281"/>
      <c r="B122" s="281"/>
      <c r="C122" s="281"/>
      <c r="D122" s="281"/>
      <c r="E122" s="281"/>
      <c r="F122" s="281"/>
      <c r="G122" s="281"/>
      <c r="H122" s="281"/>
      <c r="I122" s="281"/>
      <c r="J122" s="281"/>
      <c r="K122" s="281"/>
      <c r="L122" s="281"/>
      <c r="M122" s="281"/>
      <c r="N122" s="281"/>
    </row>
    <row r="123" ht="13.5" customHeight="1">
      <c r="A123" s="281"/>
      <c r="B123" s="281"/>
      <c r="C123" s="281"/>
      <c r="D123" s="281"/>
      <c r="E123" s="281"/>
      <c r="F123" s="281"/>
      <c r="G123" s="281"/>
      <c r="H123" s="281"/>
      <c r="I123" s="281"/>
      <c r="J123" s="281"/>
      <c r="K123" s="281"/>
      <c r="L123" s="281"/>
      <c r="M123" s="281"/>
      <c r="N123" s="281"/>
    </row>
    <row r="124" ht="13.5" customHeight="1">
      <c r="A124" s="281"/>
      <c r="B124" s="281"/>
      <c r="C124" s="281"/>
      <c r="D124" s="281"/>
      <c r="E124" s="281"/>
      <c r="F124" s="281"/>
      <c r="G124" s="281"/>
      <c r="H124" s="281"/>
      <c r="I124" s="281"/>
      <c r="J124" s="281"/>
      <c r="K124" s="281"/>
      <c r="L124" s="281"/>
      <c r="M124" s="281"/>
      <c r="N124" s="281"/>
    </row>
    <row r="125" ht="13.5" customHeight="1">
      <c r="A125" s="281"/>
      <c r="B125" s="281"/>
      <c r="C125" s="281"/>
      <c r="D125" s="281"/>
      <c r="E125" s="281"/>
      <c r="F125" s="281"/>
      <c r="G125" s="281"/>
      <c r="H125" s="281"/>
      <c r="I125" s="281"/>
      <c r="J125" s="281"/>
      <c r="K125" s="281"/>
      <c r="L125" s="281"/>
      <c r="M125" s="281"/>
      <c r="N125" s="281"/>
    </row>
    <row r="126" ht="13.5" customHeight="1">
      <c r="A126" s="281"/>
      <c r="B126" s="281"/>
      <c r="C126" s="281"/>
      <c r="D126" s="281"/>
      <c r="E126" s="281"/>
      <c r="F126" s="281"/>
      <c r="G126" s="281"/>
      <c r="H126" s="281"/>
      <c r="I126" s="281"/>
      <c r="J126" s="281"/>
      <c r="K126" s="281"/>
      <c r="L126" s="281"/>
      <c r="M126" s="281"/>
      <c r="N126" s="281"/>
    </row>
    <row r="127" ht="13.5" customHeight="1">
      <c r="A127" s="281"/>
      <c r="B127" s="281"/>
      <c r="C127" s="281"/>
      <c r="D127" s="281"/>
      <c r="E127" s="281"/>
      <c r="F127" s="281"/>
      <c r="G127" s="281"/>
      <c r="H127" s="281"/>
      <c r="I127" s="281"/>
      <c r="J127" s="281"/>
      <c r="K127" s="281"/>
      <c r="L127" s="281"/>
      <c r="M127" s="281"/>
      <c r="N127" s="281"/>
    </row>
    <row r="128" ht="13.5" customHeight="1">
      <c r="A128" s="281"/>
      <c r="B128" s="281"/>
      <c r="C128" s="281"/>
      <c r="D128" s="281"/>
      <c r="E128" s="281"/>
      <c r="F128" s="281"/>
      <c r="G128" s="281"/>
      <c r="H128" s="281"/>
      <c r="I128" s="281"/>
      <c r="J128" s="281"/>
      <c r="K128" s="281"/>
      <c r="L128" s="281"/>
      <c r="M128" s="281"/>
      <c r="N128" s="281"/>
    </row>
    <row r="129" ht="13.5" customHeight="1">
      <c r="A129" s="281"/>
      <c r="B129" s="281"/>
      <c r="C129" s="281"/>
      <c r="D129" s="281"/>
      <c r="E129" s="281"/>
      <c r="F129" s="281"/>
      <c r="G129" s="281"/>
      <c r="H129" s="281"/>
      <c r="I129" s="281"/>
      <c r="J129" s="281"/>
      <c r="K129" s="281"/>
      <c r="L129" s="281"/>
      <c r="M129" s="281"/>
      <c r="N129" s="281"/>
    </row>
    <row r="130" ht="13.5" customHeight="1">
      <c r="A130" s="281"/>
      <c r="B130" s="281"/>
      <c r="C130" s="281"/>
      <c r="D130" s="281"/>
      <c r="E130" s="281"/>
      <c r="F130" s="281"/>
      <c r="G130" s="281"/>
      <c r="H130" s="281"/>
      <c r="I130" s="281"/>
      <c r="J130" s="281"/>
      <c r="K130" s="281"/>
      <c r="L130" s="281"/>
      <c r="M130" s="281"/>
      <c r="N130" s="281"/>
    </row>
    <row r="131" ht="13.5" customHeight="1">
      <c r="A131" s="281"/>
      <c r="B131" s="281"/>
      <c r="C131" s="281"/>
      <c r="D131" s="281"/>
      <c r="E131" s="281"/>
      <c r="F131" s="281"/>
      <c r="G131" s="281"/>
      <c r="H131" s="281"/>
      <c r="I131" s="281"/>
      <c r="J131" s="281"/>
      <c r="K131" s="281"/>
      <c r="L131" s="281"/>
      <c r="M131" s="281"/>
      <c r="N131" s="281"/>
    </row>
    <row r="132" ht="13.5" customHeight="1">
      <c r="A132" s="281"/>
      <c r="B132" s="281"/>
      <c r="C132" s="281"/>
      <c r="D132" s="281"/>
      <c r="E132" s="281"/>
      <c r="F132" s="281"/>
      <c r="G132" s="281"/>
      <c r="H132" s="281"/>
      <c r="I132" s="281"/>
      <c r="J132" s="281"/>
      <c r="K132" s="281"/>
      <c r="L132" s="281"/>
      <c r="M132" s="281"/>
      <c r="N132" s="281"/>
    </row>
    <row r="133" ht="13.5" customHeight="1">
      <c r="A133" s="281"/>
      <c r="B133" s="281"/>
      <c r="C133" s="281"/>
      <c r="D133" s="281"/>
      <c r="E133" s="281"/>
      <c r="F133" s="281"/>
      <c r="G133" s="281"/>
      <c r="H133" s="281"/>
      <c r="I133" s="281"/>
      <c r="J133" s="281"/>
      <c r="K133" s="281"/>
      <c r="L133" s="281"/>
      <c r="M133" s="281"/>
      <c r="N133" s="281"/>
    </row>
    <row r="134" ht="13.5" customHeight="1">
      <c r="A134" s="281"/>
      <c r="B134" s="281"/>
      <c r="C134" s="281"/>
      <c r="D134" s="281"/>
      <c r="E134" s="281"/>
      <c r="F134" s="281"/>
      <c r="G134" s="281"/>
      <c r="H134" s="281"/>
      <c r="I134" s="281"/>
      <c r="J134" s="281"/>
      <c r="K134" s="281"/>
      <c r="L134" s="281"/>
      <c r="M134" s="281"/>
      <c r="N134" s="281"/>
    </row>
    <row r="135" ht="13.5" customHeight="1">
      <c r="A135" s="281"/>
      <c r="B135" s="281"/>
      <c r="C135" s="281"/>
      <c r="D135" s="281"/>
      <c r="E135" s="281"/>
      <c r="F135" s="281"/>
      <c r="G135" s="281"/>
      <c r="H135" s="281"/>
      <c r="I135" s="281"/>
      <c r="J135" s="281"/>
      <c r="K135" s="281"/>
      <c r="L135" s="281"/>
      <c r="M135" s="281"/>
      <c r="N135" s="281"/>
    </row>
    <row r="136" ht="13.5" customHeight="1">
      <c r="A136" s="281"/>
      <c r="B136" s="281"/>
      <c r="C136" s="281"/>
      <c r="D136" s="281"/>
      <c r="E136" s="281"/>
      <c r="F136" s="281"/>
      <c r="G136" s="281"/>
      <c r="H136" s="281"/>
      <c r="I136" s="281"/>
      <c r="J136" s="281"/>
      <c r="K136" s="281"/>
      <c r="L136" s="281"/>
      <c r="M136" s="281"/>
      <c r="N136" s="281"/>
    </row>
    <row r="137" ht="13.5" customHeight="1">
      <c r="A137" s="281"/>
      <c r="B137" s="281"/>
      <c r="C137" s="281"/>
      <c r="D137" s="281"/>
      <c r="E137" s="281"/>
      <c r="F137" s="281"/>
      <c r="G137" s="281"/>
      <c r="H137" s="281"/>
      <c r="I137" s="281"/>
      <c r="J137" s="281"/>
      <c r="K137" s="281"/>
      <c r="L137" s="281"/>
      <c r="M137" s="281"/>
      <c r="N137" s="281"/>
    </row>
    <row r="138" ht="13.5" customHeight="1">
      <c r="A138" s="281"/>
      <c r="B138" s="281"/>
      <c r="C138" s="281"/>
      <c r="D138" s="281"/>
      <c r="E138" s="281"/>
      <c r="F138" s="281"/>
      <c r="G138" s="281"/>
      <c r="H138" s="281"/>
      <c r="I138" s="281"/>
      <c r="J138" s="281"/>
      <c r="K138" s="281"/>
      <c r="L138" s="281"/>
      <c r="M138" s="281"/>
      <c r="N138" s="281"/>
    </row>
    <row r="139" ht="13.5" customHeight="1">
      <c r="A139" s="281"/>
      <c r="B139" s="281"/>
      <c r="C139" s="281"/>
      <c r="D139" s="281"/>
      <c r="E139" s="281"/>
      <c r="F139" s="281"/>
      <c r="G139" s="281"/>
      <c r="H139" s="281"/>
      <c r="I139" s="281"/>
      <c r="J139" s="281"/>
      <c r="K139" s="281"/>
      <c r="L139" s="281"/>
      <c r="M139" s="281"/>
      <c r="N139" s="281"/>
    </row>
    <row r="140" ht="13.5" customHeight="1">
      <c r="A140" s="281"/>
      <c r="B140" s="281"/>
      <c r="C140" s="281"/>
      <c r="D140" s="281"/>
      <c r="E140" s="281"/>
      <c r="F140" s="281"/>
      <c r="G140" s="281"/>
      <c r="H140" s="281"/>
      <c r="I140" s="281"/>
      <c r="J140" s="281"/>
      <c r="K140" s="281"/>
      <c r="L140" s="281"/>
      <c r="M140" s="281"/>
      <c r="N140" s="281"/>
    </row>
    <row r="141" ht="13.5" customHeight="1">
      <c r="A141" s="281"/>
      <c r="B141" s="281"/>
      <c r="C141" s="281"/>
      <c r="D141" s="281"/>
      <c r="E141" s="281"/>
      <c r="F141" s="281"/>
      <c r="G141" s="281"/>
      <c r="H141" s="281"/>
      <c r="I141" s="281"/>
      <c r="J141" s="281"/>
      <c r="K141" s="281"/>
      <c r="L141" s="281"/>
      <c r="M141" s="281"/>
      <c r="N141" s="281"/>
    </row>
    <row r="142" ht="13.5" customHeight="1">
      <c r="A142" s="281"/>
      <c r="B142" s="281"/>
      <c r="C142" s="281"/>
      <c r="D142" s="281"/>
      <c r="E142" s="281"/>
      <c r="F142" s="281"/>
      <c r="G142" s="281"/>
      <c r="H142" s="281"/>
      <c r="I142" s="281"/>
      <c r="J142" s="281"/>
      <c r="K142" s="281"/>
      <c r="L142" s="281"/>
      <c r="M142" s="281"/>
      <c r="N142" s="281"/>
    </row>
    <row r="143" ht="13.5" customHeight="1">
      <c r="A143" s="281"/>
      <c r="B143" s="281"/>
      <c r="C143" s="281"/>
      <c r="D143" s="281"/>
      <c r="E143" s="281"/>
      <c r="F143" s="281"/>
      <c r="G143" s="281"/>
      <c r="H143" s="281"/>
      <c r="I143" s="281"/>
      <c r="J143" s="281"/>
      <c r="K143" s="281"/>
      <c r="L143" s="281"/>
      <c r="M143" s="281"/>
      <c r="N143" s="281"/>
    </row>
    <row r="144" ht="13.5" customHeight="1">
      <c r="A144" s="281"/>
      <c r="B144" s="281"/>
      <c r="C144" s="281"/>
      <c r="D144" s="281"/>
      <c r="E144" s="281"/>
      <c r="F144" s="281"/>
      <c r="G144" s="281"/>
      <c r="H144" s="281"/>
      <c r="I144" s="281"/>
      <c r="J144" s="281"/>
      <c r="K144" s="281"/>
      <c r="L144" s="281"/>
      <c r="M144" s="281"/>
      <c r="N144" s="281"/>
    </row>
    <row r="145" ht="13.5" customHeight="1">
      <c r="A145" s="281"/>
      <c r="B145" s="281"/>
      <c r="C145" s="281"/>
      <c r="D145" s="281"/>
      <c r="E145" s="281"/>
      <c r="F145" s="281"/>
      <c r="G145" s="281"/>
      <c r="H145" s="281"/>
      <c r="I145" s="281"/>
      <c r="J145" s="281"/>
      <c r="K145" s="281"/>
      <c r="L145" s="281"/>
      <c r="M145" s="281"/>
      <c r="N145" s="281"/>
    </row>
    <row r="146" ht="13.5" customHeight="1">
      <c r="A146" s="281"/>
      <c r="B146" s="281"/>
      <c r="C146" s="281"/>
      <c r="D146" s="281"/>
      <c r="E146" s="281"/>
      <c r="F146" s="281"/>
      <c r="G146" s="281"/>
      <c r="H146" s="281"/>
      <c r="I146" s="281"/>
      <c r="J146" s="281"/>
      <c r="K146" s="281"/>
      <c r="L146" s="281"/>
      <c r="M146" s="281"/>
      <c r="N146" s="281"/>
    </row>
    <row r="147" ht="13.5" customHeight="1">
      <c r="A147" s="281"/>
      <c r="B147" s="281"/>
      <c r="C147" s="281"/>
      <c r="D147" s="281"/>
      <c r="E147" s="281"/>
      <c r="F147" s="281"/>
      <c r="G147" s="281"/>
      <c r="H147" s="281"/>
      <c r="I147" s="281"/>
      <c r="J147" s="281"/>
      <c r="K147" s="281"/>
      <c r="L147" s="281"/>
      <c r="M147" s="281"/>
      <c r="N147" s="281"/>
    </row>
    <row r="148" ht="13.5" customHeight="1">
      <c r="A148" s="281"/>
      <c r="B148" s="281"/>
      <c r="C148" s="281"/>
      <c r="D148" s="281"/>
      <c r="E148" s="281"/>
      <c r="F148" s="281"/>
      <c r="G148" s="281"/>
      <c r="H148" s="281"/>
      <c r="I148" s="281"/>
      <c r="J148" s="281"/>
      <c r="K148" s="281"/>
      <c r="L148" s="281"/>
      <c r="M148" s="281"/>
      <c r="N148" s="281"/>
    </row>
    <row r="149" ht="13.5" customHeight="1">
      <c r="A149" s="281"/>
      <c r="B149" s="281"/>
      <c r="C149" s="281"/>
      <c r="D149" s="281"/>
      <c r="E149" s="281"/>
      <c r="F149" s="281"/>
      <c r="G149" s="281"/>
      <c r="H149" s="281"/>
      <c r="I149" s="281"/>
      <c r="J149" s="281"/>
      <c r="K149" s="281"/>
      <c r="L149" s="281"/>
      <c r="M149" s="281"/>
      <c r="N149" s="281"/>
    </row>
    <row r="150" ht="13.5" customHeight="1">
      <c r="A150" s="281"/>
      <c r="B150" s="281"/>
      <c r="C150" s="281"/>
      <c r="D150" s="281"/>
      <c r="E150" s="281"/>
      <c r="F150" s="281"/>
      <c r="G150" s="281"/>
      <c r="H150" s="281"/>
      <c r="I150" s="281"/>
      <c r="J150" s="281"/>
      <c r="K150" s="281"/>
      <c r="L150" s="281"/>
      <c r="M150" s="281"/>
      <c r="N150" s="281"/>
    </row>
    <row r="151" ht="13.5" customHeight="1">
      <c r="A151" s="281"/>
      <c r="B151" s="281"/>
      <c r="C151" s="281"/>
      <c r="D151" s="281"/>
      <c r="E151" s="281"/>
      <c r="F151" s="281"/>
      <c r="G151" s="281"/>
      <c r="H151" s="281"/>
      <c r="I151" s="281"/>
      <c r="J151" s="281"/>
      <c r="K151" s="281"/>
      <c r="L151" s="281"/>
      <c r="M151" s="281"/>
      <c r="N151" s="281"/>
    </row>
    <row r="152" ht="13.5" customHeight="1">
      <c r="A152" s="281"/>
      <c r="B152" s="281"/>
      <c r="C152" s="281"/>
      <c r="D152" s="281"/>
      <c r="E152" s="281"/>
      <c r="F152" s="281"/>
      <c r="G152" s="281"/>
      <c r="H152" s="281"/>
      <c r="I152" s="281"/>
      <c r="J152" s="281"/>
      <c r="K152" s="281"/>
      <c r="L152" s="281"/>
      <c r="M152" s="281"/>
      <c r="N152" s="281"/>
    </row>
    <row r="153" ht="13.5" customHeight="1">
      <c r="A153" s="281"/>
      <c r="B153" s="281"/>
      <c r="C153" s="281"/>
      <c r="D153" s="281"/>
      <c r="E153" s="281"/>
      <c r="F153" s="281"/>
      <c r="G153" s="281"/>
      <c r="H153" s="281"/>
      <c r="I153" s="281"/>
      <c r="J153" s="281"/>
      <c r="K153" s="281"/>
      <c r="L153" s="281"/>
      <c r="M153" s="281"/>
      <c r="N153" s="281"/>
    </row>
    <row r="154" ht="13.5" customHeight="1">
      <c r="A154" s="281"/>
      <c r="B154" s="281"/>
      <c r="C154" s="281"/>
      <c r="D154" s="281"/>
      <c r="E154" s="281"/>
      <c r="F154" s="281"/>
      <c r="G154" s="281"/>
      <c r="H154" s="281"/>
      <c r="I154" s="281"/>
      <c r="J154" s="281"/>
      <c r="K154" s="281"/>
      <c r="L154" s="281"/>
      <c r="M154" s="281"/>
      <c r="N154" s="281"/>
    </row>
    <row r="155" ht="13.5" customHeight="1">
      <c r="A155" s="281"/>
      <c r="B155" s="281"/>
      <c r="C155" s="281"/>
      <c r="D155" s="281"/>
      <c r="E155" s="281"/>
      <c r="F155" s="281"/>
      <c r="G155" s="281"/>
      <c r="H155" s="281"/>
      <c r="I155" s="281"/>
      <c r="J155" s="281"/>
      <c r="K155" s="281"/>
      <c r="L155" s="281"/>
      <c r="M155" s="281"/>
      <c r="N155" s="281"/>
    </row>
    <row r="156" ht="13.5" customHeight="1">
      <c r="A156" s="281"/>
      <c r="B156" s="281"/>
      <c r="C156" s="281"/>
      <c r="D156" s="281"/>
      <c r="E156" s="281"/>
      <c r="F156" s="281"/>
      <c r="G156" s="281"/>
      <c r="H156" s="281"/>
      <c r="I156" s="281"/>
      <c r="J156" s="281"/>
      <c r="K156" s="281"/>
      <c r="L156" s="281"/>
      <c r="M156" s="281"/>
      <c r="N156" s="281"/>
    </row>
    <row r="157" ht="13.5" customHeight="1">
      <c r="A157" s="281"/>
      <c r="B157" s="281"/>
      <c r="C157" s="281"/>
      <c r="D157" s="281"/>
      <c r="E157" s="281"/>
      <c r="F157" s="281"/>
      <c r="G157" s="281"/>
      <c r="H157" s="281"/>
      <c r="I157" s="281"/>
      <c r="J157" s="281"/>
      <c r="K157" s="281"/>
      <c r="L157" s="281"/>
      <c r="M157" s="281"/>
      <c r="N157" s="281"/>
    </row>
    <row r="158" ht="13.5" customHeight="1">
      <c r="A158" s="281"/>
      <c r="B158" s="281"/>
      <c r="C158" s="281"/>
      <c r="D158" s="281"/>
      <c r="E158" s="281"/>
      <c r="F158" s="281"/>
      <c r="G158" s="281"/>
      <c r="H158" s="281"/>
      <c r="I158" s="281"/>
      <c r="J158" s="281"/>
      <c r="K158" s="281"/>
      <c r="L158" s="281"/>
      <c r="M158" s="281"/>
      <c r="N158" s="281"/>
    </row>
    <row r="159" ht="13.5" customHeight="1">
      <c r="A159" s="281"/>
      <c r="B159" s="281"/>
      <c r="C159" s="281"/>
      <c r="D159" s="281"/>
      <c r="E159" s="281"/>
      <c r="F159" s="281"/>
      <c r="G159" s="281"/>
      <c r="H159" s="281"/>
      <c r="I159" s="281"/>
      <c r="J159" s="281"/>
      <c r="K159" s="281"/>
      <c r="L159" s="281"/>
      <c r="M159" s="281"/>
      <c r="N159" s="281"/>
    </row>
    <row r="160" ht="13.5" customHeight="1">
      <c r="A160" s="281"/>
      <c r="B160" s="281"/>
      <c r="C160" s="281"/>
      <c r="D160" s="281"/>
      <c r="E160" s="281"/>
      <c r="F160" s="281"/>
      <c r="G160" s="281"/>
      <c r="H160" s="281"/>
      <c r="I160" s="281"/>
      <c r="J160" s="281"/>
      <c r="K160" s="281"/>
      <c r="L160" s="281"/>
      <c r="M160" s="281"/>
      <c r="N160" s="281"/>
    </row>
    <row r="161" ht="13.5" customHeight="1">
      <c r="A161" s="281"/>
      <c r="B161" s="281"/>
      <c r="C161" s="281"/>
      <c r="D161" s="281"/>
      <c r="E161" s="281"/>
      <c r="F161" s="281"/>
      <c r="G161" s="281"/>
      <c r="H161" s="281"/>
      <c r="I161" s="281"/>
      <c r="J161" s="281"/>
      <c r="K161" s="281"/>
      <c r="L161" s="281"/>
      <c r="M161" s="281"/>
      <c r="N161" s="281"/>
    </row>
    <row r="162" ht="13.5" customHeight="1">
      <c r="A162" s="281"/>
      <c r="B162" s="281"/>
      <c r="C162" s="281"/>
      <c r="D162" s="281"/>
      <c r="E162" s="281"/>
      <c r="F162" s="281"/>
      <c r="G162" s="281"/>
      <c r="H162" s="281"/>
      <c r="I162" s="281"/>
      <c r="J162" s="281"/>
      <c r="K162" s="281"/>
      <c r="L162" s="281"/>
      <c r="M162" s="281"/>
      <c r="N162" s="281"/>
    </row>
    <row r="163" ht="13.5" customHeight="1">
      <c r="A163" s="281"/>
      <c r="B163" s="281"/>
      <c r="C163" s="281"/>
      <c r="D163" s="281"/>
      <c r="E163" s="281"/>
      <c r="F163" s="281"/>
      <c r="G163" s="281"/>
      <c r="H163" s="281"/>
      <c r="I163" s="281"/>
      <c r="J163" s="281"/>
      <c r="K163" s="281"/>
      <c r="L163" s="281"/>
      <c r="M163" s="281"/>
      <c r="N163" s="281"/>
    </row>
    <row r="164" ht="13.5" customHeight="1">
      <c r="A164" s="281"/>
      <c r="B164" s="281"/>
      <c r="C164" s="281"/>
      <c r="D164" s="281"/>
      <c r="E164" s="281"/>
      <c r="F164" s="281"/>
      <c r="G164" s="281"/>
      <c r="H164" s="281"/>
      <c r="I164" s="281"/>
      <c r="J164" s="281"/>
      <c r="K164" s="281"/>
      <c r="L164" s="281"/>
      <c r="M164" s="281"/>
      <c r="N164" s="281"/>
    </row>
    <row r="165" ht="13.5" customHeight="1">
      <c r="A165" s="281"/>
      <c r="B165" s="281"/>
      <c r="C165" s="281"/>
      <c r="D165" s="281"/>
      <c r="E165" s="281"/>
      <c r="F165" s="281"/>
      <c r="G165" s="281"/>
      <c r="H165" s="281"/>
      <c r="I165" s="281"/>
      <c r="J165" s="281"/>
      <c r="K165" s="281"/>
      <c r="L165" s="281"/>
      <c r="M165" s="281"/>
      <c r="N165" s="281"/>
    </row>
    <row r="166" ht="13.5" customHeight="1">
      <c r="A166" s="281"/>
      <c r="B166" s="281"/>
      <c r="C166" s="281"/>
      <c r="D166" s="281"/>
      <c r="E166" s="281"/>
      <c r="F166" s="281"/>
      <c r="G166" s="281"/>
      <c r="H166" s="281"/>
      <c r="I166" s="281"/>
      <c r="J166" s="281"/>
      <c r="K166" s="281"/>
      <c r="L166" s="281"/>
      <c r="M166" s="281"/>
      <c r="N166" s="281"/>
    </row>
    <row r="167" ht="13.5" customHeight="1">
      <c r="A167" s="281"/>
      <c r="B167" s="281"/>
      <c r="C167" s="281"/>
      <c r="D167" s="281"/>
      <c r="E167" s="281"/>
      <c r="F167" s="281"/>
      <c r="G167" s="281"/>
      <c r="H167" s="281"/>
      <c r="I167" s="281"/>
      <c r="J167" s="281"/>
      <c r="K167" s="281"/>
      <c r="L167" s="281"/>
      <c r="M167" s="281"/>
      <c r="N167" s="281"/>
    </row>
    <row r="168" ht="13.5" customHeight="1">
      <c r="A168" s="281"/>
      <c r="B168" s="281"/>
      <c r="C168" s="281"/>
      <c r="D168" s="281"/>
      <c r="E168" s="281"/>
      <c r="F168" s="281"/>
      <c r="G168" s="281"/>
      <c r="H168" s="281"/>
      <c r="I168" s="281"/>
      <c r="J168" s="281"/>
      <c r="K168" s="281"/>
      <c r="L168" s="281"/>
      <c r="M168" s="281"/>
      <c r="N168" s="281"/>
    </row>
    <row r="169" ht="13.5" customHeight="1">
      <c r="A169" s="281"/>
      <c r="B169" s="281"/>
      <c r="C169" s="281"/>
      <c r="D169" s="281"/>
      <c r="E169" s="281"/>
      <c r="F169" s="281"/>
      <c r="G169" s="281"/>
      <c r="H169" s="281"/>
      <c r="I169" s="281"/>
      <c r="J169" s="281"/>
      <c r="K169" s="281"/>
      <c r="L169" s="281"/>
      <c r="M169" s="281"/>
      <c r="N169" s="281"/>
    </row>
    <row r="170" ht="13.5" customHeight="1">
      <c r="A170" s="281"/>
      <c r="B170" s="281"/>
      <c r="C170" s="281"/>
      <c r="D170" s="281"/>
      <c r="E170" s="281"/>
      <c r="F170" s="281"/>
      <c r="G170" s="281"/>
      <c r="H170" s="281"/>
      <c r="I170" s="281"/>
      <c r="J170" s="281"/>
      <c r="K170" s="281"/>
      <c r="L170" s="281"/>
      <c r="M170" s="281"/>
      <c r="N170" s="281"/>
    </row>
    <row r="171" ht="13.5" customHeight="1">
      <c r="A171" s="281"/>
      <c r="B171" s="281"/>
      <c r="C171" s="281"/>
      <c r="D171" s="281"/>
      <c r="E171" s="281"/>
      <c r="F171" s="281"/>
      <c r="G171" s="281"/>
      <c r="H171" s="281"/>
      <c r="I171" s="281"/>
      <c r="J171" s="281"/>
      <c r="K171" s="281"/>
      <c r="L171" s="281"/>
      <c r="M171" s="281"/>
      <c r="N171" s="281"/>
    </row>
    <row r="172" ht="13.5" customHeight="1">
      <c r="A172" s="281"/>
      <c r="B172" s="281"/>
      <c r="C172" s="281"/>
      <c r="D172" s="281"/>
      <c r="E172" s="281"/>
      <c r="F172" s="281"/>
      <c r="G172" s="281"/>
      <c r="H172" s="281"/>
      <c r="I172" s="281"/>
      <c r="J172" s="281"/>
      <c r="K172" s="281"/>
      <c r="L172" s="281"/>
      <c r="M172" s="281"/>
      <c r="N172" s="281"/>
    </row>
    <row r="173" ht="13.5" customHeight="1">
      <c r="A173" s="281"/>
      <c r="B173" s="281"/>
      <c r="C173" s="281"/>
      <c r="D173" s="281"/>
      <c r="E173" s="281"/>
      <c r="F173" s="281"/>
      <c r="G173" s="281"/>
      <c r="H173" s="281"/>
      <c r="I173" s="281"/>
      <c r="J173" s="281"/>
      <c r="K173" s="281"/>
      <c r="L173" s="281"/>
      <c r="M173" s="281"/>
      <c r="N173" s="281"/>
    </row>
    <row r="174" ht="13.5" customHeight="1">
      <c r="A174" s="281"/>
      <c r="B174" s="281"/>
      <c r="C174" s="281"/>
      <c r="D174" s="281"/>
      <c r="E174" s="281"/>
      <c r="F174" s="281"/>
      <c r="G174" s="281"/>
      <c r="H174" s="281"/>
      <c r="I174" s="281"/>
      <c r="J174" s="281"/>
      <c r="K174" s="281"/>
      <c r="L174" s="281"/>
      <c r="M174" s="281"/>
      <c r="N174" s="281"/>
    </row>
    <row r="175" ht="13.5" customHeight="1">
      <c r="A175" s="281"/>
      <c r="B175" s="281"/>
      <c r="C175" s="281"/>
      <c r="D175" s="281"/>
      <c r="E175" s="281"/>
      <c r="F175" s="281"/>
      <c r="G175" s="281"/>
      <c r="H175" s="281"/>
      <c r="I175" s="281"/>
      <c r="J175" s="281"/>
      <c r="K175" s="281"/>
      <c r="L175" s="281"/>
      <c r="M175" s="281"/>
      <c r="N175" s="281"/>
    </row>
    <row r="176" ht="13.5" customHeight="1">
      <c r="A176" s="281"/>
      <c r="B176" s="281"/>
      <c r="C176" s="281"/>
      <c r="D176" s="281"/>
      <c r="E176" s="281"/>
      <c r="F176" s="281"/>
      <c r="G176" s="281"/>
      <c r="H176" s="281"/>
      <c r="I176" s="281"/>
      <c r="J176" s="281"/>
      <c r="K176" s="281"/>
      <c r="L176" s="281"/>
      <c r="M176" s="281"/>
      <c r="N176" s="281"/>
    </row>
    <row r="177" ht="13.5" customHeight="1">
      <c r="A177" s="281"/>
      <c r="B177" s="281"/>
      <c r="C177" s="281"/>
      <c r="D177" s="281"/>
      <c r="E177" s="281"/>
      <c r="F177" s="281"/>
      <c r="G177" s="281"/>
      <c r="H177" s="281"/>
      <c r="I177" s="281"/>
      <c r="J177" s="281"/>
      <c r="K177" s="281"/>
      <c r="L177" s="281"/>
      <c r="M177" s="281"/>
      <c r="N177" s="281"/>
    </row>
    <row r="178" ht="13.5" customHeight="1">
      <c r="A178" s="281"/>
      <c r="B178" s="281"/>
      <c r="C178" s="281"/>
      <c r="D178" s="281"/>
      <c r="E178" s="281"/>
      <c r="F178" s="281"/>
      <c r="G178" s="281"/>
      <c r="H178" s="281"/>
      <c r="I178" s="281"/>
      <c r="J178" s="281"/>
      <c r="K178" s="281"/>
      <c r="L178" s="281"/>
      <c r="M178" s="281"/>
      <c r="N178" s="281"/>
    </row>
    <row r="179" ht="13.5" customHeight="1">
      <c r="A179" s="281"/>
      <c r="B179" s="281"/>
      <c r="C179" s="281"/>
      <c r="D179" s="281"/>
      <c r="E179" s="281"/>
      <c r="F179" s="281"/>
      <c r="G179" s="281"/>
      <c r="H179" s="281"/>
      <c r="I179" s="281"/>
      <c r="J179" s="281"/>
      <c r="K179" s="281"/>
      <c r="L179" s="281"/>
      <c r="M179" s="281"/>
      <c r="N179" s="281"/>
    </row>
    <row r="180" ht="13.5" customHeight="1">
      <c r="A180" s="281"/>
      <c r="B180" s="281"/>
      <c r="C180" s="281"/>
      <c r="D180" s="281"/>
      <c r="E180" s="281"/>
      <c r="F180" s="281"/>
      <c r="G180" s="281"/>
      <c r="H180" s="281"/>
      <c r="I180" s="281"/>
      <c r="J180" s="281"/>
      <c r="K180" s="281"/>
      <c r="L180" s="281"/>
      <c r="M180" s="281"/>
      <c r="N180" s="281"/>
    </row>
    <row r="181" ht="13.5" customHeight="1">
      <c r="A181" s="281"/>
      <c r="B181" s="281"/>
      <c r="C181" s="281"/>
      <c r="D181" s="281"/>
      <c r="E181" s="281"/>
      <c r="F181" s="281"/>
      <c r="G181" s="281"/>
      <c r="H181" s="281"/>
      <c r="I181" s="281"/>
      <c r="J181" s="281"/>
      <c r="K181" s="281"/>
      <c r="L181" s="281"/>
      <c r="M181" s="281"/>
      <c r="N181" s="281"/>
    </row>
    <row r="182" ht="13.5" customHeight="1">
      <c r="A182" s="281"/>
      <c r="B182" s="281"/>
      <c r="C182" s="281"/>
      <c r="D182" s="281"/>
      <c r="E182" s="281"/>
      <c r="F182" s="281"/>
      <c r="G182" s="281"/>
      <c r="H182" s="281"/>
      <c r="I182" s="281"/>
      <c r="J182" s="281"/>
      <c r="K182" s="281"/>
      <c r="L182" s="281"/>
      <c r="M182" s="281"/>
      <c r="N182" s="281"/>
    </row>
    <row r="183" ht="13.5" customHeight="1">
      <c r="A183" s="281"/>
      <c r="B183" s="281"/>
      <c r="C183" s="281"/>
      <c r="D183" s="281"/>
      <c r="E183" s="281"/>
      <c r="F183" s="281"/>
      <c r="G183" s="281"/>
      <c r="H183" s="281"/>
      <c r="I183" s="281"/>
      <c r="J183" s="281"/>
      <c r="K183" s="281"/>
      <c r="L183" s="281"/>
      <c r="M183" s="281"/>
      <c r="N183" s="281"/>
    </row>
    <row r="184" ht="13.5" customHeight="1">
      <c r="A184" s="281"/>
      <c r="B184" s="281"/>
      <c r="C184" s="281"/>
      <c r="D184" s="281"/>
      <c r="E184" s="281"/>
      <c r="F184" s="281"/>
      <c r="G184" s="281"/>
      <c r="H184" s="281"/>
      <c r="I184" s="281"/>
      <c r="J184" s="281"/>
      <c r="K184" s="281"/>
      <c r="L184" s="281"/>
      <c r="M184" s="281"/>
      <c r="N184" s="281"/>
    </row>
    <row r="185" ht="13.5" customHeight="1">
      <c r="A185" s="281"/>
      <c r="B185" s="281"/>
      <c r="C185" s="281"/>
      <c r="D185" s="281"/>
      <c r="E185" s="281"/>
      <c r="F185" s="281"/>
      <c r="G185" s="281"/>
      <c r="H185" s="281"/>
      <c r="I185" s="281"/>
      <c r="J185" s="281"/>
      <c r="K185" s="281"/>
      <c r="L185" s="281"/>
      <c r="M185" s="281"/>
      <c r="N185" s="281"/>
    </row>
    <row r="186" ht="13.5" customHeight="1">
      <c r="A186" s="281"/>
      <c r="B186" s="281"/>
      <c r="C186" s="281"/>
      <c r="D186" s="281"/>
      <c r="E186" s="281"/>
      <c r="F186" s="281"/>
      <c r="G186" s="281"/>
      <c r="H186" s="281"/>
      <c r="I186" s="281"/>
      <c r="J186" s="281"/>
      <c r="K186" s="281"/>
      <c r="L186" s="281"/>
      <c r="M186" s="281"/>
      <c r="N186" s="281"/>
    </row>
    <row r="187" ht="13.5" customHeight="1">
      <c r="A187" s="281"/>
      <c r="B187" s="281"/>
      <c r="C187" s="281"/>
      <c r="D187" s="281"/>
      <c r="E187" s="281"/>
      <c r="F187" s="281"/>
      <c r="G187" s="281"/>
      <c r="H187" s="281"/>
      <c r="I187" s="281"/>
      <c r="J187" s="281"/>
      <c r="K187" s="281"/>
      <c r="L187" s="281"/>
      <c r="M187" s="281"/>
      <c r="N187" s="281"/>
    </row>
    <row r="188" ht="13.5" customHeight="1">
      <c r="A188" s="281"/>
      <c r="B188" s="281"/>
      <c r="C188" s="281"/>
      <c r="D188" s="281"/>
      <c r="E188" s="281"/>
      <c r="F188" s="281"/>
      <c r="G188" s="281"/>
      <c r="H188" s="281"/>
      <c r="I188" s="281"/>
      <c r="J188" s="281"/>
      <c r="K188" s="281"/>
      <c r="L188" s="281"/>
      <c r="M188" s="281"/>
      <c r="N188" s="281"/>
    </row>
    <row r="189" ht="13.5" customHeight="1">
      <c r="A189" s="281"/>
      <c r="B189" s="281"/>
      <c r="C189" s="281"/>
      <c r="D189" s="281"/>
      <c r="E189" s="281"/>
      <c r="F189" s="281"/>
      <c r="G189" s="281"/>
      <c r="H189" s="281"/>
      <c r="I189" s="281"/>
      <c r="J189" s="281"/>
      <c r="K189" s="281"/>
      <c r="L189" s="281"/>
      <c r="M189" s="281"/>
      <c r="N189" s="281"/>
    </row>
    <row r="190" ht="13.5" customHeight="1">
      <c r="A190" s="281"/>
      <c r="B190" s="281"/>
      <c r="C190" s="281"/>
      <c r="D190" s="281"/>
      <c r="E190" s="281"/>
      <c r="F190" s="281"/>
      <c r="G190" s="281"/>
      <c r="H190" s="281"/>
      <c r="I190" s="281"/>
      <c r="J190" s="281"/>
      <c r="K190" s="281"/>
      <c r="L190" s="281"/>
      <c r="M190" s="281"/>
      <c r="N190" s="281"/>
    </row>
    <row r="191" ht="13.5" customHeight="1">
      <c r="A191" s="281"/>
      <c r="B191" s="281"/>
      <c r="C191" s="281"/>
      <c r="D191" s="281"/>
      <c r="E191" s="281"/>
      <c r="F191" s="281"/>
      <c r="G191" s="281"/>
      <c r="H191" s="281"/>
      <c r="I191" s="281"/>
      <c r="J191" s="281"/>
      <c r="K191" s="281"/>
      <c r="L191" s="281"/>
      <c r="M191" s="281"/>
      <c r="N191" s="281"/>
    </row>
    <row r="192" ht="13.5" customHeight="1">
      <c r="A192" s="281"/>
      <c r="B192" s="281"/>
      <c r="C192" s="281"/>
      <c r="D192" s="281"/>
      <c r="E192" s="281"/>
      <c r="F192" s="281"/>
      <c r="G192" s="281"/>
      <c r="H192" s="281"/>
      <c r="I192" s="281"/>
      <c r="J192" s="281"/>
      <c r="K192" s="281"/>
      <c r="L192" s="281"/>
      <c r="M192" s="281"/>
      <c r="N192" s="281"/>
    </row>
    <row r="193" ht="13.5" customHeight="1">
      <c r="A193" s="281"/>
      <c r="B193" s="281"/>
      <c r="C193" s="281"/>
      <c r="D193" s="281"/>
      <c r="E193" s="281"/>
      <c r="F193" s="281"/>
      <c r="G193" s="281"/>
      <c r="H193" s="281"/>
      <c r="I193" s="281"/>
      <c r="J193" s="281"/>
      <c r="K193" s="281"/>
      <c r="L193" s="281"/>
      <c r="M193" s="281"/>
      <c r="N193" s="281"/>
    </row>
    <row r="194" ht="13.5" customHeight="1">
      <c r="A194" s="281"/>
      <c r="B194" s="281"/>
      <c r="C194" s="281"/>
      <c r="D194" s="281"/>
      <c r="E194" s="281"/>
      <c r="F194" s="281"/>
      <c r="G194" s="281"/>
      <c r="H194" s="281"/>
      <c r="I194" s="281"/>
      <c r="J194" s="281"/>
      <c r="K194" s="281"/>
      <c r="L194" s="281"/>
      <c r="M194" s="281"/>
      <c r="N194" s="281"/>
    </row>
    <row r="195" ht="13.5" customHeight="1">
      <c r="A195" s="281"/>
      <c r="B195" s="281"/>
      <c r="C195" s="281"/>
      <c r="D195" s="281"/>
      <c r="E195" s="281"/>
      <c r="F195" s="281"/>
      <c r="G195" s="281"/>
      <c r="H195" s="281"/>
      <c r="I195" s="281"/>
      <c r="J195" s="281"/>
      <c r="K195" s="281"/>
      <c r="L195" s="281"/>
      <c r="M195" s="281"/>
      <c r="N195" s="281"/>
    </row>
    <row r="196" ht="13.5" customHeight="1">
      <c r="A196" s="281"/>
      <c r="B196" s="281"/>
      <c r="C196" s="281"/>
      <c r="D196" s="281"/>
      <c r="E196" s="281"/>
      <c r="F196" s="281"/>
      <c r="G196" s="281"/>
      <c r="H196" s="281"/>
      <c r="I196" s="281"/>
      <c r="J196" s="281"/>
      <c r="K196" s="281"/>
      <c r="L196" s="281"/>
      <c r="M196" s="281"/>
      <c r="N196" s="281"/>
    </row>
    <row r="197" ht="13.5" customHeight="1">
      <c r="A197" s="281"/>
      <c r="B197" s="281"/>
      <c r="C197" s="281"/>
      <c r="D197" s="281"/>
      <c r="E197" s="281"/>
      <c r="F197" s="281"/>
      <c r="G197" s="281"/>
      <c r="H197" s="281"/>
      <c r="I197" s="281"/>
      <c r="J197" s="281"/>
      <c r="K197" s="281"/>
      <c r="L197" s="281"/>
      <c r="M197" s="281"/>
      <c r="N197" s="281"/>
    </row>
    <row r="198" ht="13.5" customHeight="1">
      <c r="A198" s="281"/>
      <c r="B198" s="281"/>
      <c r="C198" s="281"/>
      <c r="D198" s="281"/>
      <c r="E198" s="281"/>
      <c r="F198" s="281"/>
      <c r="G198" s="281"/>
      <c r="H198" s="281"/>
      <c r="I198" s="281"/>
      <c r="J198" s="281"/>
      <c r="K198" s="281"/>
      <c r="L198" s="281"/>
      <c r="M198" s="281"/>
      <c r="N198" s="281"/>
    </row>
    <row r="199" ht="13.5" customHeight="1">
      <c r="A199" s="281"/>
      <c r="B199" s="281"/>
      <c r="C199" s="281"/>
      <c r="D199" s="281"/>
      <c r="E199" s="281"/>
      <c r="F199" s="281"/>
      <c r="G199" s="281"/>
      <c r="H199" s="281"/>
      <c r="I199" s="281"/>
      <c r="J199" s="281"/>
      <c r="K199" s="281"/>
      <c r="L199" s="281"/>
      <c r="M199" s="281"/>
      <c r="N199" s="281"/>
    </row>
    <row r="200" ht="13.5" customHeight="1">
      <c r="A200" s="281"/>
      <c r="B200" s="281"/>
      <c r="C200" s="281"/>
      <c r="D200" s="281"/>
      <c r="E200" s="281"/>
      <c r="F200" s="281"/>
      <c r="G200" s="281"/>
      <c r="H200" s="281"/>
      <c r="I200" s="281"/>
      <c r="J200" s="281"/>
      <c r="K200" s="281"/>
      <c r="L200" s="281"/>
      <c r="M200" s="281"/>
      <c r="N200" s="281"/>
    </row>
    <row r="201" ht="13.5" customHeight="1">
      <c r="A201" s="281"/>
      <c r="B201" s="281"/>
      <c r="C201" s="281"/>
      <c r="D201" s="281"/>
      <c r="E201" s="281"/>
      <c r="F201" s="281"/>
      <c r="G201" s="281"/>
      <c r="H201" s="281"/>
      <c r="I201" s="281"/>
      <c r="J201" s="281"/>
      <c r="K201" s="281"/>
      <c r="L201" s="281"/>
      <c r="M201" s="281"/>
      <c r="N201" s="281"/>
    </row>
    <row r="202" ht="13.5" customHeight="1">
      <c r="A202" s="281"/>
      <c r="B202" s="281"/>
      <c r="C202" s="281"/>
      <c r="D202" s="281"/>
      <c r="E202" s="281"/>
      <c r="F202" s="281"/>
      <c r="G202" s="281"/>
      <c r="H202" s="281"/>
      <c r="I202" s="281"/>
      <c r="J202" s="281"/>
      <c r="K202" s="281"/>
      <c r="L202" s="281"/>
      <c r="M202" s="281"/>
      <c r="N202" s="281"/>
    </row>
    <row r="203" ht="13.5" customHeight="1">
      <c r="A203" s="281"/>
      <c r="B203" s="281"/>
      <c r="C203" s="281"/>
      <c r="D203" s="281"/>
      <c r="E203" s="281"/>
      <c r="F203" s="281"/>
      <c r="G203" s="281"/>
      <c r="H203" s="281"/>
      <c r="I203" s="281"/>
      <c r="J203" s="281"/>
      <c r="K203" s="281"/>
      <c r="L203" s="281"/>
      <c r="M203" s="281"/>
      <c r="N203" s="281"/>
    </row>
    <row r="204" ht="13.5" customHeight="1">
      <c r="A204" s="281"/>
      <c r="B204" s="281"/>
      <c r="C204" s="281"/>
      <c r="D204" s="281"/>
      <c r="E204" s="281"/>
      <c r="F204" s="281"/>
      <c r="G204" s="281"/>
      <c r="H204" s="281"/>
      <c r="I204" s="281"/>
      <c r="J204" s="281"/>
      <c r="K204" s="281"/>
      <c r="L204" s="281"/>
      <c r="M204" s="281"/>
      <c r="N204" s="281"/>
    </row>
    <row r="205" ht="13.5" customHeight="1">
      <c r="A205" s="281"/>
      <c r="B205" s="281"/>
      <c r="C205" s="281"/>
      <c r="D205" s="281"/>
      <c r="E205" s="281"/>
      <c r="F205" s="281"/>
      <c r="G205" s="281"/>
      <c r="H205" s="281"/>
      <c r="I205" s="281"/>
      <c r="J205" s="281"/>
      <c r="K205" s="281"/>
      <c r="L205" s="281"/>
      <c r="M205" s="281"/>
      <c r="N205" s="281"/>
    </row>
    <row r="206" ht="13.5" customHeight="1">
      <c r="A206" s="281"/>
      <c r="B206" s="281"/>
      <c r="C206" s="281"/>
      <c r="D206" s="281"/>
      <c r="E206" s="281"/>
      <c r="F206" s="281"/>
      <c r="G206" s="281"/>
      <c r="H206" s="281"/>
      <c r="I206" s="281"/>
      <c r="J206" s="281"/>
      <c r="K206" s="281"/>
      <c r="L206" s="281"/>
      <c r="M206" s="281"/>
      <c r="N206" s="281"/>
    </row>
    <row r="207" ht="13.5" customHeight="1">
      <c r="A207" s="281"/>
      <c r="B207" s="281"/>
      <c r="C207" s="281"/>
      <c r="D207" s="281"/>
      <c r="E207" s="281"/>
      <c r="F207" s="281"/>
      <c r="G207" s="281"/>
      <c r="H207" s="281"/>
      <c r="I207" s="281"/>
      <c r="J207" s="281"/>
      <c r="K207" s="281"/>
      <c r="L207" s="281"/>
      <c r="M207" s="281"/>
      <c r="N207" s="281"/>
    </row>
    <row r="208" ht="13.5" customHeight="1">
      <c r="A208" s="281"/>
      <c r="B208" s="281"/>
      <c r="C208" s="281"/>
      <c r="D208" s="281"/>
      <c r="E208" s="281"/>
      <c r="F208" s="281"/>
      <c r="G208" s="281"/>
      <c r="H208" s="281"/>
      <c r="I208" s="281"/>
      <c r="J208" s="281"/>
      <c r="K208" s="281"/>
      <c r="L208" s="281"/>
      <c r="M208" s="281"/>
      <c r="N208" s="281"/>
    </row>
    <row r="209" ht="13.5" customHeight="1">
      <c r="A209" s="281"/>
      <c r="B209" s="281"/>
      <c r="C209" s="281"/>
      <c r="D209" s="281"/>
      <c r="E209" s="281"/>
      <c r="F209" s="281"/>
      <c r="G209" s="281"/>
      <c r="H209" s="281"/>
      <c r="I209" s="281"/>
      <c r="J209" s="281"/>
      <c r="K209" s="281"/>
      <c r="L209" s="281"/>
      <c r="M209" s="281"/>
      <c r="N209" s="281"/>
    </row>
    <row r="210" ht="13.5" customHeight="1">
      <c r="A210" s="281"/>
      <c r="B210" s="281"/>
      <c r="C210" s="281"/>
      <c r="D210" s="281"/>
      <c r="E210" s="281"/>
      <c r="F210" s="281"/>
      <c r="G210" s="281"/>
      <c r="H210" s="281"/>
      <c r="I210" s="281"/>
      <c r="J210" s="281"/>
      <c r="K210" s="281"/>
      <c r="L210" s="281"/>
      <c r="M210" s="281"/>
      <c r="N210" s="281"/>
    </row>
    <row r="211" ht="13.5" customHeight="1">
      <c r="A211" s="281"/>
      <c r="B211" s="281"/>
      <c r="C211" s="281"/>
      <c r="D211" s="281"/>
      <c r="E211" s="281"/>
      <c r="F211" s="281"/>
      <c r="G211" s="281"/>
      <c r="H211" s="281"/>
      <c r="I211" s="281"/>
      <c r="J211" s="281"/>
      <c r="K211" s="281"/>
      <c r="L211" s="281"/>
      <c r="M211" s="281"/>
      <c r="N211" s="281"/>
    </row>
    <row r="212" ht="13.5" customHeight="1">
      <c r="A212" s="281"/>
      <c r="B212" s="281"/>
      <c r="C212" s="281"/>
      <c r="D212" s="281"/>
      <c r="E212" s="281"/>
      <c r="F212" s="281"/>
      <c r="G212" s="281"/>
      <c r="H212" s="281"/>
      <c r="I212" s="281"/>
      <c r="J212" s="281"/>
      <c r="K212" s="281"/>
      <c r="L212" s="281"/>
      <c r="M212" s="281"/>
      <c r="N212" s="281"/>
    </row>
    <row r="213" ht="13.5" customHeight="1">
      <c r="A213" s="281"/>
      <c r="B213" s="281"/>
      <c r="C213" s="281"/>
      <c r="D213" s="281"/>
      <c r="E213" s="281"/>
      <c r="F213" s="281"/>
      <c r="G213" s="281"/>
      <c r="H213" s="281"/>
      <c r="I213" s="281"/>
      <c r="J213" s="281"/>
      <c r="K213" s="281"/>
      <c r="L213" s="281"/>
      <c r="M213" s="281"/>
      <c r="N213" s="281"/>
    </row>
    <row r="214" ht="13.5" customHeight="1">
      <c r="A214" s="281"/>
      <c r="B214" s="281"/>
      <c r="C214" s="281"/>
      <c r="D214" s="281"/>
      <c r="E214" s="281"/>
      <c r="F214" s="281"/>
      <c r="G214" s="281"/>
      <c r="H214" s="281"/>
      <c r="I214" s="281"/>
      <c r="J214" s="281"/>
      <c r="K214" s="281"/>
      <c r="L214" s="281"/>
      <c r="M214" s="281"/>
      <c r="N214" s="281"/>
    </row>
    <row r="215" ht="13.5" customHeight="1">
      <c r="A215" s="281"/>
      <c r="B215" s="281"/>
      <c r="C215" s="281"/>
      <c r="D215" s="281"/>
      <c r="E215" s="281"/>
      <c r="F215" s="281"/>
      <c r="G215" s="281"/>
      <c r="H215" s="281"/>
      <c r="I215" s="281"/>
      <c r="J215" s="281"/>
      <c r="K215" s="281"/>
      <c r="L215" s="281"/>
      <c r="M215" s="281"/>
      <c r="N215" s="281"/>
    </row>
    <row r="216" ht="13.5" customHeight="1">
      <c r="A216" s="281"/>
      <c r="B216" s="281"/>
      <c r="C216" s="281"/>
      <c r="D216" s="281"/>
      <c r="E216" s="281"/>
      <c r="F216" s="281"/>
      <c r="G216" s="281"/>
      <c r="H216" s="281"/>
      <c r="I216" s="281"/>
      <c r="J216" s="281"/>
      <c r="K216" s="281"/>
      <c r="L216" s="281"/>
      <c r="M216" s="281"/>
      <c r="N216" s="281"/>
    </row>
    <row r="217" ht="13.5" customHeight="1">
      <c r="A217" s="281"/>
      <c r="B217" s="281"/>
      <c r="C217" s="281"/>
      <c r="D217" s="281"/>
      <c r="E217" s="281"/>
      <c r="F217" s="281"/>
      <c r="G217" s="281"/>
      <c r="H217" s="281"/>
      <c r="I217" s="281"/>
      <c r="J217" s="281"/>
      <c r="K217" s="281"/>
      <c r="L217" s="281"/>
      <c r="M217" s="281"/>
      <c r="N217" s="281"/>
    </row>
    <row r="218" ht="13.5" customHeight="1">
      <c r="A218" s="281"/>
      <c r="B218" s="281"/>
      <c r="C218" s="281"/>
      <c r="D218" s="281"/>
      <c r="E218" s="281"/>
      <c r="F218" s="281"/>
      <c r="G218" s="281"/>
      <c r="H218" s="281"/>
      <c r="I218" s="281"/>
      <c r="J218" s="281"/>
      <c r="K218" s="281"/>
      <c r="L218" s="281"/>
      <c r="M218" s="281"/>
      <c r="N218" s="281"/>
    </row>
    <row r="219" ht="13.5" customHeight="1">
      <c r="A219" s="281"/>
      <c r="B219" s="281"/>
      <c r="C219" s="281"/>
      <c r="D219" s="281"/>
      <c r="E219" s="281"/>
      <c r="F219" s="281"/>
      <c r="G219" s="281"/>
      <c r="H219" s="281"/>
      <c r="I219" s="281"/>
      <c r="J219" s="281"/>
      <c r="K219" s="281"/>
      <c r="L219" s="281"/>
      <c r="M219" s="281"/>
      <c r="N219" s="281"/>
    </row>
    <row r="220" ht="13.5" customHeight="1">
      <c r="A220" s="281"/>
      <c r="B220" s="281"/>
      <c r="C220" s="281"/>
      <c r="D220" s="281"/>
      <c r="E220" s="281"/>
      <c r="F220" s="281"/>
      <c r="G220" s="281"/>
      <c r="H220" s="281"/>
      <c r="I220" s="281"/>
      <c r="J220" s="281"/>
      <c r="K220" s="281"/>
      <c r="L220" s="281"/>
      <c r="M220" s="281"/>
      <c r="N220" s="281"/>
    </row>
    <row r="221" ht="13.5" customHeight="1">
      <c r="A221" s="281"/>
      <c r="B221" s="281"/>
      <c r="C221" s="281"/>
      <c r="D221" s="281"/>
      <c r="E221" s="281"/>
      <c r="F221" s="281"/>
      <c r="G221" s="281"/>
      <c r="H221" s="281"/>
      <c r="I221" s="281"/>
      <c r="J221" s="281"/>
      <c r="K221" s="281"/>
      <c r="L221" s="281"/>
      <c r="M221" s="281"/>
      <c r="N221" s="281"/>
    </row>
    <row r="222" ht="13.5" customHeight="1">
      <c r="A222" s="281"/>
      <c r="B222" s="281"/>
      <c r="C222" s="281"/>
      <c r="D222" s="281"/>
      <c r="E222" s="281"/>
      <c r="F222" s="281"/>
      <c r="G222" s="281"/>
      <c r="H222" s="281"/>
      <c r="I222" s="281"/>
      <c r="J222" s="281"/>
      <c r="K222" s="281"/>
      <c r="L222" s="281"/>
      <c r="M222" s="281"/>
      <c r="N222" s="281"/>
    </row>
    <row r="223" ht="13.5" customHeight="1">
      <c r="A223" s="281"/>
      <c r="B223" s="281"/>
      <c r="C223" s="281"/>
      <c r="D223" s="281"/>
      <c r="E223" s="281"/>
      <c r="F223" s="281"/>
      <c r="G223" s="281"/>
      <c r="H223" s="281"/>
      <c r="I223" s="281"/>
      <c r="J223" s="281"/>
      <c r="K223" s="281"/>
      <c r="L223" s="281"/>
      <c r="M223" s="281"/>
      <c r="N223" s="281"/>
    </row>
    <row r="224" ht="13.5" customHeight="1">
      <c r="A224" s="281"/>
      <c r="B224" s="281"/>
      <c r="C224" s="281"/>
      <c r="D224" s="281"/>
      <c r="E224" s="281"/>
      <c r="F224" s="281"/>
      <c r="G224" s="281"/>
      <c r="H224" s="281"/>
      <c r="I224" s="281"/>
      <c r="J224" s="281"/>
      <c r="K224" s="281"/>
      <c r="L224" s="281"/>
      <c r="M224" s="281"/>
      <c r="N224" s="281"/>
    </row>
    <row r="225" ht="13.5" customHeight="1">
      <c r="A225" s="281"/>
      <c r="B225" s="281"/>
      <c r="C225" s="281"/>
      <c r="D225" s="281"/>
      <c r="E225" s="281"/>
      <c r="F225" s="281"/>
      <c r="G225" s="281"/>
      <c r="H225" s="281"/>
      <c r="I225" s="281"/>
      <c r="J225" s="281"/>
      <c r="K225" s="281"/>
      <c r="L225" s="281"/>
      <c r="M225" s="281"/>
      <c r="N225" s="281"/>
    </row>
    <row r="226" ht="13.5" customHeight="1">
      <c r="A226" s="281"/>
      <c r="B226" s="281"/>
      <c r="C226" s="281"/>
      <c r="D226" s="281"/>
      <c r="E226" s="281"/>
      <c r="F226" s="281"/>
      <c r="G226" s="281"/>
      <c r="H226" s="281"/>
      <c r="I226" s="281"/>
      <c r="J226" s="281"/>
      <c r="K226" s="281"/>
      <c r="L226" s="281"/>
      <c r="M226" s="281"/>
      <c r="N226" s="281"/>
    </row>
    <row r="227" ht="13.5" customHeight="1">
      <c r="A227" s="281"/>
      <c r="B227" s="281"/>
      <c r="C227" s="281"/>
      <c r="D227" s="281"/>
      <c r="E227" s="281"/>
      <c r="F227" s="281"/>
      <c r="G227" s="281"/>
      <c r="H227" s="281"/>
      <c r="I227" s="281"/>
      <c r="J227" s="281"/>
      <c r="K227" s="281"/>
      <c r="L227" s="281"/>
      <c r="M227" s="281"/>
      <c r="N227" s="281"/>
    </row>
    <row r="228" ht="13.5" customHeight="1">
      <c r="A228" s="281"/>
      <c r="B228" s="281"/>
      <c r="C228" s="281"/>
      <c r="D228" s="281"/>
      <c r="E228" s="281"/>
      <c r="F228" s="281"/>
      <c r="G228" s="281"/>
      <c r="H228" s="281"/>
      <c r="I228" s="281"/>
      <c r="J228" s="281"/>
      <c r="K228" s="281"/>
      <c r="L228" s="281"/>
      <c r="M228" s="281"/>
      <c r="N228" s="281"/>
    </row>
    <row r="229" ht="13.5" customHeight="1">
      <c r="A229" s="281"/>
      <c r="B229" s="281"/>
      <c r="C229" s="281"/>
      <c r="D229" s="281"/>
      <c r="E229" s="281"/>
      <c r="F229" s="281"/>
      <c r="G229" s="281"/>
      <c r="H229" s="281"/>
      <c r="I229" s="281"/>
      <c r="J229" s="281"/>
      <c r="K229" s="281"/>
      <c r="L229" s="281"/>
      <c r="M229" s="281"/>
      <c r="N229" s="281"/>
    </row>
    <row r="230" ht="13.5" customHeight="1">
      <c r="A230" s="281"/>
      <c r="B230" s="281"/>
      <c r="C230" s="281"/>
      <c r="D230" s="281"/>
      <c r="E230" s="281"/>
      <c r="F230" s="281"/>
      <c r="G230" s="281"/>
      <c r="H230" s="281"/>
      <c r="I230" s="281"/>
      <c r="J230" s="281"/>
      <c r="K230" s="281"/>
      <c r="L230" s="281"/>
      <c r="M230" s="281"/>
      <c r="N230" s="281"/>
    </row>
    <row r="231" ht="13.5" customHeight="1">
      <c r="A231" s="281"/>
      <c r="B231" s="281"/>
      <c r="C231" s="281"/>
      <c r="D231" s="281"/>
      <c r="E231" s="281"/>
      <c r="F231" s="281"/>
      <c r="G231" s="281"/>
      <c r="H231" s="281"/>
      <c r="I231" s="281"/>
      <c r="J231" s="281"/>
      <c r="K231" s="281"/>
      <c r="L231" s="281"/>
      <c r="M231" s="281"/>
      <c r="N231" s="281"/>
    </row>
    <row r="232" ht="13.5" customHeight="1">
      <c r="A232" s="281"/>
      <c r="B232" s="281"/>
      <c r="C232" s="281"/>
      <c r="D232" s="281"/>
      <c r="E232" s="281"/>
      <c r="F232" s="281"/>
      <c r="G232" s="281"/>
      <c r="H232" s="281"/>
      <c r="I232" s="281"/>
      <c r="J232" s="281"/>
      <c r="K232" s="281"/>
      <c r="L232" s="281"/>
      <c r="M232" s="281"/>
      <c r="N232" s="281"/>
    </row>
    <row r="233" ht="13.5" customHeight="1">
      <c r="A233" s="281"/>
      <c r="B233" s="281"/>
      <c r="C233" s="281"/>
      <c r="D233" s="281"/>
      <c r="E233" s="281"/>
      <c r="F233" s="281"/>
      <c r="G233" s="281"/>
      <c r="H233" s="281"/>
      <c r="I233" s="281"/>
      <c r="J233" s="281"/>
      <c r="K233" s="281"/>
      <c r="L233" s="281"/>
      <c r="M233" s="281"/>
      <c r="N233" s="281"/>
    </row>
    <row r="234" ht="13.5" customHeight="1">
      <c r="A234" s="281"/>
      <c r="B234" s="281"/>
      <c r="C234" s="281"/>
      <c r="D234" s="281"/>
      <c r="E234" s="281"/>
      <c r="F234" s="281"/>
      <c r="G234" s="281"/>
      <c r="H234" s="281"/>
      <c r="I234" s="281"/>
      <c r="J234" s="281"/>
      <c r="K234" s="281"/>
      <c r="L234" s="281"/>
      <c r="M234" s="281"/>
      <c r="N234" s="281"/>
    </row>
    <row r="235" ht="13.5" customHeight="1">
      <c r="A235" s="281"/>
      <c r="B235" s="281"/>
      <c r="C235" s="281"/>
      <c r="D235" s="281"/>
      <c r="E235" s="281"/>
      <c r="F235" s="281"/>
      <c r="G235" s="281"/>
      <c r="H235" s="281"/>
      <c r="I235" s="281"/>
      <c r="J235" s="281"/>
      <c r="K235" s="281"/>
      <c r="L235" s="281"/>
      <c r="M235" s="281"/>
      <c r="N235" s="281"/>
    </row>
    <row r="236" ht="13.5" customHeight="1">
      <c r="A236" s="281"/>
      <c r="B236" s="281"/>
      <c r="C236" s="281"/>
      <c r="D236" s="281"/>
      <c r="E236" s="281"/>
      <c r="F236" s="281"/>
      <c r="G236" s="281"/>
      <c r="H236" s="281"/>
      <c r="I236" s="281"/>
      <c r="J236" s="281"/>
      <c r="K236" s="281"/>
      <c r="L236" s="281"/>
      <c r="M236" s="281"/>
      <c r="N236" s="281"/>
    </row>
    <row r="237" ht="13.5" customHeight="1">
      <c r="A237" s="281"/>
      <c r="B237" s="281"/>
      <c r="C237" s="281"/>
      <c r="D237" s="281"/>
      <c r="E237" s="281"/>
      <c r="F237" s="281"/>
      <c r="G237" s="281"/>
      <c r="H237" s="281"/>
      <c r="I237" s="281"/>
      <c r="J237" s="281"/>
      <c r="K237" s="281"/>
      <c r="L237" s="281"/>
      <c r="M237" s="281"/>
      <c r="N237" s="281"/>
    </row>
    <row r="238" ht="13.5" customHeight="1">
      <c r="A238" s="281"/>
      <c r="B238" s="281"/>
      <c r="C238" s="281"/>
      <c r="D238" s="281"/>
      <c r="E238" s="281"/>
      <c r="F238" s="281"/>
      <c r="G238" s="281"/>
      <c r="H238" s="281"/>
      <c r="I238" s="281"/>
      <c r="J238" s="281"/>
      <c r="K238" s="281"/>
      <c r="L238" s="281"/>
      <c r="M238" s="281"/>
      <c r="N238" s="281"/>
    </row>
    <row r="239" ht="13.5" customHeight="1">
      <c r="A239" s="281"/>
      <c r="B239" s="281"/>
      <c r="C239" s="281"/>
      <c r="D239" s="281"/>
      <c r="E239" s="281"/>
      <c r="F239" s="281"/>
      <c r="G239" s="281"/>
      <c r="H239" s="281"/>
      <c r="I239" s="281"/>
      <c r="J239" s="281"/>
      <c r="K239" s="281"/>
      <c r="L239" s="281"/>
      <c r="M239" s="281"/>
      <c r="N239" s="281"/>
    </row>
    <row r="240" ht="13.5" customHeight="1">
      <c r="A240" s="281"/>
      <c r="B240" s="281"/>
      <c r="C240" s="281"/>
      <c r="D240" s="281"/>
      <c r="E240" s="281"/>
      <c r="F240" s="281"/>
      <c r="G240" s="281"/>
      <c r="H240" s="281"/>
      <c r="I240" s="281"/>
      <c r="J240" s="281"/>
      <c r="K240" s="281"/>
      <c r="L240" s="281"/>
      <c r="M240" s="281"/>
      <c r="N240" s="281"/>
    </row>
    <row r="241" ht="13.5" customHeight="1">
      <c r="A241" s="281"/>
      <c r="B241" s="281"/>
      <c r="C241" s="281"/>
      <c r="D241" s="281"/>
      <c r="E241" s="281"/>
      <c r="F241" s="281"/>
      <c r="G241" s="281"/>
      <c r="H241" s="281"/>
      <c r="I241" s="281"/>
      <c r="J241" s="281"/>
      <c r="K241" s="281"/>
      <c r="L241" s="281"/>
      <c r="M241" s="281"/>
      <c r="N241" s="281"/>
    </row>
    <row r="242" ht="13.5" customHeight="1">
      <c r="A242" s="281"/>
      <c r="B242" s="281"/>
      <c r="C242" s="281"/>
      <c r="D242" s="281"/>
      <c r="E242" s="281"/>
      <c r="F242" s="281"/>
      <c r="G242" s="281"/>
      <c r="H242" s="281"/>
      <c r="I242" s="281"/>
      <c r="J242" s="281"/>
      <c r="K242" s="281"/>
      <c r="L242" s="281"/>
      <c r="M242" s="281"/>
      <c r="N242" s="281"/>
    </row>
    <row r="243" ht="13.5" customHeight="1">
      <c r="A243" s="281"/>
      <c r="B243" s="281"/>
      <c r="C243" s="281"/>
      <c r="D243" s="281"/>
      <c r="E243" s="281"/>
      <c r="F243" s="281"/>
      <c r="G243" s="281"/>
      <c r="H243" s="281"/>
      <c r="I243" s="281"/>
      <c r="J243" s="281"/>
      <c r="K243" s="281"/>
      <c r="L243" s="281"/>
      <c r="M243" s="281"/>
      <c r="N243" s="281"/>
    </row>
    <row r="244" ht="13.5" customHeight="1">
      <c r="A244" s="281"/>
      <c r="B244" s="281"/>
      <c r="C244" s="281"/>
      <c r="D244" s="281"/>
      <c r="E244" s="281"/>
      <c r="F244" s="281"/>
      <c r="G244" s="281"/>
      <c r="H244" s="281"/>
      <c r="I244" s="281"/>
      <c r="J244" s="281"/>
      <c r="K244" s="281"/>
      <c r="L244" s="281"/>
      <c r="M244" s="281"/>
      <c r="N244" s="281"/>
    </row>
    <row r="245" ht="13.5" customHeight="1">
      <c r="A245" s="281"/>
      <c r="B245" s="281"/>
      <c r="C245" s="281"/>
      <c r="D245" s="281"/>
      <c r="E245" s="281"/>
      <c r="F245" s="281"/>
      <c r="G245" s="281"/>
      <c r="H245" s="281"/>
      <c r="I245" s="281"/>
      <c r="J245" s="281"/>
      <c r="K245" s="281"/>
      <c r="L245" s="281"/>
      <c r="M245" s="281"/>
      <c r="N245" s="281"/>
    </row>
    <row r="246" ht="13.5" customHeight="1">
      <c r="A246" s="281"/>
      <c r="B246" s="281"/>
      <c r="C246" s="281"/>
      <c r="D246" s="281"/>
      <c r="E246" s="281"/>
      <c r="F246" s="281"/>
      <c r="G246" s="281"/>
      <c r="H246" s="281"/>
      <c r="I246" s="281"/>
      <c r="J246" s="281"/>
      <c r="K246" s="281"/>
      <c r="L246" s="281"/>
      <c r="M246" s="281"/>
      <c r="N246" s="281"/>
    </row>
    <row r="247" ht="13.5" customHeight="1">
      <c r="A247" s="281"/>
      <c r="B247" s="281"/>
      <c r="C247" s="281"/>
      <c r="D247" s="281"/>
      <c r="E247" s="281"/>
      <c r="F247" s="281"/>
      <c r="G247" s="281"/>
      <c r="H247" s="281"/>
      <c r="I247" s="281"/>
      <c r="J247" s="281"/>
      <c r="K247" s="281"/>
      <c r="L247" s="281"/>
      <c r="M247" s="281"/>
      <c r="N247" s="281"/>
    </row>
    <row r="248" ht="13.5" customHeight="1">
      <c r="A248" s="281"/>
      <c r="B248" s="281"/>
      <c r="C248" s="281"/>
      <c r="D248" s="281"/>
      <c r="E248" s="281"/>
      <c r="F248" s="281"/>
      <c r="G248" s="281"/>
      <c r="H248" s="281"/>
      <c r="I248" s="281"/>
      <c r="J248" s="281"/>
      <c r="K248" s="281"/>
      <c r="L248" s="281"/>
      <c r="M248" s="281"/>
      <c r="N248" s="281"/>
    </row>
    <row r="249" ht="13.5" customHeight="1">
      <c r="A249" s="281"/>
      <c r="B249" s="281"/>
      <c r="C249" s="281"/>
      <c r="D249" s="281"/>
      <c r="E249" s="281"/>
      <c r="F249" s="281"/>
      <c r="G249" s="281"/>
      <c r="H249" s="281"/>
      <c r="I249" s="281"/>
      <c r="J249" s="281"/>
      <c r="K249" s="281"/>
      <c r="L249" s="281"/>
      <c r="M249" s="281"/>
      <c r="N249" s="281"/>
    </row>
    <row r="250" ht="13.5" customHeight="1">
      <c r="A250" s="281"/>
      <c r="B250" s="281"/>
      <c r="C250" s="281"/>
      <c r="D250" s="281"/>
      <c r="E250" s="281"/>
      <c r="F250" s="281"/>
      <c r="G250" s="281"/>
      <c r="H250" s="281"/>
      <c r="I250" s="281"/>
      <c r="J250" s="281"/>
      <c r="K250" s="281"/>
      <c r="L250" s="281"/>
      <c r="M250" s="281"/>
      <c r="N250" s="281"/>
    </row>
    <row r="251" ht="13.5" customHeight="1">
      <c r="A251" s="281"/>
      <c r="B251" s="281"/>
      <c r="C251" s="281"/>
      <c r="D251" s="281"/>
      <c r="E251" s="281"/>
      <c r="F251" s="281"/>
      <c r="G251" s="281"/>
      <c r="H251" s="281"/>
      <c r="I251" s="281"/>
      <c r="J251" s="281"/>
      <c r="K251" s="281"/>
      <c r="L251" s="281"/>
      <c r="M251" s="281"/>
      <c r="N251" s="281"/>
    </row>
    <row r="252" ht="13.5" customHeight="1">
      <c r="A252" s="281"/>
      <c r="B252" s="281"/>
      <c r="C252" s="281"/>
      <c r="D252" s="281"/>
      <c r="E252" s="281"/>
      <c r="F252" s="281"/>
      <c r="G252" s="281"/>
      <c r="H252" s="281"/>
      <c r="I252" s="281"/>
      <c r="J252" s="281"/>
      <c r="K252" s="281"/>
      <c r="L252" s="281"/>
      <c r="M252" s="281"/>
      <c r="N252" s="281"/>
    </row>
    <row r="253" ht="13.5" customHeight="1">
      <c r="A253" s="281"/>
      <c r="B253" s="281"/>
      <c r="C253" s="281"/>
      <c r="D253" s="281"/>
      <c r="E253" s="281"/>
      <c r="F253" s="281"/>
      <c r="G253" s="281"/>
      <c r="H253" s="281"/>
      <c r="I253" s="281"/>
      <c r="J253" s="281"/>
      <c r="K253" s="281"/>
      <c r="L253" s="281"/>
      <c r="M253" s="281"/>
      <c r="N253" s="281"/>
    </row>
    <row r="254" ht="13.5" customHeight="1">
      <c r="A254" s="281"/>
      <c r="B254" s="281"/>
      <c r="C254" s="281"/>
      <c r="D254" s="281"/>
      <c r="E254" s="281"/>
      <c r="F254" s="281"/>
      <c r="G254" s="281"/>
      <c r="H254" s="281"/>
      <c r="I254" s="281"/>
      <c r="J254" s="281"/>
      <c r="K254" s="281"/>
      <c r="L254" s="281"/>
      <c r="M254" s="281"/>
      <c r="N254" s="281"/>
    </row>
    <row r="255" ht="13.5" customHeight="1">
      <c r="A255" s="281"/>
      <c r="B255" s="281"/>
      <c r="C255" s="281"/>
      <c r="D255" s="281"/>
      <c r="E255" s="281"/>
      <c r="F255" s="281"/>
      <c r="G255" s="281"/>
      <c r="H255" s="281"/>
      <c r="I255" s="281"/>
      <c r="J255" s="281"/>
      <c r="K255" s="281"/>
      <c r="L255" s="281"/>
      <c r="M255" s="281"/>
      <c r="N255" s="281"/>
    </row>
    <row r="256" ht="13.5" customHeight="1">
      <c r="A256" s="281"/>
      <c r="B256" s="281"/>
      <c r="C256" s="281"/>
      <c r="D256" s="281"/>
      <c r="E256" s="281"/>
      <c r="F256" s="281"/>
      <c r="G256" s="281"/>
      <c r="H256" s="281"/>
      <c r="I256" s="281"/>
      <c r="J256" s="281"/>
      <c r="K256" s="281"/>
      <c r="L256" s="281"/>
      <c r="M256" s="281"/>
      <c r="N256" s="281"/>
    </row>
    <row r="257" ht="13.5" customHeight="1">
      <c r="A257" s="281"/>
      <c r="B257" s="281"/>
      <c r="C257" s="281"/>
      <c r="D257" s="281"/>
      <c r="E257" s="281"/>
      <c r="F257" s="281"/>
      <c r="G257" s="281"/>
      <c r="H257" s="281"/>
      <c r="I257" s="281"/>
      <c r="J257" s="281"/>
      <c r="K257" s="281"/>
      <c r="L257" s="281"/>
      <c r="M257" s="281"/>
      <c r="N257" s="281"/>
    </row>
    <row r="258" ht="13.5" customHeight="1">
      <c r="A258" s="281"/>
      <c r="B258" s="281"/>
      <c r="C258" s="281"/>
      <c r="D258" s="281"/>
      <c r="E258" s="281"/>
      <c r="F258" s="281"/>
      <c r="G258" s="281"/>
      <c r="H258" s="281"/>
      <c r="I258" s="281"/>
      <c r="J258" s="281"/>
      <c r="K258" s="281"/>
      <c r="L258" s="281"/>
      <c r="M258" s="281"/>
      <c r="N258" s="281"/>
    </row>
    <row r="259" ht="13.5" customHeight="1">
      <c r="A259" s="281"/>
      <c r="B259" s="281"/>
      <c r="C259" s="281"/>
      <c r="D259" s="281"/>
      <c r="E259" s="281"/>
      <c r="F259" s="281"/>
      <c r="G259" s="281"/>
      <c r="H259" s="281"/>
      <c r="I259" s="281"/>
      <c r="J259" s="281"/>
      <c r="K259" s="281"/>
      <c r="L259" s="281"/>
      <c r="M259" s="281"/>
      <c r="N259" s="281"/>
    </row>
    <row r="260" ht="13.5" customHeight="1">
      <c r="A260" s="281"/>
      <c r="B260" s="281"/>
      <c r="C260" s="281"/>
      <c r="D260" s="281"/>
      <c r="E260" s="281"/>
      <c r="F260" s="281"/>
      <c r="G260" s="281"/>
      <c r="H260" s="281"/>
      <c r="I260" s="281"/>
      <c r="J260" s="281"/>
      <c r="K260" s="281"/>
      <c r="L260" s="281"/>
      <c r="M260" s="281"/>
      <c r="N260" s="281"/>
    </row>
    <row r="261" ht="13.5" customHeight="1">
      <c r="A261" s="281"/>
      <c r="B261" s="281"/>
      <c r="C261" s="281"/>
      <c r="D261" s="281"/>
      <c r="E261" s="281"/>
      <c r="F261" s="281"/>
      <c r="G261" s="281"/>
      <c r="H261" s="281"/>
      <c r="I261" s="281"/>
      <c r="J261" s="281"/>
      <c r="K261" s="281"/>
      <c r="L261" s="281"/>
      <c r="M261" s="281"/>
      <c r="N261" s="281"/>
    </row>
    <row r="262" ht="13.5" customHeight="1">
      <c r="A262" s="281"/>
      <c r="B262" s="281"/>
      <c r="C262" s="281"/>
      <c r="D262" s="281"/>
      <c r="E262" s="281"/>
      <c r="F262" s="281"/>
      <c r="G262" s="281"/>
      <c r="H262" s="281"/>
      <c r="I262" s="281"/>
      <c r="J262" s="281"/>
      <c r="K262" s="281"/>
      <c r="L262" s="281"/>
      <c r="M262" s="281"/>
      <c r="N262" s="281"/>
    </row>
    <row r="263" ht="13.5" customHeight="1">
      <c r="A263" s="281"/>
      <c r="B263" s="281"/>
      <c r="C263" s="281"/>
      <c r="D263" s="281"/>
      <c r="E263" s="281"/>
      <c r="F263" s="281"/>
      <c r="G263" s="281"/>
      <c r="H263" s="281"/>
      <c r="I263" s="281"/>
      <c r="J263" s="281"/>
      <c r="K263" s="281"/>
      <c r="L263" s="281"/>
      <c r="M263" s="281"/>
      <c r="N263" s="281"/>
    </row>
    <row r="264" ht="13.5" customHeight="1">
      <c r="A264" s="281"/>
      <c r="B264" s="281"/>
      <c r="C264" s="281"/>
      <c r="D264" s="281"/>
      <c r="E264" s="281"/>
      <c r="F264" s="281"/>
      <c r="G264" s="281"/>
      <c r="H264" s="281"/>
      <c r="I264" s="281"/>
      <c r="J264" s="281"/>
      <c r="K264" s="281"/>
      <c r="L264" s="281"/>
      <c r="M264" s="281"/>
      <c r="N264" s="281"/>
    </row>
    <row r="265" ht="13.5" customHeight="1">
      <c r="A265" s="281"/>
      <c r="B265" s="281"/>
      <c r="C265" s="281"/>
      <c r="D265" s="281"/>
      <c r="E265" s="281"/>
      <c r="F265" s="281"/>
      <c r="G265" s="281"/>
      <c r="H265" s="281"/>
      <c r="I265" s="281"/>
      <c r="J265" s="281"/>
      <c r="K265" s="281"/>
      <c r="L265" s="281"/>
      <c r="M265" s="281"/>
      <c r="N265" s="281"/>
    </row>
    <row r="266" ht="13.5" customHeight="1">
      <c r="A266" s="281"/>
      <c r="B266" s="281"/>
      <c r="C266" s="281"/>
      <c r="D266" s="281"/>
      <c r="E266" s="281"/>
      <c r="F266" s="281"/>
      <c r="G266" s="281"/>
      <c r="H266" s="281"/>
      <c r="I266" s="281"/>
      <c r="J266" s="281"/>
      <c r="K266" s="281"/>
      <c r="L266" s="281"/>
      <c r="M266" s="281"/>
      <c r="N266" s="281"/>
    </row>
    <row r="267" ht="13.5" customHeight="1">
      <c r="A267" s="281"/>
      <c r="B267" s="281"/>
      <c r="C267" s="281"/>
      <c r="D267" s="281"/>
      <c r="E267" s="281"/>
      <c r="F267" s="281"/>
      <c r="G267" s="281"/>
      <c r="H267" s="281"/>
      <c r="I267" s="281"/>
      <c r="J267" s="281"/>
      <c r="K267" s="281"/>
      <c r="L267" s="281"/>
      <c r="M267" s="281"/>
      <c r="N267" s="281"/>
    </row>
    <row r="268" ht="13.5" customHeight="1">
      <c r="A268" s="281"/>
      <c r="B268" s="281"/>
      <c r="C268" s="281"/>
      <c r="D268" s="281"/>
      <c r="E268" s="281"/>
      <c r="F268" s="281"/>
      <c r="G268" s="281"/>
      <c r="H268" s="281"/>
      <c r="I268" s="281"/>
      <c r="J268" s="281"/>
      <c r="K268" s="281"/>
      <c r="L268" s="281"/>
      <c r="M268" s="281"/>
      <c r="N268" s="281"/>
    </row>
    <row r="269" ht="13.5" customHeight="1">
      <c r="A269" s="281"/>
      <c r="B269" s="281"/>
      <c r="C269" s="281"/>
      <c r="D269" s="281"/>
      <c r="E269" s="281"/>
      <c r="F269" s="281"/>
      <c r="G269" s="281"/>
      <c r="H269" s="281"/>
      <c r="I269" s="281"/>
      <c r="J269" s="281"/>
      <c r="K269" s="281"/>
      <c r="L269" s="281"/>
      <c r="M269" s="281"/>
      <c r="N269" s="281"/>
    </row>
    <row r="270" ht="13.5" customHeight="1">
      <c r="A270" s="281"/>
      <c r="B270" s="281"/>
      <c r="C270" s="281"/>
      <c r="D270" s="281"/>
      <c r="E270" s="281"/>
      <c r="F270" s="281"/>
      <c r="G270" s="281"/>
      <c r="H270" s="281"/>
      <c r="I270" s="281"/>
      <c r="J270" s="281"/>
      <c r="K270" s="281"/>
      <c r="L270" s="281"/>
      <c r="M270" s="281"/>
      <c r="N270" s="281"/>
    </row>
    <row r="271" ht="13.5" customHeight="1">
      <c r="A271" s="281"/>
      <c r="B271" s="281"/>
      <c r="C271" s="281"/>
      <c r="D271" s="281"/>
      <c r="E271" s="281"/>
      <c r="F271" s="281"/>
      <c r="G271" s="281"/>
      <c r="H271" s="281"/>
      <c r="I271" s="281"/>
      <c r="J271" s="281"/>
      <c r="K271" s="281"/>
      <c r="L271" s="281"/>
      <c r="M271" s="281"/>
      <c r="N271" s="281"/>
    </row>
    <row r="272" ht="13.5" customHeight="1">
      <c r="A272" s="281"/>
      <c r="B272" s="281"/>
      <c r="C272" s="281"/>
      <c r="D272" s="281"/>
      <c r="E272" s="281"/>
      <c r="F272" s="281"/>
      <c r="G272" s="281"/>
      <c r="H272" s="281"/>
      <c r="I272" s="281"/>
      <c r="J272" s="281"/>
      <c r="K272" s="281"/>
      <c r="L272" s="281"/>
      <c r="M272" s="281"/>
      <c r="N272" s="281"/>
    </row>
    <row r="273" ht="13.5" customHeight="1">
      <c r="A273" s="281"/>
      <c r="B273" s="281"/>
      <c r="C273" s="281"/>
      <c r="D273" s="281"/>
      <c r="E273" s="281"/>
      <c r="F273" s="281"/>
      <c r="G273" s="281"/>
      <c r="H273" s="281"/>
      <c r="I273" s="281"/>
      <c r="J273" s="281"/>
      <c r="K273" s="281"/>
      <c r="L273" s="281"/>
      <c r="M273" s="281"/>
      <c r="N273" s="281"/>
    </row>
    <row r="274" ht="13.5" customHeight="1">
      <c r="A274" s="281"/>
      <c r="B274" s="281"/>
      <c r="C274" s="281"/>
      <c r="D274" s="281"/>
      <c r="E274" s="281"/>
      <c r="F274" s="281"/>
      <c r="G274" s="281"/>
      <c r="H274" s="281"/>
      <c r="I274" s="281"/>
      <c r="J274" s="281"/>
      <c r="K274" s="281"/>
      <c r="L274" s="281"/>
      <c r="M274" s="281"/>
      <c r="N274" s="281"/>
    </row>
    <row r="275" ht="13.5" customHeight="1">
      <c r="A275" s="281"/>
      <c r="B275" s="281"/>
      <c r="C275" s="281"/>
      <c r="D275" s="281"/>
      <c r="E275" s="281"/>
      <c r="F275" s="281"/>
      <c r="G275" s="281"/>
      <c r="H275" s="281"/>
      <c r="I275" s="281"/>
      <c r="J275" s="281"/>
      <c r="K275" s="281"/>
      <c r="L275" s="281"/>
      <c r="M275" s="281"/>
      <c r="N275" s="281"/>
    </row>
    <row r="276" ht="13.5" customHeight="1">
      <c r="A276" s="281"/>
      <c r="B276" s="281"/>
      <c r="C276" s="281"/>
      <c r="D276" s="281"/>
      <c r="E276" s="281"/>
      <c r="F276" s="281"/>
      <c r="G276" s="281"/>
      <c r="H276" s="281"/>
      <c r="I276" s="281"/>
      <c r="J276" s="281"/>
      <c r="K276" s="281"/>
      <c r="L276" s="281"/>
      <c r="M276" s="281"/>
      <c r="N276" s="281"/>
    </row>
    <row r="277" ht="13.5" customHeight="1">
      <c r="A277" s="281"/>
      <c r="B277" s="281"/>
      <c r="C277" s="281"/>
      <c r="D277" s="281"/>
      <c r="E277" s="281"/>
      <c r="F277" s="281"/>
      <c r="G277" s="281"/>
      <c r="H277" s="281"/>
      <c r="I277" s="281"/>
      <c r="J277" s="281"/>
      <c r="K277" s="281"/>
      <c r="L277" s="281"/>
      <c r="M277" s="281"/>
      <c r="N277" s="281"/>
    </row>
    <row r="278" ht="13.5" customHeight="1">
      <c r="A278" s="281"/>
      <c r="B278" s="281"/>
      <c r="C278" s="281"/>
      <c r="D278" s="281"/>
      <c r="E278" s="281"/>
      <c r="F278" s="281"/>
      <c r="G278" s="281"/>
      <c r="H278" s="281"/>
      <c r="I278" s="281"/>
      <c r="J278" s="281"/>
      <c r="K278" s="281"/>
      <c r="L278" s="281"/>
      <c r="M278" s="281"/>
      <c r="N278" s="281"/>
    </row>
    <row r="279" ht="13.5" customHeight="1">
      <c r="A279" s="281"/>
      <c r="B279" s="281"/>
      <c r="C279" s="281"/>
      <c r="D279" s="281"/>
      <c r="E279" s="281"/>
      <c r="F279" s="281"/>
      <c r="G279" s="281"/>
      <c r="H279" s="281"/>
      <c r="I279" s="281"/>
      <c r="J279" s="281"/>
      <c r="K279" s="281"/>
      <c r="L279" s="281"/>
      <c r="M279" s="281"/>
      <c r="N279" s="281"/>
    </row>
    <row r="280" ht="13.5" customHeight="1">
      <c r="A280" s="281"/>
      <c r="B280" s="281"/>
      <c r="C280" s="281"/>
      <c r="D280" s="281"/>
      <c r="E280" s="281"/>
      <c r="F280" s="281"/>
      <c r="G280" s="281"/>
      <c r="H280" s="281"/>
      <c r="I280" s="281"/>
      <c r="J280" s="281"/>
      <c r="K280" s="281"/>
      <c r="L280" s="281"/>
      <c r="M280" s="281"/>
      <c r="N280" s="281"/>
    </row>
    <row r="281" ht="13.5" customHeight="1">
      <c r="A281" s="281"/>
      <c r="B281" s="281"/>
      <c r="C281" s="281"/>
      <c r="D281" s="281"/>
      <c r="E281" s="281"/>
      <c r="F281" s="281"/>
      <c r="G281" s="281"/>
      <c r="H281" s="281"/>
      <c r="I281" s="281"/>
      <c r="J281" s="281"/>
      <c r="K281" s="281"/>
      <c r="L281" s="281"/>
      <c r="M281" s="281"/>
      <c r="N281" s="281"/>
    </row>
    <row r="282" ht="13.5" customHeight="1">
      <c r="A282" s="281"/>
      <c r="B282" s="281"/>
      <c r="C282" s="281"/>
      <c r="D282" s="281"/>
      <c r="E282" s="281"/>
      <c r="F282" s="281"/>
      <c r="G282" s="281"/>
      <c r="H282" s="281"/>
      <c r="I282" s="281"/>
      <c r="J282" s="281"/>
      <c r="K282" s="281"/>
      <c r="L282" s="281"/>
      <c r="M282" s="281"/>
      <c r="N282" s="281"/>
    </row>
    <row r="283" ht="13.5" customHeight="1">
      <c r="A283" s="281"/>
      <c r="B283" s="281"/>
      <c r="C283" s="281"/>
      <c r="D283" s="281"/>
      <c r="E283" s="281"/>
      <c r="F283" s="281"/>
      <c r="G283" s="281"/>
      <c r="H283" s="281"/>
      <c r="I283" s="281"/>
      <c r="J283" s="281"/>
      <c r="K283" s="281"/>
      <c r="L283" s="281"/>
      <c r="M283" s="281"/>
      <c r="N283" s="281"/>
    </row>
    <row r="284" ht="13.5" customHeight="1">
      <c r="A284" s="281"/>
      <c r="B284" s="281"/>
      <c r="C284" s="281"/>
      <c r="D284" s="281"/>
      <c r="E284" s="281"/>
      <c r="F284" s="281"/>
      <c r="G284" s="281"/>
      <c r="H284" s="281"/>
      <c r="I284" s="281"/>
      <c r="J284" s="281"/>
      <c r="K284" s="281"/>
      <c r="L284" s="281"/>
      <c r="M284" s="281"/>
      <c r="N284" s="281"/>
    </row>
    <row r="285" ht="13.5" customHeight="1">
      <c r="A285" s="281"/>
      <c r="B285" s="281"/>
      <c r="C285" s="281"/>
      <c r="D285" s="281"/>
      <c r="E285" s="281"/>
      <c r="F285" s="281"/>
      <c r="G285" s="281"/>
      <c r="H285" s="281"/>
      <c r="I285" s="281"/>
      <c r="J285" s="281"/>
      <c r="K285" s="281"/>
      <c r="L285" s="281"/>
      <c r="M285" s="281"/>
      <c r="N285" s="281"/>
    </row>
    <row r="286" ht="13.5" customHeight="1">
      <c r="A286" s="281"/>
      <c r="B286" s="281"/>
      <c r="C286" s="281"/>
      <c r="D286" s="281"/>
      <c r="E286" s="281"/>
      <c r="F286" s="281"/>
      <c r="G286" s="281"/>
      <c r="H286" s="281"/>
      <c r="I286" s="281"/>
      <c r="J286" s="281"/>
      <c r="K286" s="281"/>
      <c r="L286" s="281"/>
      <c r="M286" s="281"/>
      <c r="N286" s="281"/>
    </row>
    <row r="287" ht="13.5" customHeight="1">
      <c r="A287" s="281"/>
      <c r="B287" s="281"/>
      <c r="C287" s="281"/>
      <c r="D287" s="281"/>
      <c r="E287" s="281"/>
      <c r="F287" s="281"/>
      <c r="G287" s="281"/>
      <c r="H287" s="281"/>
      <c r="I287" s="281"/>
      <c r="J287" s="281"/>
      <c r="K287" s="281"/>
      <c r="L287" s="281"/>
      <c r="M287" s="281"/>
      <c r="N287" s="281"/>
    </row>
    <row r="288" ht="13.5" customHeight="1">
      <c r="A288" s="281"/>
      <c r="B288" s="281"/>
      <c r="C288" s="281"/>
      <c r="D288" s="281"/>
      <c r="E288" s="281"/>
      <c r="F288" s="281"/>
      <c r="G288" s="281"/>
      <c r="H288" s="281"/>
      <c r="I288" s="281"/>
      <c r="J288" s="281"/>
      <c r="K288" s="281"/>
      <c r="L288" s="281"/>
      <c r="M288" s="281"/>
      <c r="N288" s="281"/>
    </row>
    <row r="289" ht="13.5" customHeight="1">
      <c r="A289" s="281"/>
      <c r="B289" s="281"/>
      <c r="C289" s="281"/>
      <c r="D289" s="281"/>
      <c r="E289" s="281"/>
      <c r="F289" s="281"/>
      <c r="G289" s="281"/>
      <c r="H289" s="281"/>
      <c r="I289" s="281"/>
      <c r="J289" s="281"/>
      <c r="K289" s="281"/>
      <c r="L289" s="281"/>
      <c r="M289" s="281"/>
      <c r="N289" s="281"/>
    </row>
    <row r="290" ht="13.5" customHeight="1">
      <c r="A290" s="281"/>
      <c r="B290" s="281"/>
      <c r="C290" s="281"/>
      <c r="D290" s="281"/>
      <c r="E290" s="281"/>
      <c r="F290" s="281"/>
      <c r="G290" s="281"/>
      <c r="H290" s="281"/>
      <c r="I290" s="281"/>
      <c r="J290" s="281"/>
      <c r="K290" s="281"/>
      <c r="L290" s="281"/>
      <c r="M290" s="281"/>
      <c r="N290" s="281"/>
    </row>
    <row r="291" ht="13.5" customHeight="1">
      <c r="A291" s="281"/>
      <c r="B291" s="281"/>
      <c r="C291" s="281"/>
      <c r="D291" s="281"/>
      <c r="E291" s="281"/>
      <c r="F291" s="281"/>
      <c r="G291" s="281"/>
      <c r="H291" s="281"/>
      <c r="I291" s="281"/>
      <c r="J291" s="281"/>
      <c r="K291" s="281"/>
      <c r="L291" s="281"/>
      <c r="M291" s="281"/>
      <c r="N291" s="281"/>
    </row>
    <row r="292" ht="13.5" customHeight="1">
      <c r="A292" s="281"/>
      <c r="B292" s="281"/>
      <c r="C292" s="281"/>
      <c r="D292" s="281"/>
      <c r="E292" s="281"/>
      <c r="F292" s="281"/>
      <c r="G292" s="281"/>
      <c r="H292" s="281"/>
      <c r="I292" s="281"/>
      <c r="J292" s="281"/>
      <c r="K292" s="281"/>
      <c r="L292" s="281"/>
      <c r="M292" s="281"/>
      <c r="N292" s="281"/>
    </row>
    <row r="293" ht="13.5" customHeight="1">
      <c r="A293" s="281"/>
      <c r="B293" s="281"/>
      <c r="C293" s="281"/>
      <c r="D293" s="281"/>
      <c r="E293" s="281"/>
      <c r="F293" s="281"/>
      <c r="G293" s="281"/>
      <c r="H293" s="281"/>
      <c r="I293" s="281"/>
      <c r="J293" s="281"/>
      <c r="K293" s="281"/>
      <c r="L293" s="281"/>
      <c r="M293" s="281"/>
      <c r="N293" s="281"/>
    </row>
    <row r="294" ht="13.5" customHeight="1">
      <c r="A294" s="281"/>
      <c r="B294" s="281"/>
      <c r="C294" s="281"/>
      <c r="D294" s="281"/>
      <c r="E294" s="281"/>
      <c r="F294" s="281"/>
      <c r="G294" s="281"/>
      <c r="H294" s="281"/>
      <c r="I294" s="281"/>
      <c r="J294" s="281"/>
      <c r="K294" s="281"/>
      <c r="L294" s="281"/>
      <c r="M294" s="281"/>
      <c r="N294" s="281"/>
    </row>
    <row r="295" ht="13.5" customHeight="1">
      <c r="A295" s="281"/>
      <c r="B295" s="281"/>
      <c r="C295" s="281"/>
      <c r="D295" s="281"/>
      <c r="E295" s="281"/>
      <c r="F295" s="281"/>
      <c r="G295" s="281"/>
      <c r="H295" s="281"/>
      <c r="I295" s="281"/>
      <c r="J295" s="281"/>
      <c r="K295" s="281"/>
      <c r="L295" s="281"/>
      <c r="M295" s="281"/>
      <c r="N295" s="281"/>
    </row>
    <row r="296" ht="13.5" customHeight="1">
      <c r="A296" s="281"/>
      <c r="B296" s="281"/>
      <c r="C296" s="281"/>
      <c r="D296" s="281"/>
      <c r="E296" s="281"/>
      <c r="F296" s="281"/>
      <c r="G296" s="281"/>
      <c r="H296" s="281"/>
      <c r="I296" s="281"/>
      <c r="J296" s="281"/>
      <c r="K296" s="281"/>
      <c r="L296" s="281"/>
      <c r="M296" s="281"/>
      <c r="N296" s="281"/>
    </row>
    <row r="297" ht="13.5" customHeight="1">
      <c r="A297" s="281"/>
      <c r="B297" s="281"/>
      <c r="C297" s="281"/>
      <c r="D297" s="281"/>
      <c r="E297" s="281"/>
      <c r="F297" s="281"/>
      <c r="G297" s="281"/>
      <c r="H297" s="281"/>
      <c r="I297" s="281"/>
      <c r="J297" s="281"/>
      <c r="K297" s="281"/>
      <c r="L297" s="281"/>
      <c r="M297" s="281"/>
      <c r="N297" s="281"/>
    </row>
    <row r="298" ht="13.5" customHeight="1">
      <c r="A298" s="281"/>
      <c r="B298" s="281"/>
      <c r="C298" s="281"/>
      <c r="D298" s="281"/>
      <c r="E298" s="281"/>
      <c r="F298" s="281"/>
      <c r="G298" s="281"/>
      <c r="H298" s="281"/>
      <c r="I298" s="281"/>
      <c r="J298" s="281"/>
      <c r="K298" s="281"/>
      <c r="L298" s="281"/>
      <c r="M298" s="281"/>
      <c r="N298" s="281"/>
    </row>
    <row r="299" ht="13.5" customHeight="1">
      <c r="A299" s="281"/>
      <c r="B299" s="281"/>
      <c r="C299" s="281"/>
      <c r="D299" s="281"/>
      <c r="E299" s="281"/>
      <c r="F299" s="281"/>
      <c r="G299" s="281"/>
      <c r="H299" s="281"/>
      <c r="I299" s="281"/>
      <c r="J299" s="281"/>
      <c r="K299" s="281"/>
      <c r="L299" s="281"/>
      <c r="M299" s="281"/>
      <c r="N299" s="281"/>
    </row>
    <row r="300" ht="13.5" customHeight="1">
      <c r="A300" s="281"/>
      <c r="B300" s="281"/>
      <c r="C300" s="281"/>
      <c r="D300" s="281"/>
      <c r="E300" s="281"/>
      <c r="F300" s="281"/>
      <c r="G300" s="281"/>
      <c r="H300" s="281"/>
      <c r="I300" s="281"/>
      <c r="J300" s="281"/>
      <c r="K300" s="281"/>
      <c r="L300" s="281"/>
      <c r="M300" s="281"/>
      <c r="N300" s="281"/>
    </row>
    <row r="301" ht="13.5" customHeight="1">
      <c r="A301" s="281"/>
      <c r="B301" s="281"/>
      <c r="C301" s="281"/>
      <c r="D301" s="281"/>
      <c r="E301" s="281"/>
      <c r="F301" s="281"/>
      <c r="G301" s="281"/>
      <c r="H301" s="281"/>
      <c r="I301" s="281"/>
      <c r="J301" s="281"/>
      <c r="K301" s="281"/>
      <c r="L301" s="281"/>
      <c r="M301" s="281"/>
      <c r="N301" s="281"/>
    </row>
    <row r="302" ht="13.5" customHeight="1">
      <c r="A302" s="281"/>
      <c r="B302" s="281"/>
      <c r="C302" s="281"/>
      <c r="D302" s="281"/>
      <c r="E302" s="281"/>
      <c r="F302" s="281"/>
      <c r="G302" s="281"/>
      <c r="H302" s="281"/>
      <c r="I302" s="281"/>
      <c r="J302" s="281"/>
      <c r="K302" s="281"/>
      <c r="L302" s="281"/>
      <c r="M302" s="281"/>
      <c r="N302" s="281"/>
    </row>
    <row r="303" ht="13.5" customHeight="1">
      <c r="A303" s="281"/>
      <c r="B303" s="281"/>
      <c r="C303" s="281"/>
      <c r="D303" s="281"/>
      <c r="E303" s="281"/>
      <c r="F303" s="281"/>
      <c r="G303" s="281"/>
      <c r="H303" s="281"/>
      <c r="I303" s="281"/>
      <c r="J303" s="281"/>
      <c r="K303" s="281"/>
      <c r="L303" s="281"/>
      <c r="M303" s="281"/>
      <c r="N303" s="281"/>
    </row>
    <row r="304" ht="13.5" customHeight="1">
      <c r="A304" s="281"/>
      <c r="B304" s="281"/>
      <c r="C304" s="281"/>
      <c r="D304" s="281"/>
      <c r="E304" s="281"/>
      <c r="F304" s="281"/>
      <c r="G304" s="281"/>
      <c r="H304" s="281"/>
      <c r="I304" s="281"/>
      <c r="J304" s="281"/>
      <c r="K304" s="281"/>
      <c r="L304" s="281"/>
      <c r="M304" s="281"/>
      <c r="N304" s="281"/>
    </row>
    <row r="305" ht="13.5" customHeight="1">
      <c r="A305" s="281"/>
      <c r="B305" s="281"/>
      <c r="C305" s="281"/>
      <c r="D305" s="281"/>
      <c r="E305" s="281"/>
      <c r="F305" s="281"/>
      <c r="G305" s="281"/>
      <c r="H305" s="281"/>
      <c r="I305" s="281"/>
      <c r="J305" s="281"/>
      <c r="K305" s="281"/>
      <c r="L305" s="281"/>
      <c r="M305" s="281"/>
      <c r="N305" s="281"/>
    </row>
    <row r="306" ht="13.5" customHeight="1">
      <c r="A306" s="281"/>
      <c r="B306" s="281"/>
      <c r="C306" s="281"/>
      <c r="D306" s="281"/>
      <c r="E306" s="281"/>
      <c r="F306" s="281"/>
      <c r="G306" s="281"/>
      <c r="H306" s="281"/>
      <c r="I306" s="281"/>
      <c r="J306" s="281"/>
      <c r="K306" s="281"/>
      <c r="L306" s="281"/>
      <c r="M306" s="281"/>
      <c r="N306" s="281"/>
    </row>
    <row r="307" ht="13.5" customHeight="1">
      <c r="A307" s="281"/>
      <c r="B307" s="281"/>
      <c r="C307" s="281"/>
      <c r="D307" s="281"/>
      <c r="E307" s="281"/>
      <c r="F307" s="281"/>
      <c r="G307" s="281"/>
      <c r="H307" s="281"/>
      <c r="I307" s="281"/>
      <c r="J307" s="281"/>
      <c r="K307" s="281"/>
      <c r="L307" s="281"/>
      <c r="M307" s="281"/>
      <c r="N307" s="281"/>
    </row>
    <row r="308" ht="13.5" customHeight="1">
      <c r="A308" s="281"/>
      <c r="B308" s="281"/>
      <c r="C308" s="281"/>
      <c r="D308" s="281"/>
      <c r="E308" s="281"/>
      <c r="F308" s="281"/>
      <c r="G308" s="281"/>
      <c r="H308" s="281"/>
      <c r="I308" s="281"/>
      <c r="J308" s="281"/>
      <c r="K308" s="281"/>
      <c r="L308" s="281"/>
      <c r="M308" s="281"/>
      <c r="N308" s="281"/>
    </row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2" width="17.88"/>
    <col customWidth="1" min="3" max="6" width="12.63"/>
  </cols>
  <sheetData>
    <row r="1">
      <c r="A1" s="313" t="s">
        <v>231</v>
      </c>
      <c r="B1" s="313"/>
      <c r="G1" s="314"/>
      <c r="H1" s="31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256"/>
      <c r="AA1" s="256"/>
      <c r="AB1" s="256"/>
      <c r="AC1" s="256"/>
      <c r="AD1" s="256"/>
      <c r="AE1" s="256"/>
    </row>
    <row r="2">
      <c r="A2" s="256" t="s">
        <v>232</v>
      </c>
      <c r="B2" s="256" t="s">
        <v>233</v>
      </c>
      <c r="C2" s="256" t="s">
        <v>234</v>
      </c>
      <c r="D2" s="256" t="s">
        <v>21</v>
      </c>
      <c r="E2" s="315">
        <v>44652.0</v>
      </c>
      <c r="F2" s="316">
        <v>44682.0</v>
      </c>
      <c r="G2" s="316">
        <v>44713.0</v>
      </c>
      <c r="H2" s="316">
        <v>44743.0</v>
      </c>
      <c r="I2" s="316">
        <v>44774.0</v>
      </c>
      <c r="J2" s="316">
        <v>44805.0</v>
      </c>
      <c r="K2" s="316">
        <v>44835.0</v>
      </c>
      <c r="L2" s="316">
        <v>44866.0</v>
      </c>
      <c r="M2" s="316">
        <v>44896.0</v>
      </c>
      <c r="N2" s="316">
        <v>44986.0</v>
      </c>
      <c r="O2" s="316">
        <v>45017.0</v>
      </c>
      <c r="P2" s="316">
        <v>45047.0</v>
      </c>
      <c r="Q2" s="316">
        <v>45078.0</v>
      </c>
      <c r="R2" s="316">
        <v>45108.0</v>
      </c>
      <c r="S2" s="316">
        <v>45139.0</v>
      </c>
      <c r="T2" s="316">
        <v>45170.0</v>
      </c>
      <c r="U2" s="316">
        <v>45200.0</v>
      </c>
      <c r="V2" s="316">
        <v>45231.0</v>
      </c>
      <c r="W2" s="316">
        <v>45261.0</v>
      </c>
      <c r="X2" s="316">
        <v>45292.0</v>
      </c>
      <c r="Y2" s="317">
        <v>45323.0</v>
      </c>
      <c r="Z2" s="317">
        <v>45352.0</v>
      </c>
      <c r="AA2" s="256"/>
      <c r="AB2" s="256"/>
      <c r="AC2" s="256"/>
      <c r="AD2" s="256"/>
      <c r="AE2" s="256"/>
    </row>
    <row r="3">
      <c r="A3" s="193" t="s">
        <v>235</v>
      </c>
      <c r="B3" s="318">
        <v>44645.0</v>
      </c>
      <c r="C3" s="319" t="str">
        <f t="shared" ref="C3:C48" si="1">"Q" &amp; INT((MONTH(B3)-1)/3) + 1 &amp; " " &amp; YEAR(B3)</f>
        <v>Q1 2022</v>
      </c>
      <c r="D3" s="320">
        <v>25000.0</v>
      </c>
      <c r="E3" s="321">
        <v>0.0</v>
      </c>
      <c r="F3" s="322">
        <v>0.0</v>
      </c>
      <c r="G3" s="322">
        <v>0.0</v>
      </c>
      <c r="H3" s="322">
        <v>0.0</v>
      </c>
      <c r="I3" s="322">
        <v>1.0</v>
      </c>
      <c r="J3" s="322">
        <v>0.0</v>
      </c>
      <c r="K3" s="322">
        <v>0.0</v>
      </c>
      <c r="L3" s="322">
        <v>4.0</v>
      </c>
      <c r="M3" s="322">
        <v>0.0</v>
      </c>
      <c r="N3" s="323">
        <v>2.0</v>
      </c>
      <c r="O3" s="323">
        <v>2.0</v>
      </c>
      <c r="P3" s="323">
        <v>2.0</v>
      </c>
      <c r="Q3" s="323">
        <v>2.0</v>
      </c>
      <c r="R3" s="323">
        <v>5.0</v>
      </c>
      <c r="S3" s="323">
        <v>10.0</v>
      </c>
      <c r="T3" s="323">
        <v>10.0</v>
      </c>
      <c r="U3" s="323">
        <v>14.0</v>
      </c>
      <c r="V3" s="323">
        <v>14.0</v>
      </c>
      <c r="W3" s="323">
        <v>15.0</v>
      </c>
      <c r="X3" s="323">
        <v>16.0</v>
      </c>
      <c r="Y3" s="323">
        <v>16.0</v>
      </c>
      <c r="Z3" s="323">
        <v>16.0</v>
      </c>
    </row>
    <row r="4">
      <c r="A4" s="193" t="s">
        <v>236</v>
      </c>
      <c r="B4" s="319">
        <v>44795.0</v>
      </c>
      <c r="C4" s="319" t="str">
        <f t="shared" si="1"/>
        <v>Q3 2022</v>
      </c>
      <c r="D4" s="320">
        <v>3000.0</v>
      </c>
      <c r="E4" s="324">
        <v>0.0</v>
      </c>
      <c r="F4" s="322">
        <v>0.0</v>
      </c>
      <c r="G4" s="322">
        <v>0.0</v>
      </c>
      <c r="H4" s="322">
        <v>0.0</v>
      </c>
      <c r="I4" s="321">
        <v>3.0</v>
      </c>
      <c r="J4" s="322">
        <v>7.0</v>
      </c>
      <c r="K4" s="322">
        <v>0.0</v>
      </c>
      <c r="L4" s="322">
        <v>0.0</v>
      </c>
      <c r="M4" s="322">
        <v>0.0</v>
      </c>
      <c r="N4" s="323">
        <v>3.0</v>
      </c>
      <c r="O4" s="323">
        <v>5.0</v>
      </c>
      <c r="P4" s="323">
        <v>6.0</v>
      </c>
      <c r="Q4" s="323">
        <v>6.0</v>
      </c>
      <c r="R4" s="323">
        <v>6.0</v>
      </c>
      <c r="S4" s="323">
        <v>6.0</v>
      </c>
      <c r="T4" s="323">
        <v>6.0</v>
      </c>
      <c r="U4" s="323">
        <v>6.0</v>
      </c>
      <c r="V4" s="323">
        <v>7.0</v>
      </c>
      <c r="W4" s="323">
        <v>7.0</v>
      </c>
      <c r="X4" s="323">
        <v>7.0</v>
      </c>
      <c r="Y4" s="323">
        <v>7.0</v>
      </c>
      <c r="Z4" s="323">
        <v>7.0</v>
      </c>
    </row>
    <row r="5">
      <c r="A5" s="193" t="s">
        <v>237</v>
      </c>
      <c r="B5" s="319">
        <v>44795.0</v>
      </c>
      <c r="C5" s="319" t="str">
        <f t="shared" si="1"/>
        <v>Q3 2022</v>
      </c>
      <c r="D5" s="320">
        <v>7500.0</v>
      </c>
      <c r="E5" s="324">
        <v>0.0</v>
      </c>
      <c r="F5" s="322">
        <v>0.0</v>
      </c>
      <c r="G5" s="322">
        <v>0.0</v>
      </c>
      <c r="H5" s="322">
        <v>0.0</v>
      </c>
      <c r="I5" s="321">
        <v>19.0</v>
      </c>
      <c r="J5" s="322">
        <v>12.0</v>
      </c>
      <c r="K5" s="322">
        <v>9.0</v>
      </c>
      <c r="L5" s="322">
        <v>17.0</v>
      </c>
      <c r="M5" s="322">
        <v>15.0</v>
      </c>
      <c r="N5" s="323">
        <v>3.0</v>
      </c>
      <c r="O5" s="323">
        <v>25.0</v>
      </c>
      <c r="P5" s="323">
        <v>36.0</v>
      </c>
      <c r="Q5" s="323">
        <v>48.0</v>
      </c>
      <c r="R5" s="323">
        <v>58.0</v>
      </c>
      <c r="S5" s="323">
        <v>62.0</v>
      </c>
      <c r="T5" s="323">
        <v>67.0</v>
      </c>
      <c r="U5" s="323">
        <v>82.0</v>
      </c>
      <c r="V5" s="323">
        <v>89.0</v>
      </c>
      <c r="W5" s="323">
        <v>96.0</v>
      </c>
      <c r="X5" s="323">
        <v>103.0</v>
      </c>
      <c r="Y5" s="323">
        <v>111.0</v>
      </c>
      <c r="Z5" s="323">
        <v>114.0</v>
      </c>
    </row>
    <row r="6">
      <c r="A6" s="193" t="s">
        <v>238</v>
      </c>
      <c r="B6" s="319">
        <v>44795.0</v>
      </c>
      <c r="C6" s="319" t="str">
        <f t="shared" si="1"/>
        <v>Q3 2022</v>
      </c>
      <c r="D6" s="320">
        <v>8000.0</v>
      </c>
      <c r="E6" s="324">
        <v>0.0</v>
      </c>
      <c r="F6" s="322">
        <v>0.0</v>
      </c>
      <c r="G6" s="322">
        <v>0.0</v>
      </c>
      <c r="H6" s="322">
        <v>0.0</v>
      </c>
      <c r="I6" s="321">
        <v>5.0</v>
      </c>
      <c r="J6" s="322">
        <v>5.0</v>
      </c>
      <c r="K6" s="322">
        <v>6.0</v>
      </c>
      <c r="L6" s="322">
        <v>8.0</v>
      </c>
      <c r="M6" s="322">
        <v>4.0</v>
      </c>
      <c r="N6" s="323">
        <v>6.0</v>
      </c>
      <c r="O6" s="323">
        <v>11.0</v>
      </c>
      <c r="P6" s="323">
        <v>16.0</v>
      </c>
      <c r="Q6" s="323">
        <v>19.0</v>
      </c>
      <c r="R6" s="323">
        <v>22.0</v>
      </c>
      <c r="S6" s="323">
        <v>24.0</v>
      </c>
      <c r="T6" s="323">
        <v>28.0</v>
      </c>
      <c r="U6" s="323">
        <v>29.0</v>
      </c>
      <c r="V6" s="323">
        <v>31.0</v>
      </c>
      <c r="W6" s="323">
        <v>34.0</v>
      </c>
      <c r="X6" s="323">
        <v>35.0</v>
      </c>
      <c r="Y6" s="323">
        <v>38.0</v>
      </c>
      <c r="Z6" s="323">
        <v>41.0</v>
      </c>
    </row>
    <row r="7">
      <c r="A7" s="193" t="s">
        <v>239</v>
      </c>
      <c r="B7" s="319">
        <v>44856.0</v>
      </c>
      <c r="C7" s="319" t="str">
        <f t="shared" si="1"/>
        <v>Q4 2022</v>
      </c>
      <c r="D7" s="320">
        <v>10000.0</v>
      </c>
      <c r="E7" s="324">
        <v>0.0</v>
      </c>
      <c r="F7" s="322">
        <v>0.0</v>
      </c>
      <c r="G7" s="322">
        <v>0.0</v>
      </c>
      <c r="H7" s="322">
        <v>0.0</v>
      </c>
      <c r="I7" s="322">
        <v>0.0</v>
      </c>
      <c r="J7" s="322">
        <v>1.0</v>
      </c>
      <c r="K7" s="321">
        <v>4.0</v>
      </c>
      <c r="L7" s="322">
        <v>2.0</v>
      </c>
      <c r="M7" s="322">
        <v>4.0</v>
      </c>
      <c r="N7" s="323">
        <v>7.0</v>
      </c>
      <c r="O7" s="323">
        <v>8.0</v>
      </c>
      <c r="P7" s="323">
        <v>15.0</v>
      </c>
      <c r="Q7" s="323">
        <v>16.0</v>
      </c>
      <c r="R7" s="323">
        <v>19.0</v>
      </c>
      <c r="S7" s="323">
        <v>19.0</v>
      </c>
      <c r="T7" s="323">
        <v>24.0</v>
      </c>
      <c r="U7" s="323">
        <v>30.0</v>
      </c>
      <c r="V7" s="323">
        <v>30.0</v>
      </c>
      <c r="W7" s="323">
        <v>31.0</v>
      </c>
      <c r="X7" s="323">
        <v>34.0</v>
      </c>
      <c r="Y7" s="323">
        <v>36.0</v>
      </c>
      <c r="Z7" s="323">
        <v>42.0</v>
      </c>
    </row>
    <row r="8">
      <c r="A8" s="193" t="s">
        <v>240</v>
      </c>
      <c r="B8" s="319">
        <v>44857.0</v>
      </c>
      <c r="C8" s="319" t="str">
        <f t="shared" si="1"/>
        <v>Q4 2022</v>
      </c>
      <c r="D8" s="320">
        <v>2000.0</v>
      </c>
      <c r="E8" s="324">
        <v>0.0</v>
      </c>
      <c r="F8" s="322">
        <v>0.0</v>
      </c>
      <c r="G8" s="322">
        <v>0.0</v>
      </c>
      <c r="H8" s="322">
        <v>0.0</v>
      </c>
      <c r="I8" s="322">
        <v>0.0</v>
      </c>
      <c r="J8" s="322">
        <v>0.0</v>
      </c>
      <c r="K8" s="321">
        <v>0.0</v>
      </c>
      <c r="L8" s="322">
        <v>0.0</v>
      </c>
      <c r="M8" s="322">
        <v>0.0</v>
      </c>
      <c r="N8" s="323">
        <v>2.0</v>
      </c>
      <c r="O8" s="323">
        <v>2.0</v>
      </c>
      <c r="P8" s="323">
        <v>4.0</v>
      </c>
      <c r="Q8" s="323">
        <v>5.0</v>
      </c>
      <c r="R8" s="323">
        <v>6.0</v>
      </c>
      <c r="S8" s="323">
        <v>9.0</v>
      </c>
      <c r="T8" s="323">
        <v>11.0</v>
      </c>
      <c r="U8" s="323">
        <v>13.0</v>
      </c>
      <c r="V8" s="323">
        <v>14.0</v>
      </c>
      <c r="W8" s="323">
        <v>15.0</v>
      </c>
      <c r="X8" s="323">
        <v>15.0</v>
      </c>
      <c r="Y8" s="323">
        <v>18.0</v>
      </c>
      <c r="Z8" s="323">
        <v>18.0</v>
      </c>
    </row>
    <row r="9">
      <c r="A9" s="193" t="s">
        <v>241</v>
      </c>
      <c r="B9" s="319">
        <v>44887.0</v>
      </c>
      <c r="C9" s="319" t="str">
        <f t="shared" si="1"/>
        <v>Q4 2022</v>
      </c>
      <c r="D9" s="320">
        <v>1200.0</v>
      </c>
      <c r="E9" s="324">
        <v>0.0</v>
      </c>
      <c r="F9" s="322">
        <v>0.0</v>
      </c>
      <c r="G9" s="322">
        <v>0.0</v>
      </c>
      <c r="H9" s="322">
        <v>0.0</v>
      </c>
      <c r="I9" s="322">
        <v>0.0</v>
      </c>
      <c r="J9" s="322">
        <v>0.0</v>
      </c>
      <c r="K9" s="322">
        <v>0.0</v>
      </c>
      <c r="L9" s="321">
        <v>3.0</v>
      </c>
      <c r="M9" s="322">
        <v>3.0</v>
      </c>
      <c r="N9" s="323">
        <v>12.0</v>
      </c>
      <c r="O9" s="323">
        <v>12.0</v>
      </c>
      <c r="P9" s="323">
        <v>16.0</v>
      </c>
      <c r="Q9" s="323">
        <v>19.0</v>
      </c>
      <c r="R9" s="323">
        <v>19.0</v>
      </c>
      <c r="S9" s="323">
        <v>19.0</v>
      </c>
      <c r="T9" s="323">
        <v>20.0</v>
      </c>
      <c r="U9" s="323">
        <v>22.0</v>
      </c>
      <c r="V9" s="323">
        <v>23.0</v>
      </c>
      <c r="W9" s="323">
        <v>24.0</v>
      </c>
      <c r="X9" s="323">
        <v>24.0</v>
      </c>
      <c r="Y9" s="323">
        <v>26.0</v>
      </c>
      <c r="Z9" s="323">
        <v>30.0</v>
      </c>
    </row>
    <row r="10">
      <c r="A10" s="193" t="s">
        <v>242</v>
      </c>
      <c r="B10" s="319">
        <v>44887.0</v>
      </c>
      <c r="C10" s="319" t="str">
        <f t="shared" si="1"/>
        <v>Q4 2022</v>
      </c>
      <c r="D10" s="320">
        <v>2000.0</v>
      </c>
      <c r="E10" s="324">
        <v>0.0</v>
      </c>
      <c r="F10" s="322">
        <v>0.0</v>
      </c>
      <c r="G10" s="322">
        <v>0.0</v>
      </c>
      <c r="H10" s="322">
        <v>0.0</v>
      </c>
      <c r="I10" s="322">
        <v>0.0</v>
      </c>
      <c r="J10" s="322">
        <v>0.0</v>
      </c>
      <c r="K10" s="324">
        <v>3.0</v>
      </c>
      <c r="L10" s="321">
        <v>2.0</v>
      </c>
      <c r="M10" s="322">
        <v>2.0</v>
      </c>
      <c r="N10" s="323">
        <v>7.0</v>
      </c>
      <c r="O10" s="323">
        <v>8.0</v>
      </c>
      <c r="P10" s="323">
        <v>12.0</v>
      </c>
      <c r="Q10" s="323">
        <v>12.0</v>
      </c>
      <c r="R10" s="323">
        <v>13.0</v>
      </c>
      <c r="S10" s="323">
        <v>16.0</v>
      </c>
      <c r="T10" s="323">
        <v>19.0</v>
      </c>
      <c r="U10" s="323">
        <v>20.0</v>
      </c>
      <c r="V10" s="323">
        <v>22.0</v>
      </c>
      <c r="W10" s="323">
        <v>23.0</v>
      </c>
      <c r="X10" s="323">
        <v>26.0</v>
      </c>
      <c r="Y10" s="323">
        <v>27.0</v>
      </c>
      <c r="Z10" s="323">
        <v>27.0</v>
      </c>
    </row>
    <row r="11">
      <c r="A11" s="193" t="s">
        <v>243</v>
      </c>
      <c r="B11" s="319">
        <v>44917.0</v>
      </c>
      <c r="C11" s="319" t="str">
        <f t="shared" si="1"/>
        <v>Q4 2022</v>
      </c>
      <c r="D11" s="320">
        <v>2000.0</v>
      </c>
      <c r="E11" s="324">
        <v>0.0</v>
      </c>
      <c r="F11" s="322">
        <v>0.0</v>
      </c>
      <c r="G11" s="322">
        <v>0.0</v>
      </c>
      <c r="H11" s="322">
        <v>0.0</v>
      </c>
      <c r="I11" s="322">
        <v>0.0</v>
      </c>
      <c r="J11" s="322">
        <v>0.0</v>
      </c>
      <c r="K11" s="322">
        <v>0.0</v>
      </c>
      <c r="L11" s="322">
        <v>0.0</v>
      </c>
      <c r="M11" s="321">
        <v>0.0</v>
      </c>
      <c r="N11" s="323">
        <v>7.0</v>
      </c>
      <c r="O11" s="323">
        <v>10.0</v>
      </c>
      <c r="P11" s="323">
        <v>13.0</v>
      </c>
      <c r="Q11" s="323">
        <v>21.0</v>
      </c>
      <c r="R11" s="323">
        <v>23.0</v>
      </c>
      <c r="S11" s="323">
        <v>31.0</v>
      </c>
      <c r="T11" s="323">
        <v>38.0</v>
      </c>
      <c r="U11" s="323">
        <v>39.0</v>
      </c>
      <c r="V11" s="323">
        <v>43.0</v>
      </c>
      <c r="W11" s="323">
        <v>46.0</v>
      </c>
      <c r="X11" s="323">
        <v>48.0</v>
      </c>
      <c r="Y11" s="323">
        <v>53.0</v>
      </c>
      <c r="Z11" s="323">
        <v>58.0</v>
      </c>
    </row>
    <row r="12">
      <c r="A12" s="193" t="s">
        <v>244</v>
      </c>
      <c r="B12" s="319">
        <v>44917.0</v>
      </c>
      <c r="C12" s="319" t="str">
        <f t="shared" si="1"/>
        <v>Q4 2022</v>
      </c>
      <c r="D12" s="320">
        <v>10000.0</v>
      </c>
      <c r="E12" s="324">
        <v>0.0</v>
      </c>
      <c r="F12" s="322">
        <v>0.0</v>
      </c>
      <c r="G12" s="322">
        <v>0.0</v>
      </c>
      <c r="H12" s="322">
        <v>0.0</v>
      </c>
      <c r="I12" s="322">
        <v>0.0</v>
      </c>
      <c r="J12" s="322">
        <v>0.0</v>
      </c>
      <c r="K12" s="322">
        <v>0.0</v>
      </c>
      <c r="L12" s="322">
        <v>0.0</v>
      </c>
      <c r="M12" s="321">
        <v>0.0</v>
      </c>
      <c r="N12" s="323">
        <v>2.0</v>
      </c>
      <c r="O12" s="323">
        <v>2.0</v>
      </c>
      <c r="P12" s="323">
        <v>3.0</v>
      </c>
      <c r="Q12" s="323">
        <v>5.0</v>
      </c>
      <c r="R12" s="323">
        <v>5.0</v>
      </c>
      <c r="S12" s="323">
        <v>10.0</v>
      </c>
      <c r="T12" s="323">
        <v>11.0</v>
      </c>
      <c r="U12" s="323">
        <v>15.0</v>
      </c>
      <c r="V12" s="323">
        <v>19.0</v>
      </c>
      <c r="W12" s="323">
        <v>20.0</v>
      </c>
      <c r="X12" s="323">
        <v>22.0</v>
      </c>
      <c r="Y12" s="323">
        <v>25.0</v>
      </c>
      <c r="Z12" s="323">
        <v>28.0</v>
      </c>
    </row>
    <row r="13">
      <c r="A13" s="193" t="s">
        <v>245</v>
      </c>
      <c r="B13" s="319">
        <v>44917.0</v>
      </c>
      <c r="C13" s="319" t="str">
        <f t="shared" si="1"/>
        <v>Q4 2022</v>
      </c>
      <c r="D13" s="320">
        <v>10000.0</v>
      </c>
      <c r="E13" s="324">
        <v>0.0</v>
      </c>
      <c r="F13" s="322">
        <v>0.0</v>
      </c>
      <c r="G13" s="322">
        <v>0.0</v>
      </c>
      <c r="H13" s="322">
        <v>0.0</v>
      </c>
      <c r="I13" s="322">
        <v>0.0</v>
      </c>
      <c r="J13" s="322">
        <v>0.0</v>
      </c>
      <c r="K13" s="322">
        <v>0.0</v>
      </c>
      <c r="L13" s="322">
        <v>0.0</v>
      </c>
      <c r="M13" s="321">
        <v>0.0</v>
      </c>
      <c r="N13" s="323">
        <v>0.0</v>
      </c>
      <c r="O13" s="323">
        <v>0.0</v>
      </c>
      <c r="P13" s="323">
        <v>1.0</v>
      </c>
      <c r="Q13" s="323">
        <v>2.0</v>
      </c>
      <c r="R13" s="323">
        <v>4.0</v>
      </c>
      <c r="S13" s="323">
        <v>10.0</v>
      </c>
      <c r="T13" s="323">
        <v>13.0</v>
      </c>
      <c r="U13" s="323">
        <v>15.0</v>
      </c>
      <c r="V13" s="323">
        <v>22.0</v>
      </c>
      <c r="W13" s="323">
        <v>23.0</v>
      </c>
      <c r="X13" s="323">
        <v>24.0</v>
      </c>
      <c r="Y13" s="323">
        <v>28.0</v>
      </c>
      <c r="Z13" s="323">
        <v>29.0</v>
      </c>
    </row>
    <row r="14">
      <c r="A14" s="193" t="s">
        <v>246</v>
      </c>
      <c r="B14" s="319">
        <v>44917.0</v>
      </c>
      <c r="C14" s="319" t="str">
        <f t="shared" si="1"/>
        <v>Q4 2022</v>
      </c>
      <c r="D14" s="320">
        <v>3000.0</v>
      </c>
      <c r="E14" s="324">
        <v>0.0</v>
      </c>
      <c r="F14" s="322">
        <v>0.0</v>
      </c>
      <c r="G14" s="322">
        <v>0.0</v>
      </c>
      <c r="H14" s="322">
        <v>0.0</v>
      </c>
      <c r="I14" s="322">
        <v>0.0</v>
      </c>
      <c r="J14" s="322">
        <v>0.0</v>
      </c>
      <c r="K14" s="322">
        <v>0.0</v>
      </c>
      <c r="L14" s="324">
        <v>0.0</v>
      </c>
      <c r="M14" s="321">
        <v>1.0</v>
      </c>
      <c r="N14" s="323">
        <v>8.0</v>
      </c>
      <c r="O14" s="323">
        <v>11.0</v>
      </c>
      <c r="P14" s="323">
        <v>19.0</v>
      </c>
      <c r="Q14" s="323">
        <v>21.0</v>
      </c>
      <c r="R14" s="323">
        <v>26.0</v>
      </c>
      <c r="S14" s="323">
        <v>31.0</v>
      </c>
      <c r="T14" s="323">
        <v>35.0</v>
      </c>
      <c r="U14" s="323">
        <v>36.0</v>
      </c>
      <c r="V14" s="323">
        <v>43.0</v>
      </c>
      <c r="W14" s="323">
        <v>46.0</v>
      </c>
      <c r="X14" s="323">
        <v>50.0</v>
      </c>
      <c r="Y14" s="323">
        <v>55.0</v>
      </c>
      <c r="Z14" s="323">
        <v>57.0</v>
      </c>
    </row>
    <row r="15">
      <c r="A15" s="193" t="s">
        <v>247</v>
      </c>
      <c r="B15" s="319">
        <v>44949.0</v>
      </c>
      <c r="C15" s="319" t="str">
        <f t="shared" si="1"/>
        <v>Q1 2023</v>
      </c>
      <c r="D15" s="320">
        <v>50000.0</v>
      </c>
      <c r="E15" s="324">
        <v>0.0</v>
      </c>
      <c r="F15" s="322">
        <v>0.0</v>
      </c>
      <c r="G15" s="322">
        <v>0.0</v>
      </c>
      <c r="H15" s="322">
        <v>0.0</v>
      </c>
      <c r="I15" s="322">
        <v>0.0</v>
      </c>
      <c r="J15" s="322">
        <v>0.0</v>
      </c>
      <c r="K15" s="322">
        <v>0.0</v>
      </c>
      <c r="L15" s="322">
        <v>0.0</v>
      </c>
      <c r="M15" s="322">
        <v>0.0</v>
      </c>
      <c r="N15" s="325">
        <v>16.0</v>
      </c>
      <c r="O15" s="323">
        <v>24.0</v>
      </c>
      <c r="P15" s="323">
        <v>28.0</v>
      </c>
      <c r="Q15" s="323">
        <v>29.0</v>
      </c>
      <c r="R15" s="323">
        <v>43.0</v>
      </c>
      <c r="S15" s="323">
        <v>54.0</v>
      </c>
      <c r="T15" s="323">
        <v>56.0</v>
      </c>
      <c r="U15" s="323">
        <v>61.0</v>
      </c>
      <c r="V15" s="323">
        <v>66.0</v>
      </c>
      <c r="W15" s="323">
        <v>71.0</v>
      </c>
      <c r="X15" s="323">
        <v>77.0</v>
      </c>
      <c r="Y15" s="323">
        <v>85.0</v>
      </c>
      <c r="Z15" s="323">
        <v>91.0</v>
      </c>
    </row>
    <row r="16">
      <c r="A16" s="193" t="s">
        <v>248</v>
      </c>
      <c r="B16" s="319">
        <v>44980.0</v>
      </c>
      <c r="C16" s="319" t="str">
        <f t="shared" si="1"/>
        <v>Q1 2023</v>
      </c>
      <c r="D16" s="320">
        <v>13000.0</v>
      </c>
      <c r="E16" s="324">
        <v>0.0</v>
      </c>
      <c r="F16" s="322">
        <v>0.0</v>
      </c>
      <c r="G16" s="322">
        <v>0.0</v>
      </c>
      <c r="H16" s="322">
        <v>0.0</v>
      </c>
      <c r="I16" s="322">
        <v>3.0</v>
      </c>
      <c r="J16" s="322">
        <v>0.0</v>
      </c>
      <c r="K16" s="322">
        <v>1.0</v>
      </c>
      <c r="L16" s="322">
        <v>1.0</v>
      </c>
      <c r="M16" s="322">
        <v>4.0</v>
      </c>
      <c r="N16" s="323">
        <v>5.0</v>
      </c>
      <c r="O16" s="325">
        <v>10.0</v>
      </c>
      <c r="P16" s="323">
        <v>16.0</v>
      </c>
      <c r="Q16" s="323">
        <v>29.0</v>
      </c>
      <c r="R16" s="323">
        <v>37.0</v>
      </c>
      <c r="S16" s="323">
        <v>44.0</v>
      </c>
      <c r="T16" s="323">
        <v>46.0</v>
      </c>
      <c r="U16" s="323">
        <v>46.0</v>
      </c>
      <c r="V16" s="323">
        <v>48.0</v>
      </c>
      <c r="W16" s="323">
        <v>55.0</v>
      </c>
      <c r="X16" s="323">
        <v>59.0</v>
      </c>
      <c r="Y16" s="323">
        <v>63.0</v>
      </c>
      <c r="Z16" s="323">
        <v>67.0</v>
      </c>
    </row>
    <row r="17">
      <c r="A17" s="193" t="s">
        <v>249</v>
      </c>
      <c r="B17" s="319">
        <v>44980.0</v>
      </c>
      <c r="C17" s="319" t="str">
        <f t="shared" si="1"/>
        <v>Q1 2023</v>
      </c>
      <c r="D17" s="320">
        <v>1000.0</v>
      </c>
      <c r="E17" s="324">
        <v>0.0</v>
      </c>
      <c r="F17" s="322">
        <v>0.0</v>
      </c>
      <c r="G17" s="322">
        <v>0.0</v>
      </c>
      <c r="H17" s="322">
        <v>0.0</v>
      </c>
      <c r="I17" s="322">
        <v>0.0</v>
      </c>
      <c r="J17" s="322">
        <v>0.0</v>
      </c>
      <c r="K17" s="322">
        <v>0.0</v>
      </c>
      <c r="L17" s="322">
        <v>0.0</v>
      </c>
      <c r="M17" s="322">
        <v>0.0</v>
      </c>
      <c r="N17" s="323">
        <v>2.0</v>
      </c>
      <c r="O17" s="325">
        <v>2.0</v>
      </c>
      <c r="P17" s="323">
        <v>4.0</v>
      </c>
      <c r="Q17" s="323">
        <v>4.0</v>
      </c>
      <c r="R17" s="323">
        <v>5.0</v>
      </c>
      <c r="S17" s="323">
        <v>7.0</v>
      </c>
      <c r="T17" s="323">
        <v>8.0</v>
      </c>
      <c r="U17" s="323">
        <v>8.0</v>
      </c>
      <c r="V17" s="323">
        <v>9.0</v>
      </c>
      <c r="W17" s="323">
        <v>10.0</v>
      </c>
      <c r="X17" s="323">
        <v>13.0</v>
      </c>
      <c r="Y17" s="323">
        <v>13.0</v>
      </c>
      <c r="Z17" s="323">
        <v>14.0</v>
      </c>
    </row>
    <row r="18">
      <c r="A18" s="193" t="s">
        <v>250</v>
      </c>
      <c r="B18" s="319">
        <v>45008.0</v>
      </c>
      <c r="C18" s="319" t="str">
        <f t="shared" si="1"/>
        <v>Q1 2023</v>
      </c>
      <c r="D18" s="320">
        <v>25000.0</v>
      </c>
      <c r="E18" s="324">
        <v>0.0</v>
      </c>
      <c r="F18" s="322">
        <v>0.0</v>
      </c>
      <c r="G18" s="322">
        <v>0.0</v>
      </c>
      <c r="H18" s="322">
        <v>0.0</v>
      </c>
      <c r="I18" s="322">
        <v>0.0</v>
      </c>
      <c r="J18" s="322">
        <v>0.0</v>
      </c>
      <c r="K18" s="322">
        <v>0.0</v>
      </c>
      <c r="L18" s="322">
        <v>0.0</v>
      </c>
      <c r="M18" s="322">
        <v>0.0</v>
      </c>
      <c r="N18" s="323">
        <v>4.0</v>
      </c>
      <c r="O18" s="323">
        <v>7.0</v>
      </c>
      <c r="P18" s="325">
        <v>8.0</v>
      </c>
      <c r="Q18" s="323">
        <v>9.0</v>
      </c>
      <c r="R18" s="323">
        <v>21.0</v>
      </c>
      <c r="S18" s="323">
        <v>25.0</v>
      </c>
      <c r="T18" s="323">
        <v>29.0</v>
      </c>
      <c r="U18" s="323">
        <v>37.0</v>
      </c>
      <c r="V18" s="323">
        <v>45.0</v>
      </c>
      <c r="W18" s="323">
        <v>49.0</v>
      </c>
      <c r="X18" s="323">
        <v>59.0</v>
      </c>
      <c r="Y18" s="323">
        <v>70.0</v>
      </c>
      <c r="Z18" s="323">
        <v>75.0</v>
      </c>
    </row>
    <row r="19">
      <c r="A19" s="193" t="s">
        <v>251</v>
      </c>
      <c r="B19" s="319">
        <v>45008.0</v>
      </c>
      <c r="C19" s="319" t="str">
        <f t="shared" si="1"/>
        <v>Q1 2023</v>
      </c>
      <c r="D19" s="320">
        <v>15000.0</v>
      </c>
      <c r="E19" s="324">
        <v>0.0</v>
      </c>
      <c r="F19" s="322">
        <v>0.0</v>
      </c>
      <c r="G19" s="322">
        <v>0.0</v>
      </c>
      <c r="H19" s="322">
        <v>0.0</v>
      </c>
      <c r="I19" s="322">
        <v>0.0</v>
      </c>
      <c r="J19" s="322">
        <v>0.0</v>
      </c>
      <c r="K19" s="322">
        <v>0.0</v>
      </c>
      <c r="L19" s="322">
        <v>0.0</v>
      </c>
      <c r="M19" s="322">
        <v>0.0</v>
      </c>
      <c r="N19" s="323">
        <v>0.0</v>
      </c>
      <c r="O19" s="323">
        <v>3.0</v>
      </c>
      <c r="P19" s="325">
        <v>3.0</v>
      </c>
      <c r="Q19" s="323">
        <v>3.0</v>
      </c>
      <c r="R19" s="323">
        <v>3.0</v>
      </c>
      <c r="S19" s="323">
        <v>4.0</v>
      </c>
      <c r="T19" s="323">
        <v>5.0</v>
      </c>
      <c r="U19" s="323">
        <v>18.0</v>
      </c>
      <c r="V19" s="323">
        <v>23.0</v>
      </c>
      <c r="W19" s="323">
        <v>31.0</v>
      </c>
      <c r="X19" s="323">
        <v>31.0</v>
      </c>
      <c r="Y19" s="323">
        <v>31.0</v>
      </c>
      <c r="Z19" s="323">
        <v>34.0</v>
      </c>
    </row>
    <row r="20">
      <c r="A20" s="193" t="s">
        <v>252</v>
      </c>
      <c r="B20" s="319">
        <v>45008.0</v>
      </c>
      <c r="C20" s="319" t="str">
        <f t="shared" si="1"/>
        <v>Q1 2023</v>
      </c>
      <c r="D20" s="320">
        <v>5000.0</v>
      </c>
      <c r="E20" s="324">
        <v>0.0</v>
      </c>
      <c r="F20" s="322">
        <v>0.0</v>
      </c>
      <c r="G20" s="322">
        <v>0.0</v>
      </c>
      <c r="H20" s="322">
        <v>0.0</v>
      </c>
      <c r="I20" s="322">
        <v>0.0</v>
      </c>
      <c r="J20" s="322">
        <v>0.0</v>
      </c>
      <c r="K20" s="322">
        <v>0.0</v>
      </c>
      <c r="L20" s="322">
        <v>0.0</v>
      </c>
      <c r="M20" s="322">
        <v>0.0</v>
      </c>
      <c r="N20" s="323">
        <v>0.0</v>
      </c>
      <c r="O20" s="323">
        <v>0.0</v>
      </c>
      <c r="P20" s="325">
        <v>0.0</v>
      </c>
      <c r="Q20" s="323">
        <v>1.0</v>
      </c>
      <c r="R20" s="323">
        <v>1.0</v>
      </c>
      <c r="S20" s="323">
        <v>2.0</v>
      </c>
      <c r="T20" s="323">
        <v>2.0</v>
      </c>
      <c r="U20" s="323">
        <v>2.0</v>
      </c>
      <c r="V20" s="323">
        <v>2.0</v>
      </c>
      <c r="W20" s="323">
        <v>2.0</v>
      </c>
      <c r="X20" s="323">
        <v>2.0</v>
      </c>
      <c r="Y20" s="323">
        <v>2.0</v>
      </c>
      <c r="Z20" s="323">
        <v>2.0</v>
      </c>
    </row>
    <row r="21" ht="15.75" customHeight="1">
      <c r="A21" s="193" t="s">
        <v>253</v>
      </c>
      <c r="B21" s="319">
        <v>45008.0</v>
      </c>
      <c r="C21" s="319" t="str">
        <f t="shared" si="1"/>
        <v>Q1 2023</v>
      </c>
      <c r="D21" s="320">
        <v>20000.0</v>
      </c>
      <c r="E21" s="324">
        <v>0.0</v>
      </c>
      <c r="F21" s="322">
        <v>0.0</v>
      </c>
      <c r="G21" s="322">
        <v>0.0</v>
      </c>
      <c r="H21" s="322">
        <v>0.0</v>
      </c>
      <c r="I21" s="322">
        <v>0.0</v>
      </c>
      <c r="J21" s="322">
        <v>0.0</v>
      </c>
      <c r="K21" s="322">
        <v>0.0</v>
      </c>
      <c r="L21" s="322">
        <v>0.0</v>
      </c>
      <c r="M21" s="322">
        <v>0.0</v>
      </c>
      <c r="N21" s="323">
        <v>1.0</v>
      </c>
      <c r="O21" s="323">
        <v>2.0</v>
      </c>
      <c r="P21" s="325">
        <v>3.0</v>
      </c>
      <c r="Q21" s="323">
        <v>4.0</v>
      </c>
      <c r="R21" s="323">
        <v>9.0</v>
      </c>
      <c r="S21" s="323">
        <v>14.0</v>
      </c>
      <c r="T21" s="323">
        <v>19.0</v>
      </c>
      <c r="U21" s="323">
        <v>24.0</v>
      </c>
      <c r="V21" s="323">
        <v>37.0</v>
      </c>
      <c r="W21" s="323">
        <v>40.0</v>
      </c>
      <c r="X21" s="323">
        <v>49.0</v>
      </c>
      <c r="Y21" s="323">
        <v>59.0</v>
      </c>
      <c r="Z21" s="323">
        <v>62.0</v>
      </c>
    </row>
    <row r="22" ht="15.75" customHeight="1">
      <c r="A22" s="193" t="s">
        <v>254</v>
      </c>
      <c r="B22" s="319">
        <v>45008.0</v>
      </c>
      <c r="C22" s="319" t="str">
        <f t="shared" si="1"/>
        <v>Q1 2023</v>
      </c>
      <c r="D22" s="320">
        <v>5000.0</v>
      </c>
      <c r="E22" s="324">
        <v>0.0</v>
      </c>
      <c r="F22" s="322">
        <v>0.0</v>
      </c>
      <c r="G22" s="322">
        <v>0.0</v>
      </c>
      <c r="H22" s="322">
        <v>0.0</v>
      </c>
      <c r="I22" s="322">
        <v>0.0</v>
      </c>
      <c r="J22" s="322">
        <v>0.0</v>
      </c>
      <c r="K22" s="322">
        <v>0.0</v>
      </c>
      <c r="L22" s="322">
        <v>0.0</v>
      </c>
      <c r="M22" s="322">
        <v>0.0</v>
      </c>
      <c r="N22" s="323">
        <v>0.0</v>
      </c>
      <c r="O22" s="323">
        <v>4.0</v>
      </c>
      <c r="P22" s="325">
        <v>7.0</v>
      </c>
      <c r="Q22" s="323">
        <v>8.0</v>
      </c>
      <c r="R22" s="323">
        <v>8.0</v>
      </c>
      <c r="S22" s="323">
        <v>9.0</v>
      </c>
      <c r="T22" s="323">
        <v>9.0</v>
      </c>
      <c r="U22" s="323">
        <v>9.0</v>
      </c>
      <c r="V22" s="323">
        <v>10.0</v>
      </c>
      <c r="W22" s="323">
        <v>10.0</v>
      </c>
      <c r="X22" s="323">
        <v>10.0</v>
      </c>
      <c r="Y22" s="323">
        <v>11.0</v>
      </c>
      <c r="Z22" s="323">
        <v>11.0</v>
      </c>
    </row>
    <row r="23" ht="15.75" customHeight="1">
      <c r="A23" s="193" t="s">
        <v>255</v>
      </c>
      <c r="B23" s="319">
        <v>45039.0</v>
      </c>
      <c r="C23" s="319" t="str">
        <f t="shared" si="1"/>
        <v>Q2 2023</v>
      </c>
      <c r="D23" s="320">
        <v>10000.0</v>
      </c>
      <c r="E23" s="324">
        <v>0.0</v>
      </c>
      <c r="F23" s="322">
        <v>0.0</v>
      </c>
      <c r="G23" s="322">
        <v>0.0</v>
      </c>
      <c r="H23" s="322">
        <v>0.0</v>
      </c>
      <c r="I23" s="322">
        <v>0.0</v>
      </c>
      <c r="J23" s="322">
        <v>0.0</v>
      </c>
      <c r="K23" s="322">
        <v>0.0</v>
      </c>
      <c r="L23" s="322">
        <v>0.0</v>
      </c>
      <c r="M23" s="322">
        <v>0.0</v>
      </c>
      <c r="N23" s="323">
        <v>0.0</v>
      </c>
      <c r="O23" s="323">
        <v>4.0</v>
      </c>
      <c r="P23" s="323">
        <v>9.0</v>
      </c>
      <c r="Q23" s="325">
        <v>10.0</v>
      </c>
      <c r="R23" s="323">
        <v>12.0</v>
      </c>
      <c r="S23" s="323">
        <v>19.0</v>
      </c>
      <c r="T23" s="323">
        <v>21.0</v>
      </c>
      <c r="U23" s="323">
        <v>25.0</v>
      </c>
      <c r="V23" s="323">
        <v>28.0</v>
      </c>
      <c r="W23" s="323">
        <v>29.0</v>
      </c>
      <c r="X23" s="323">
        <v>30.0</v>
      </c>
      <c r="Y23" s="323">
        <v>37.0</v>
      </c>
      <c r="Z23" s="323">
        <v>42.0</v>
      </c>
    </row>
    <row r="24" ht="15.75" customHeight="1">
      <c r="A24" s="193" t="s">
        <v>256</v>
      </c>
      <c r="B24" s="319">
        <v>45069.0</v>
      </c>
      <c r="C24" s="319" t="str">
        <f t="shared" si="1"/>
        <v>Q2 2023</v>
      </c>
      <c r="D24" s="320">
        <v>15000.0</v>
      </c>
      <c r="E24" s="324">
        <v>0.0</v>
      </c>
      <c r="F24" s="324">
        <v>0.0</v>
      </c>
      <c r="G24" s="322">
        <v>0.0</v>
      </c>
      <c r="H24" s="322">
        <v>0.0</v>
      </c>
      <c r="I24" s="322">
        <v>0.0</v>
      </c>
      <c r="J24" s="322">
        <v>0.0</v>
      </c>
      <c r="K24" s="322">
        <v>0.0</v>
      </c>
      <c r="L24" s="322">
        <v>0.0</v>
      </c>
      <c r="M24" s="322">
        <v>0.0</v>
      </c>
      <c r="N24" s="323">
        <v>0.0</v>
      </c>
      <c r="O24" s="323">
        <v>0.0</v>
      </c>
      <c r="P24" s="323">
        <v>0.0</v>
      </c>
      <c r="Q24" s="323">
        <v>1.0</v>
      </c>
      <c r="R24" s="325">
        <v>2.0</v>
      </c>
      <c r="S24" s="323">
        <v>6.0</v>
      </c>
      <c r="T24" s="323">
        <v>10.0</v>
      </c>
      <c r="U24" s="323">
        <v>17.0</v>
      </c>
      <c r="V24" s="323">
        <v>21.0</v>
      </c>
      <c r="W24" s="323">
        <v>21.0</v>
      </c>
      <c r="X24" s="323">
        <v>23.0</v>
      </c>
      <c r="Y24" s="323">
        <v>25.0</v>
      </c>
      <c r="Z24" s="323">
        <v>27.0</v>
      </c>
    </row>
    <row r="25" ht="15.75" customHeight="1">
      <c r="A25" s="193" t="s">
        <v>257</v>
      </c>
      <c r="B25" s="319">
        <v>45069.0</v>
      </c>
      <c r="C25" s="319" t="str">
        <f t="shared" si="1"/>
        <v>Q2 2023</v>
      </c>
      <c r="D25" s="320">
        <v>5000.0</v>
      </c>
      <c r="E25" s="324">
        <v>0.0</v>
      </c>
      <c r="F25" s="322">
        <v>0.0</v>
      </c>
      <c r="G25" s="322">
        <v>0.0</v>
      </c>
      <c r="H25" s="322">
        <v>0.0</v>
      </c>
      <c r="I25" s="322">
        <v>0.0</v>
      </c>
      <c r="J25" s="322">
        <v>0.0</v>
      </c>
      <c r="K25" s="322">
        <v>0.0</v>
      </c>
      <c r="L25" s="322">
        <v>0.0</v>
      </c>
      <c r="M25" s="322">
        <v>0.0</v>
      </c>
      <c r="N25" s="323">
        <v>0.0</v>
      </c>
      <c r="O25" s="323">
        <v>0.0</v>
      </c>
      <c r="P25" s="323">
        <v>0.0</v>
      </c>
      <c r="Q25" s="323">
        <v>0.0</v>
      </c>
      <c r="R25" s="325">
        <v>0.0</v>
      </c>
      <c r="S25" s="323">
        <v>0.0</v>
      </c>
      <c r="T25" s="323">
        <v>1.0</v>
      </c>
      <c r="U25" s="323">
        <v>1.0</v>
      </c>
      <c r="V25" s="323">
        <v>1.0</v>
      </c>
      <c r="W25" s="323">
        <v>1.0</v>
      </c>
      <c r="X25" s="323">
        <v>1.0</v>
      </c>
      <c r="Y25" s="323">
        <v>1.0</v>
      </c>
      <c r="Z25" s="323">
        <v>2.0</v>
      </c>
    </row>
    <row r="26" ht="15.75" customHeight="1">
      <c r="A26" s="193" t="s">
        <v>258</v>
      </c>
      <c r="B26" s="319">
        <v>45069.0</v>
      </c>
      <c r="C26" s="319" t="str">
        <f t="shared" si="1"/>
        <v>Q2 2023</v>
      </c>
      <c r="D26" s="320">
        <v>30000.0</v>
      </c>
      <c r="E26" s="324">
        <v>0.0</v>
      </c>
      <c r="F26" s="322">
        <v>0.0</v>
      </c>
      <c r="G26" s="322">
        <v>0.0</v>
      </c>
      <c r="H26" s="322">
        <v>0.0</v>
      </c>
      <c r="I26" s="322">
        <v>0.0</v>
      </c>
      <c r="J26" s="322">
        <v>0.0</v>
      </c>
      <c r="K26" s="322">
        <v>0.0</v>
      </c>
      <c r="L26" s="322">
        <v>0.0</v>
      </c>
      <c r="M26" s="322">
        <v>0.0</v>
      </c>
      <c r="N26" s="323">
        <v>0.0</v>
      </c>
      <c r="O26" s="323">
        <v>12.0</v>
      </c>
      <c r="P26" s="323">
        <v>13.0</v>
      </c>
      <c r="Q26" s="323">
        <v>19.0</v>
      </c>
      <c r="R26" s="325">
        <v>48.0</v>
      </c>
      <c r="S26" s="323">
        <v>63.0</v>
      </c>
      <c r="T26" s="323">
        <v>74.0</v>
      </c>
      <c r="U26" s="323">
        <v>82.0</v>
      </c>
      <c r="V26" s="323">
        <v>106.0</v>
      </c>
      <c r="W26" s="323">
        <v>114.0</v>
      </c>
      <c r="X26" s="323">
        <v>129.0</v>
      </c>
      <c r="Y26" s="323">
        <v>150.0</v>
      </c>
      <c r="Z26" s="323">
        <v>158.0</v>
      </c>
    </row>
    <row r="27" ht="15.75" customHeight="1">
      <c r="A27" s="193" t="s">
        <v>259</v>
      </c>
      <c r="B27" s="319">
        <v>45069.0</v>
      </c>
      <c r="C27" s="319" t="str">
        <f t="shared" si="1"/>
        <v>Q2 2023</v>
      </c>
      <c r="D27" s="320">
        <v>20000.0</v>
      </c>
      <c r="E27" s="324">
        <v>0.0</v>
      </c>
      <c r="F27" s="322">
        <v>0.0</v>
      </c>
      <c r="G27" s="322">
        <v>0.0</v>
      </c>
      <c r="H27" s="322">
        <v>0.0</v>
      </c>
      <c r="I27" s="322">
        <v>0.0</v>
      </c>
      <c r="J27" s="322">
        <v>0.0</v>
      </c>
      <c r="K27" s="322">
        <v>0.0</v>
      </c>
      <c r="L27" s="322">
        <v>0.0</v>
      </c>
      <c r="M27" s="322">
        <v>0.0</v>
      </c>
      <c r="N27" s="323">
        <v>3.0</v>
      </c>
      <c r="O27" s="323">
        <v>3.0</v>
      </c>
      <c r="P27" s="323">
        <v>4.0</v>
      </c>
      <c r="Q27" s="323">
        <v>10.0</v>
      </c>
      <c r="R27" s="325">
        <v>17.0</v>
      </c>
      <c r="S27" s="323">
        <v>26.0</v>
      </c>
      <c r="T27" s="323">
        <v>32.0</v>
      </c>
      <c r="U27" s="323">
        <v>36.0</v>
      </c>
      <c r="V27" s="323">
        <v>42.0</v>
      </c>
      <c r="W27" s="323">
        <v>47.0</v>
      </c>
      <c r="X27" s="323">
        <v>50.0</v>
      </c>
      <c r="Y27" s="323">
        <v>56.0</v>
      </c>
      <c r="Z27" s="323">
        <v>58.0</v>
      </c>
    </row>
    <row r="28" ht="15.75" customHeight="1">
      <c r="A28" s="193" t="s">
        <v>260</v>
      </c>
      <c r="B28" s="319">
        <v>45100.0</v>
      </c>
      <c r="C28" s="319" t="str">
        <f t="shared" si="1"/>
        <v>Q2 2023</v>
      </c>
      <c r="D28" s="320">
        <v>25000.0</v>
      </c>
      <c r="E28" s="324">
        <v>0.0</v>
      </c>
      <c r="F28" s="322">
        <v>0.0</v>
      </c>
      <c r="G28" s="322">
        <v>0.0</v>
      </c>
      <c r="H28" s="322">
        <v>0.0</v>
      </c>
      <c r="I28" s="322">
        <v>0.0</v>
      </c>
      <c r="J28" s="322">
        <v>0.0</v>
      </c>
      <c r="K28" s="322">
        <v>0.0</v>
      </c>
      <c r="L28" s="322">
        <v>1.0</v>
      </c>
      <c r="M28" s="322">
        <v>1.0</v>
      </c>
      <c r="N28" s="323">
        <v>0.0</v>
      </c>
      <c r="O28" s="323">
        <v>0.0</v>
      </c>
      <c r="P28" s="323">
        <v>0.0</v>
      </c>
      <c r="Q28" s="323">
        <v>0.0</v>
      </c>
      <c r="R28" s="323">
        <v>0.0</v>
      </c>
      <c r="S28" s="325">
        <v>5.0</v>
      </c>
      <c r="T28" s="323">
        <v>9.0</v>
      </c>
      <c r="U28" s="323">
        <v>12.0</v>
      </c>
      <c r="V28" s="323">
        <v>14.0</v>
      </c>
      <c r="W28" s="323">
        <v>17.0</v>
      </c>
      <c r="X28" s="323">
        <v>26.0</v>
      </c>
      <c r="Y28" s="323">
        <v>34.0</v>
      </c>
      <c r="Z28" s="323">
        <v>38.0</v>
      </c>
    </row>
    <row r="29" ht="15.75" customHeight="1">
      <c r="A29" s="193" t="s">
        <v>261</v>
      </c>
      <c r="B29" s="319">
        <v>45161.0</v>
      </c>
      <c r="C29" s="319" t="str">
        <f t="shared" si="1"/>
        <v>Q3 2023</v>
      </c>
      <c r="D29" s="320">
        <v>25000.0</v>
      </c>
      <c r="E29" s="324">
        <v>0.0</v>
      </c>
      <c r="F29" s="322">
        <v>0.0</v>
      </c>
      <c r="G29" s="322">
        <v>0.0</v>
      </c>
      <c r="H29" s="322">
        <v>0.0</v>
      </c>
      <c r="I29" s="322">
        <v>0.0</v>
      </c>
      <c r="J29" s="322">
        <v>0.0</v>
      </c>
      <c r="K29" s="322">
        <v>0.0</v>
      </c>
      <c r="L29" s="322">
        <v>0.0</v>
      </c>
      <c r="M29" s="322">
        <v>0.0</v>
      </c>
      <c r="N29" s="323">
        <v>0.0</v>
      </c>
      <c r="O29" s="323">
        <v>0.0</v>
      </c>
      <c r="P29" s="323">
        <v>0.0</v>
      </c>
      <c r="Q29" s="323">
        <v>0.0</v>
      </c>
      <c r="R29" s="323">
        <v>0.0</v>
      </c>
      <c r="S29" s="323">
        <v>1.0</v>
      </c>
      <c r="T29" s="323">
        <v>8.0</v>
      </c>
      <c r="U29" s="325">
        <v>9.0</v>
      </c>
      <c r="V29" s="323">
        <v>13.0</v>
      </c>
      <c r="W29" s="323">
        <v>18.0</v>
      </c>
      <c r="X29" s="323">
        <v>22.0</v>
      </c>
      <c r="Y29" s="323">
        <v>22.0</v>
      </c>
      <c r="Z29" s="323">
        <v>25.0</v>
      </c>
    </row>
    <row r="30" ht="15.75" customHeight="1">
      <c r="A30" s="193" t="s">
        <v>262</v>
      </c>
      <c r="B30" s="319">
        <v>45161.0</v>
      </c>
      <c r="C30" s="319" t="str">
        <f t="shared" si="1"/>
        <v>Q3 2023</v>
      </c>
      <c r="D30" s="320">
        <v>20000.0</v>
      </c>
      <c r="E30" s="324">
        <v>0.0</v>
      </c>
      <c r="F30" s="322">
        <v>0.0</v>
      </c>
      <c r="G30" s="322">
        <v>0.0</v>
      </c>
      <c r="H30" s="322">
        <v>0.0</v>
      </c>
      <c r="I30" s="322">
        <v>0.0</v>
      </c>
      <c r="J30" s="322">
        <v>0.0</v>
      </c>
      <c r="K30" s="322">
        <v>0.0</v>
      </c>
      <c r="L30" s="322">
        <v>0.0</v>
      </c>
      <c r="M30" s="322">
        <v>0.0</v>
      </c>
      <c r="N30" s="323">
        <v>0.0</v>
      </c>
      <c r="O30" s="323">
        <v>0.0</v>
      </c>
      <c r="P30" s="323">
        <v>0.0</v>
      </c>
      <c r="Q30" s="323">
        <v>4.0</v>
      </c>
      <c r="R30" s="323">
        <v>10.0</v>
      </c>
      <c r="S30" s="323">
        <v>18.0</v>
      </c>
      <c r="T30" s="323">
        <v>23.0</v>
      </c>
      <c r="U30" s="325">
        <v>30.0</v>
      </c>
      <c r="V30" s="323">
        <v>36.0</v>
      </c>
      <c r="W30" s="323">
        <v>38.0</v>
      </c>
      <c r="X30" s="323">
        <v>48.0</v>
      </c>
      <c r="Y30" s="323">
        <v>65.0</v>
      </c>
      <c r="Z30" s="323">
        <v>72.0</v>
      </c>
    </row>
    <row r="31" ht="15.75" customHeight="1">
      <c r="A31" s="193" t="s">
        <v>263</v>
      </c>
      <c r="B31" s="319">
        <v>45161.0</v>
      </c>
      <c r="C31" s="319" t="str">
        <f t="shared" si="1"/>
        <v>Q3 2023</v>
      </c>
      <c r="D31" s="320">
        <v>5000.0</v>
      </c>
      <c r="E31" s="324">
        <v>0.0</v>
      </c>
      <c r="F31" s="322">
        <v>0.0</v>
      </c>
      <c r="G31" s="322">
        <v>0.0</v>
      </c>
      <c r="H31" s="322">
        <v>0.0</v>
      </c>
      <c r="I31" s="322">
        <v>0.0</v>
      </c>
      <c r="J31" s="322">
        <v>0.0</v>
      </c>
      <c r="K31" s="322">
        <v>0.0</v>
      </c>
      <c r="L31" s="322">
        <v>0.0</v>
      </c>
      <c r="M31" s="322">
        <v>0.0</v>
      </c>
      <c r="N31" s="323">
        <v>0.0</v>
      </c>
      <c r="O31" s="323">
        <v>2.0</v>
      </c>
      <c r="P31" s="323">
        <v>2.0</v>
      </c>
      <c r="Q31" s="323">
        <v>2.0</v>
      </c>
      <c r="R31" s="323">
        <v>2.0</v>
      </c>
      <c r="S31" s="323">
        <v>3.0</v>
      </c>
      <c r="T31" s="323">
        <v>7.0</v>
      </c>
      <c r="U31" s="325">
        <v>11.0</v>
      </c>
      <c r="V31" s="323">
        <v>12.0</v>
      </c>
      <c r="W31" s="323">
        <v>12.0</v>
      </c>
      <c r="X31" s="323">
        <v>12.0</v>
      </c>
      <c r="Y31" s="323">
        <v>16.0</v>
      </c>
      <c r="Z31" s="323">
        <v>16.0</v>
      </c>
    </row>
    <row r="32" ht="15.75" customHeight="1">
      <c r="A32" s="193" t="s">
        <v>264</v>
      </c>
      <c r="B32" s="319">
        <v>45161.0</v>
      </c>
      <c r="C32" s="319" t="str">
        <f t="shared" si="1"/>
        <v>Q3 2023</v>
      </c>
      <c r="D32" s="320">
        <v>15000.0</v>
      </c>
      <c r="E32" s="324">
        <v>0.0</v>
      </c>
      <c r="F32" s="322">
        <v>0.0</v>
      </c>
      <c r="G32" s="322">
        <v>0.0</v>
      </c>
      <c r="H32" s="322">
        <v>0.0</v>
      </c>
      <c r="I32" s="322">
        <v>0.0</v>
      </c>
      <c r="J32" s="322">
        <v>0.0</v>
      </c>
      <c r="K32" s="322">
        <v>0.0</v>
      </c>
      <c r="L32" s="322">
        <v>0.0</v>
      </c>
      <c r="M32" s="322">
        <v>0.0</v>
      </c>
      <c r="N32" s="323">
        <v>0.0</v>
      </c>
      <c r="O32" s="323">
        <v>0.0</v>
      </c>
      <c r="P32" s="323">
        <v>0.0</v>
      </c>
      <c r="Q32" s="323">
        <v>8.0</v>
      </c>
      <c r="R32" s="323">
        <v>8.0</v>
      </c>
      <c r="S32" s="323">
        <v>12.0</v>
      </c>
      <c r="T32" s="323">
        <v>14.0</v>
      </c>
      <c r="U32" s="325">
        <v>29.0</v>
      </c>
      <c r="V32" s="323">
        <v>51.0</v>
      </c>
      <c r="W32" s="323">
        <v>57.0</v>
      </c>
      <c r="X32" s="323">
        <v>63.0</v>
      </c>
      <c r="Y32" s="323">
        <v>76.0</v>
      </c>
      <c r="Z32" s="323">
        <v>83.0</v>
      </c>
    </row>
    <row r="33" ht="15.75" customHeight="1">
      <c r="A33" s="193" t="s">
        <v>265</v>
      </c>
      <c r="B33" s="319">
        <v>45192.0</v>
      </c>
      <c r="C33" s="319" t="str">
        <f t="shared" si="1"/>
        <v>Q3 2023</v>
      </c>
      <c r="D33" s="320">
        <v>40000.0</v>
      </c>
      <c r="E33" s="324">
        <v>0.0</v>
      </c>
      <c r="F33" s="322">
        <v>0.0</v>
      </c>
      <c r="G33" s="322">
        <v>0.0</v>
      </c>
      <c r="H33" s="322">
        <v>0.0</v>
      </c>
      <c r="I33" s="322">
        <v>0.0</v>
      </c>
      <c r="J33" s="322">
        <v>0.0</v>
      </c>
      <c r="K33" s="322">
        <v>0.0</v>
      </c>
      <c r="L33" s="322">
        <v>0.0</v>
      </c>
      <c r="M33" s="322">
        <v>0.0</v>
      </c>
      <c r="N33" s="323">
        <v>0.0</v>
      </c>
      <c r="O33" s="323">
        <v>0.0</v>
      </c>
      <c r="P33" s="323">
        <v>0.0</v>
      </c>
      <c r="Q33" s="323">
        <v>0.0</v>
      </c>
      <c r="R33" s="323">
        <v>0.0</v>
      </c>
      <c r="S33" s="323">
        <v>3.0</v>
      </c>
      <c r="T33" s="323">
        <v>5.0</v>
      </c>
      <c r="U33" s="323">
        <v>14.0</v>
      </c>
      <c r="V33" s="325">
        <v>17.0</v>
      </c>
      <c r="W33" s="323">
        <v>18.0</v>
      </c>
      <c r="X33" s="323">
        <v>44.0</v>
      </c>
      <c r="Y33" s="323">
        <v>53.0</v>
      </c>
      <c r="Z33" s="323">
        <v>57.0</v>
      </c>
    </row>
    <row r="34" ht="15.75" customHeight="1">
      <c r="A34" s="193" t="s">
        <v>266</v>
      </c>
      <c r="B34" s="319">
        <v>45192.0</v>
      </c>
      <c r="C34" s="319" t="str">
        <f t="shared" si="1"/>
        <v>Q3 2023</v>
      </c>
      <c r="D34" s="320">
        <v>27000.0</v>
      </c>
      <c r="E34" s="324">
        <v>0.0</v>
      </c>
      <c r="F34" s="322">
        <v>0.0</v>
      </c>
      <c r="G34" s="322">
        <v>0.0</v>
      </c>
      <c r="H34" s="322">
        <v>0.0</v>
      </c>
      <c r="I34" s="322">
        <v>0.0</v>
      </c>
      <c r="J34" s="322">
        <v>0.0</v>
      </c>
      <c r="K34" s="322">
        <v>0.0</v>
      </c>
      <c r="L34" s="322">
        <v>0.0</v>
      </c>
      <c r="M34" s="322">
        <v>0.0</v>
      </c>
      <c r="N34" s="323">
        <v>0.0</v>
      </c>
      <c r="O34" s="323">
        <v>0.0</v>
      </c>
      <c r="P34" s="323">
        <v>0.0</v>
      </c>
      <c r="Q34" s="323">
        <v>0.0</v>
      </c>
      <c r="R34" s="323">
        <v>1.0</v>
      </c>
      <c r="S34" s="323">
        <v>1.0</v>
      </c>
      <c r="T34" s="323">
        <v>1.0</v>
      </c>
      <c r="U34" s="323">
        <v>32.0</v>
      </c>
      <c r="V34" s="325">
        <v>37.0</v>
      </c>
      <c r="W34" s="323">
        <v>37.0</v>
      </c>
      <c r="X34" s="323">
        <v>40.0</v>
      </c>
      <c r="Y34" s="323">
        <v>47.0</v>
      </c>
      <c r="Z34" s="323">
        <v>50.0</v>
      </c>
    </row>
    <row r="35" ht="15.75" customHeight="1">
      <c r="A35" s="193" t="s">
        <v>267</v>
      </c>
      <c r="B35" s="319">
        <v>45192.0</v>
      </c>
      <c r="C35" s="319" t="str">
        <f t="shared" si="1"/>
        <v>Q3 2023</v>
      </c>
      <c r="D35" s="320">
        <v>5000.0</v>
      </c>
      <c r="E35" s="324">
        <v>0.0</v>
      </c>
      <c r="F35" s="322">
        <v>0.0</v>
      </c>
      <c r="G35" s="322">
        <v>0.0</v>
      </c>
      <c r="H35" s="322">
        <v>0.0</v>
      </c>
      <c r="I35" s="322">
        <v>0.0</v>
      </c>
      <c r="J35" s="322">
        <v>0.0</v>
      </c>
      <c r="K35" s="324">
        <v>0.0</v>
      </c>
      <c r="L35" s="324">
        <v>0.0</v>
      </c>
      <c r="M35" s="324">
        <v>0.0</v>
      </c>
      <c r="N35" s="323">
        <v>0.0</v>
      </c>
      <c r="O35" s="323">
        <v>0.0</v>
      </c>
      <c r="P35" s="323">
        <v>0.0</v>
      </c>
      <c r="Q35" s="323">
        <v>0.0</v>
      </c>
      <c r="R35" s="323">
        <v>0.0</v>
      </c>
      <c r="S35" s="323">
        <v>0.0</v>
      </c>
      <c r="T35" s="323">
        <v>0.0</v>
      </c>
      <c r="U35" s="323">
        <v>1.0</v>
      </c>
      <c r="V35" s="325">
        <v>2.0</v>
      </c>
      <c r="W35" s="323">
        <v>5.0</v>
      </c>
      <c r="X35" s="323">
        <v>7.0</v>
      </c>
      <c r="Y35" s="323">
        <v>11.0</v>
      </c>
      <c r="Z35" s="323">
        <v>13.0</v>
      </c>
    </row>
    <row r="36" ht="15.75" customHeight="1">
      <c r="A36" s="193" t="s">
        <v>268</v>
      </c>
      <c r="B36" s="319">
        <v>45192.0</v>
      </c>
      <c r="C36" s="319" t="str">
        <f t="shared" si="1"/>
        <v>Q3 2023</v>
      </c>
      <c r="D36" s="320">
        <v>23000.0</v>
      </c>
      <c r="E36" s="324">
        <v>0.0</v>
      </c>
      <c r="F36" s="322">
        <v>0.0</v>
      </c>
      <c r="G36" s="322">
        <v>0.0</v>
      </c>
      <c r="H36" s="322">
        <v>0.0</v>
      </c>
      <c r="I36" s="322">
        <v>0.0</v>
      </c>
      <c r="J36" s="322">
        <v>0.0</v>
      </c>
      <c r="K36" s="324">
        <v>0.0</v>
      </c>
      <c r="L36" s="324">
        <v>0.0</v>
      </c>
      <c r="M36" s="324">
        <v>0.0</v>
      </c>
      <c r="N36" s="323">
        <v>0.0</v>
      </c>
      <c r="O36" s="323">
        <v>0.0</v>
      </c>
      <c r="P36" s="323">
        <v>0.0</v>
      </c>
      <c r="Q36" s="323">
        <v>0.0</v>
      </c>
      <c r="R36" s="323">
        <v>0.0</v>
      </c>
      <c r="S36" s="323">
        <v>0.0</v>
      </c>
      <c r="T36" s="323">
        <v>0.0</v>
      </c>
      <c r="U36" s="323">
        <v>7.0</v>
      </c>
      <c r="V36" s="325">
        <v>16.0</v>
      </c>
      <c r="W36" s="323">
        <v>24.0</v>
      </c>
      <c r="X36" s="323">
        <v>32.0</v>
      </c>
      <c r="Y36" s="323">
        <v>35.0</v>
      </c>
      <c r="Z36" s="323">
        <v>40.0</v>
      </c>
    </row>
    <row r="37" ht="15.75" customHeight="1">
      <c r="A37" s="193" t="s">
        <v>269</v>
      </c>
      <c r="B37" s="319">
        <v>45192.0</v>
      </c>
      <c r="C37" s="319" t="str">
        <f t="shared" si="1"/>
        <v>Q3 2023</v>
      </c>
      <c r="D37" s="320">
        <v>5000.0</v>
      </c>
      <c r="E37" s="324">
        <v>0.0</v>
      </c>
      <c r="F37" s="322">
        <v>0.0</v>
      </c>
      <c r="G37" s="322">
        <v>0.0</v>
      </c>
      <c r="H37" s="322">
        <v>0.0</v>
      </c>
      <c r="I37" s="322">
        <v>0.0</v>
      </c>
      <c r="J37" s="322">
        <v>0.0</v>
      </c>
      <c r="K37" s="324">
        <v>0.0</v>
      </c>
      <c r="L37" s="324">
        <v>0.0</v>
      </c>
      <c r="M37" s="324">
        <v>0.0</v>
      </c>
      <c r="N37" s="323">
        <v>0.0</v>
      </c>
      <c r="O37" s="323">
        <v>0.0</v>
      </c>
      <c r="P37" s="323">
        <v>0.0</v>
      </c>
      <c r="Q37" s="323">
        <v>0.0</v>
      </c>
      <c r="R37" s="323">
        <v>0.0</v>
      </c>
      <c r="S37" s="323">
        <v>1.0</v>
      </c>
      <c r="T37" s="323">
        <v>1.0</v>
      </c>
      <c r="U37" s="323">
        <v>2.0</v>
      </c>
      <c r="V37" s="325">
        <v>3.0</v>
      </c>
      <c r="W37" s="323">
        <v>3.0</v>
      </c>
      <c r="X37" s="323">
        <v>5.0</v>
      </c>
      <c r="Y37" s="323">
        <v>6.0</v>
      </c>
      <c r="Z37" s="323">
        <v>7.0</v>
      </c>
    </row>
    <row r="38" ht="15.75" customHeight="1">
      <c r="A38" s="193" t="s">
        <v>270</v>
      </c>
      <c r="B38" s="319">
        <v>45192.0</v>
      </c>
      <c r="C38" s="319" t="str">
        <f t="shared" si="1"/>
        <v>Q3 2023</v>
      </c>
      <c r="D38" s="320">
        <v>32000.0</v>
      </c>
      <c r="E38" s="324">
        <v>0.0</v>
      </c>
      <c r="F38" s="322">
        <v>0.0</v>
      </c>
      <c r="G38" s="322">
        <v>0.0</v>
      </c>
      <c r="H38" s="322">
        <v>0.0</v>
      </c>
      <c r="I38" s="322">
        <v>0.0</v>
      </c>
      <c r="J38" s="322">
        <v>0.0</v>
      </c>
      <c r="K38" s="324">
        <v>0.0</v>
      </c>
      <c r="L38" s="324">
        <v>0.0</v>
      </c>
      <c r="M38" s="324">
        <v>0.0</v>
      </c>
      <c r="N38" s="323">
        <v>0.0</v>
      </c>
      <c r="O38" s="323">
        <v>0.0</v>
      </c>
      <c r="P38" s="323">
        <v>0.0</v>
      </c>
      <c r="Q38" s="323">
        <v>2.0</v>
      </c>
      <c r="R38" s="323">
        <v>5.0</v>
      </c>
      <c r="S38" s="323">
        <v>5.0</v>
      </c>
      <c r="T38" s="323">
        <v>6.0</v>
      </c>
      <c r="U38" s="323">
        <v>8.0</v>
      </c>
      <c r="V38" s="325">
        <v>9.0</v>
      </c>
      <c r="W38" s="323">
        <v>11.0</v>
      </c>
      <c r="X38" s="323">
        <v>13.0</v>
      </c>
      <c r="Y38" s="323">
        <v>16.0</v>
      </c>
      <c r="Z38" s="323">
        <v>18.0</v>
      </c>
    </row>
    <row r="39" ht="15.75" customHeight="1">
      <c r="A39" s="193" t="s">
        <v>271</v>
      </c>
      <c r="B39" s="319">
        <v>45192.0</v>
      </c>
      <c r="C39" s="319" t="str">
        <f t="shared" si="1"/>
        <v>Q3 2023</v>
      </c>
      <c r="D39" s="320">
        <v>15000.0</v>
      </c>
      <c r="E39" s="324">
        <v>0.0</v>
      </c>
      <c r="F39" s="322">
        <v>0.0</v>
      </c>
      <c r="G39" s="322">
        <v>0.0</v>
      </c>
      <c r="H39" s="322">
        <v>0.0</v>
      </c>
      <c r="I39" s="322">
        <v>0.0</v>
      </c>
      <c r="J39" s="322">
        <v>0.0</v>
      </c>
      <c r="K39" s="324">
        <v>0.0</v>
      </c>
      <c r="L39" s="324">
        <v>0.0</v>
      </c>
      <c r="M39" s="324">
        <v>0.0</v>
      </c>
      <c r="N39" s="323">
        <v>0.0</v>
      </c>
      <c r="O39" s="323">
        <v>0.0</v>
      </c>
      <c r="P39" s="323">
        <v>0.0</v>
      </c>
      <c r="Q39" s="323">
        <v>0.0</v>
      </c>
      <c r="R39" s="323">
        <v>1.0</v>
      </c>
      <c r="S39" s="323">
        <v>3.0</v>
      </c>
      <c r="T39" s="323">
        <v>3.0</v>
      </c>
      <c r="U39" s="323">
        <v>6.0</v>
      </c>
      <c r="V39" s="325">
        <v>7.0</v>
      </c>
      <c r="W39" s="323">
        <v>7.0</v>
      </c>
      <c r="X39" s="323">
        <v>8.0</v>
      </c>
      <c r="Y39" s="323">
        <v>8.0</v>
      </c>
      <c r="Z39" s="323">
        <v>8.0</v>
      </c>
    </row>
    <row r="40" ht="15.0" customHeight="1">
      <c r="A40" s="193" t="s">
        <v>272</v>
      </c>
      <c r="B40" s="319">
        <v>45222.0</v>
      </c>
      <c r="C40" s="319" t="str">
        <f t="shared" si="1"/>
        <v>Q4 2023</v>
      </c>
      <c r="D40" s="320">
        <v>20000.0</v>
      </c>
      <c r="E40" s="324">
        <v>0.0</v>
      </c>
      <c r="F40" s="322">
        <v>0.0</v>
      </c>
      <c r="G40" s="322">
        <v>0.0</v>
      </c>
      <c r="H40" s="322">
        <v>0.0</v>
      </c>
      <c r="I40" s="322">
        <v>0.0</v>
      </c>
      <c r="J40" s="322">
        <v>0.0</v>
      </c>
      <c r="K40" s="324">
        <v>0.0</v>
      </c>
      <c r="L40" s="324">
        <v>0.0</v>
      </c>
      <c r="M40" s="324">
        <v>0.0</v>
      </c>
      <c r="N40" s="323">
        <v>0.0</v>
      </c>
      <c r="O40" s="323">
        <v>0.0</v>
      </c>
      <c r="P40" s="323">
        <v>0.0</v>
      </c>
      <c r="Q40" s="323">
        <v>0.0</v>
      </c>
      <c r="R40" s="323">
        <v>1.0</v>
      </c>
      <c r="S40" s="323">
        <v>1.0</v>
      </c>
      <c r="T40" s="323">
        <v>1.0</v>
      </c>
      <c r="U40" s="323">
        <v>2.0</v>
      </c>
      <c r="V40" s="323">
        <v>14.0</v>
      </c>
      <c r="W40" s="325">
        <v>15.0</v>
      </c>
      <c r="X40" s="323">
        <v>18.0</v>
      </c>
      <c r="Y40" s="323">
        <v>20.0</v>
      </c>
      <c r="Z40" s="323">
        <v>24.0</v>
      </c>
    </row>
    <row r="41" ht="15.0" customHeight="1">
      <c r="A41" s="326" t="s">
        <v>273</v>
      </c>
      <c r="B41" s="327">
        <v>45283.0</v>
      </c>
      <c r="C41" s="319" t="str">
        <f t="shared" si="1"/>
        <v>Q4 2023</v>
      </c>
      <c r="D41" s="328">
        <v>22500.0</v>
      </c>
      <c r="E41" s="324">
        <v>0.0</v>
      </c>
      <c r="F41" s="324">
        <v>0.0</v>
      </c>
      <c r="G41" s="324">
        <v>0.0</v>
      </c>
      <c r="H41" s="324">
        <v>0.0</v>
      </c>
      <c r="I41" s="324">
        <v>0.0</v>
      </c>
      <c r="J41" s="324">
        <v>0.0</v>
      </c>
      <c r="K41" s="324">
        <v>0.0</v>
      </c>
      <c r="L41" s="324">
        <v>0.0</v>
      </c>
      <c r="M41" s="324">
        <v>0.0</v>
      </c>
      <c r="N41" s="324">
        <v>0.0</v>
      </c>
      <c r="O41" s="324">
        <v>0.0</v>
      </c>
      <c r="P41" s="324">
        <v>0.0</v>
      </c>
      <c r="Q41" s="324">
        <v>0.0</v>
      </c>
      <c r="R41" s="324">
        <v>0.0</v>
      </c>
      <c r="S41" s="324">
        <v>0.0</v>
      </c>
      <c r="T41" s="324">
        <v>0.0</v>
      </c>
      <c r="U41" s="324">
        <v>0.0</v>
      </c>
      <c r="V41" s="324">
        <v>0.0</v>
      </c>
      <c r="W41" s="329">
        <v>0.0</v>
      </c>
      <c r="X41" s="322">
        <v>0.0</v>
      </c>
      <c r="Y41" s="322">
        <v>5.0</v>
      </c>
      <c r="Z41" s="323">
        <v>6.0</v>
      </c>
    </row>
    <row r="42" ht="15.75" customHeight="1">
      <c r="A42" s="326" t="s">
        <v>274</v>
      </c>
      <c r="B42" s="327">
        <v>45283.0</v>
      </c>
      <c r="C42" s="319" t="str">
        <f t="shared" si="1"/>
        <v>Q4 2023</v>
      </c>
      <c r="D42" s="328">
        <v>12000.0</v>
      </c>
      <c r="E42" s="324">
        <v>0.0</v>
      </c>
      <c r="F42" s="324">
        <v>0.0</v>
      </c>
      <c r="G42" s="324">
        <v>0.0</v>
      </c>
      <c r="H42" s="324">
        <v>0.0</v>
      </c>
      <c r="I42" s="324">
        <v>0.0</v>
      </c>
      <c r="J42" s="324">
        <v>0.0</v>
      </c>
      <c r="K42" s="324">
        <v>0.0</v>
      </c>
      <c r="L42" s="324">
        <v>0.0</v>
      </c>
      <c r="M42" s="324">
        <v>0.0</v>
      </c>
      <c r="N42" s="324">
        <v>0.0</v>
      </c>
      <c r="O42" s="324">
        <v>0.0</v>
      </c>
      <c r="P42" s="324">
        <v>0.0</v>
      </c>
      <c r="Q42" s="324">
        <v>0.0</v>
      </c>
      <c r="R42" s="324">
        <v>0.0</v>
      </c>
      <c r="S42" s="324">
        <v>0.0</v>
      </c>
      <c r="T42" s="324">
        <v>0.0</v>
      </c>
      <c r="U42" s="324">
        <v>0.0</v>
      </c>
      <c r="V42" s="324">
        <v>0.0</v>
      </c>
      <c r="W42" s="329">
        <v>0.0</v>
      </c>
      <c r="X42" s="322">
        <v>2.0</v>
      </c>
      <c r="Y42" s="323">
        <v>2.0</v>
      </c>
      <c r="Z42" s="323">
        <v>7.0</v>
      </c>
    </row>
    <row r="43" ht="15.75" customHeight="1">
      <c r="A43" s="326" t="s">
        <v>275</v>
      </c>
      <c r="B43" s="327">
        <v>45315.0</v>
      </c>
      <c r="C43" s="319" t="str">
        <f t="shared" si="1"/>
        <v>Q1 2024</v>
      </c>
      <c r="D43" s="328">
        <v>35000.0</v>
      </c>
      <c r="E43" s="324">
        <v>0.0</v>
      </c>
      <c r="F43" s="324">
        <v>0.0</v>
      </c>
      <c r="G43" s="324">
        <v>0.0</v>
      </c>
      <c r="H43" s="324">
        <v>0.0</v>
      </c>
      <c r="I43" s="324">
        <v>0.0</v>
      </c>
      <c r="J43" s="324">
        <v>0.0</v>
      </c>
      <c r="K43" s="324">
        <v>0.0</v>
      </c>
      <c r="L43" s="324">
        <v>0.0</v>
      </c>
      <c r="M43" s="324">
        <v>0.0</v>
      </c>
      <c r="N43" s="324">
        <v>0.0</v>
      </c>
      <c r="O43" s="324">
        <v>0.0</v>
      </c>
      <c r="P43" s="324">
        <v>0.0</v>
      </c>
      <c r="Q43" s="324">
        <v>0.0</v>
      </c>
      <c r="R43" s="324">
        <v>0.0</v>
      </c>
      <c r="S43" s="324">
        <v>0.0</v>
      </c>
      <c r="T43" s="324">
        <v>0.0</v>
      </c>
      <c r="U43" s="324">
        <v>0.0</v>
      </c>
      <c r="V43" s="324">
        <v>0.0</v>
      </c>
      <c r="W43" s="322">
        <v>0.0</v>
      </c>
      <c r="X43" s="329">
        <v>3.0</v>
      </c>
      <c r="Y43" s="323">
        <v>11.0</v>
      </c>
      <c r="Z43" s="323">
        <v>28.0</v>
      </c>
    </row>
    <row r="44" ht="15.75" customHeight="1">
      <c r="A44" s="326" t="s">
        <v>276</v>
      </c>
      <c r="B44" s="327">
        <v>45315.0</v>
      </c>
      <c r="C44" s="319" t="str">
        <f t="shared" si="1"/>
        <v>Q1 2024</v>
      </c>
      <c r="D44" s="328">
        <v>35000.0</v>
      </c>
      <c r="E44" s="324">
        <v>0.0</v>
      </c>
      <c r="F44" s="324">
        <v>0.0</v>
      </c>
      <c r="G44" s="324">
        <v>0.0</v>
      </c>
      <c r="H44" s="324">
        <v>0.0</v>
      </c>
      <c r="I44" s="324">
        <v>0.0</v>
      </c>
      <c r="J44" s="324">
        <v>0.0</v>
      </c>
      <c r="K44" s="324">
        <v>0.0</v>
      </c>
      <c r="L44" s="324">
        <v>0.0</v>
      </c>
      <c r="M44" s="324">
        <v>0.0</v>
      </c>
      <c r="N44" s="324">
        <v>0.0</v>
      </c>
      <c r="O44" s="324">
        <v>0.0</v>
      </c>
      <c r="P44" s="324">
        <v>0.0</v>
      </c>
      <c r="Q44" s="324">
        <v>0.0</v>
      </c>
      <c r="R44" s="324">
        <v>0.0</v>
      </c>
      <c r="S44" s="324">
        <v>0.0</v>
      </c>
      <c r="T44" s="324">
        <v>0.0</v>
      </c>
      <c r="U44" s="324">
        <v>0.0</v>
      </c>
      <c r="V44" s="324">
        <v>0.0</v>
      </c>
      <c r="W44" s="322">
        <v>0.0</v>
      </c>
      <c r="X44" s="329">
        <v>0.0</v>
      </c>
      <c r="Y44" s="322">
        <v>0.0</v>
      </c>
      <c r="Z44" s="322">
        <v>1.0</v>
      </c>
    </row>
    <row r="45" ht="15.75" customHeight="1">
      <c r="A45" s="326" t="s">
        <v>277</v>
      </c>
      <c r="B45" s="327">
        <v>45315.0</v>
      </c>
      <c r="C45" s="319" t="str">
        <f t="shared" si="1"/>
        <v>Q1 2024</v>
      </c>
      <c r="D45" s="328">
        <v>5000.0</v>
      </c>
      <c r="E45" s="324">
        <v>0.0</v>
      </c>
      <c r="F45" s="324">
        <v>0.0</v>
      </c>
      <c r="G45" s="324">
        <v>0.0</v>
      </c>
      <c r="H45" s="324">
        <v>0.0</v>
      </c>
      <c r="I45" s="324">
        <v>0.0</v>
      </c>
      <c r="J45" s="324">
        <v>0.0</v>
      </c>
      <c r="K45" s="324">
        <v>0.0</v>
      </c>
      <c r="L45" s="324">
        <v>0.0</v>
      </c>
      <c r="M45" s="324">
        <v>0.0</v>
      </c>
      <c r="N45" s="324">
        <v>0.0</v>
      </c>
      <c r="O45" s="324">
        <v>0.0</v>
      </c>
      <c r="P45" s="324">
        <v>0.0</v>
      </c>
      <c r="Q45" s="324">
        <v>0.0</v>
      </c>
      <c r="R45" s="324">
        <v>0.0</v>
      </c>
      <c r="S45" s="324">
        <v>0.0</v>
      </c>
      <c r="T45" s="324">
        <v>0.0</v>
      </c>
      <c r="U45" s="324">
        <v>0.0</v>
      </c>
      <c r="V45" s="324">
        <v>0.0</v>
      </c>
      <c r="W45" s="322">
        <v>0.0</v>
      </c>
      <c r="X45" s="329">
        <v>0.0</v>
      </c>
      <c r="Y45" s="322">
        <v>0.0</v>
      </c>
      <c r="Z45" s="322">
        <v>1.0</v>
      </c>
    </row>
    <row r="46" ht="15.75" customHeight="1">
      <c r="A46" s="326" t="s">
        <v>278</v>
      </c>
      <c r="B46" s="327">
        <v>45315.0</v>
      </c>
      <c r="C46" s="319" t="str">
        <f t="shared" si="1"/>
        <v>Q1 2024</v>
      </c>
      <c r="D46" s="328">
        <v>12000.0</v>
      </c>
      <c r="E46" s="324">
        <v>0.0</v>
      </c>
      <c r="F46" s="324">
        <v>0.0</v>
      </c>
      <c r="G46" s="324">
        <v>0.0</v>
      </c>
      <c r="H46" s="324">
        <v>0.0</v>
      </c>
      <c r="I46" s="324">
        <v>0.0</v>
      </c>
      <c r="J46" s="324">
        <v>0.0</v>
      </c>
      <c r="K46" s="324">
        <v>0.0</v>
      </c>
      <c r="L46" s="324">
        <v>0.0</v>
      </c>
      <c r="M46" s="324">
        <v>0.0</v>
      </c>
      <c r="N46" s="324">
        <v>0.0</v>
      </c>
      <c r="O46" s="324">
        <v>0.0</v>
      </c>
      <c r="P46" s="324">
        <v>0.0</v>
      </c>
      <c r="Q46" s="324">
        <v>0.0</v>
      </c>
      <c r="R46" s="324">
        <v>0.0</v>
      </c>
      <c r="S46" s="324">
        <v>0.0</v>
      </c>
      <c r="T46" s="324">
        <v>0.0</v>
      </c>
      <c r="U46" s="324">
        <v>0.0</v>
      </c>
      <c r="V46" s="324">
        <v>0.0</v>
      </c>
      <c r="W46" s="322">
        <v>0.0</v>
      </c>
      <c r="X46" s="329">
        <v>0.0</v>
      </c>
      <c r="Y46" s="322">
        <v>1.0</v>
      </c>
      <c r="Z46" s="323">
        <v>7.0</v>
      </c>
    </row>
    <row r="47" ht="15.75" customHeight="1">
      <c r="A47" s="326" t="s">
        <v>279</v>
      </c>
      <c r="B47" s="327">
        <v>45346.0</v>
      </c>
      <c r="C47" s="319" t="str">
        <f t="shared" si="1"/>
        <v>Q1 2024</v>
      </c>
      <c r="D47" s="328">
        <v>15000.0</v>
      </c>
      <c r="E47" s="324">
        <v>0.0</v>
      </c>
      <c r="F47" s="324">
        <v>0.0</v>
      </c>
      <c r="G47" s="324">
        <v>0.0</v>
      </c>
      <c r="H47" s="324">
        <v>0.0</v>
      </c>
      <c r="I47" s="324">
        <v>0.0</v>
      </c>
      <c r="J47" s="324">
        <v>0.0</v>
      </c>
      <c r="K47" s="324">
        <v>0.0</v>
      </c>
      <c r="L47" s="324">
        <v>0.0</v>
      </c>
      <c r="M47" s="324">
        <v>0.0</v>
      </c>
      <c r="N47" s="324">
        <v>0.0</v>
      </c>
      <c r="O47" s="324">
        <v>0.0</v>
      </c>
      <c r="P47" s="324">
        <v>0.0</v>
      </c>
      <c r="Q47" s="324">
        <v>0.0</v>
      </c>
      <c r="R47" s="324">
        <v>0.0</v>
      </c>
      <c r="S47" s="324">
        <v>0.0</v>
      </c>
      <c r="T47" s="324">
        <v>0.0</v>
      </c>
      <c r="U47" s="324">
        <v>0.0</v>
      </c>
      <c r="V47" s="324">
        <v>0.0</v>
      </c>
      <c r="W47" s="322">
        <v>0.0</v>
      </c>
      <c r="X47" s="322">
        <v>0.0</v>
      </c>
      <c r="Y47" s="329">
        <v>0.0</v>
      </c>
      <c r="Z47" s="322">
        <v>4.0</v>
      </c>
    </row>
    <row r="48" ht="15.75" customHeight="1">
      <c r="A48" s="326" t="s">
        <v>280</v>
      </c>
      <c r="B48" s="327">
        <v>45375.0</v>
      </c>
      <c r="C48" s="319" t="str">
        <f t="shared" si="1"/>
        <v>Q1 2024</v>
      </c>
      <c r="D48" s="328">
        <v>20000.0</v>
      </c>
      <c r="E48" s="324">
        <v>0.0</v>
      </c>
      <c r="F48" s="324">
        <v>0.0</v>
      </c>
      <c r="G48" s="324">
        <v>0.0</v>
      </c>
      <c r="H48" s="324">
        <v>0.0</v>
      </c>
      <c r="I48" s="324">
        <v>0.0</v>
      </c>
      <c r="J48" s="324">
        <v>0.0</v>
      </c>
      <c r="K48" s="324">
        <v>0.0</v>
      </c>
      <c r="L48" s="324">
        <v>0.0</v>
      </c>
      <c r="M48" s="324">
        <v>0.0</v>
      </c>
      <c r="N48" s="324">
        <v>0.0</v>
      </c>
      <c r="O48" s="324">
        <v>0.0</v>
      </c>
      <c r="P48" s="324">
        <v>0.0</v>
      </c>
      <c r="Q48" s="324">
        <v>0.0</v>
      </c>
      <c r="R48" s="324">
        <v>0.0</v>
      </c>
      <c r="S48" s="324">
        <v>0.0</v>
      </c>
      <c r="T48" s="324">
        <v>0.0</v>
      </c>
      <c r="U48" s="324">
        <v>0.0</v>
      </c>
      <c r="V48" s="324">
        <v>0.0</v>
      </c>
      <c r="W48" s="322">
        <v>0.0</v>
      </c>
      <c r="X48" s="322">
        <v>0.0</v>
      </c>
      <c r="Y48" s="322">
        <v>0.0</v>
      </c>
      <c r="Z48" s="329">
        <v>1.0</v>
      </c>
    </row>
    <row r="49" ht="15.75" customHeight="1">
      <c r="C49" s="319"/>
    </row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A1"/>
  </hyperlinks>
  <printOptions/>
  <pageMargins bottom="0.75" footer="0.0" header="0.0" left="0.7" right="0.7" top="0.75"/>
  <pageSetup orientation="landscape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0"/>
  <cols>
    <col customWidth="1" min="1" max="2" width="17.88"/>
    <col customWidth="1" min="3" max="6" width="12.63"/>
  </cols>
  <sheetData>
    <row r="1">
      <c r="A1" s="313" t="s">
        <v>231</v>
      </c>
      <c r="B1" s="313"/>
      <c r="G1" s="314"/>
      <c r="H1" s="31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256"/>
      <c r="AA1" s="256"/>
      <c r="AB1" s="256"/>
      <c r="AC1" s="256"/>
      <c r="AD1" s="256"/>
      <c r="AE1" s="256"/>
    </row>
    <row r="2">
      <c r="A2" s="256" t="s">
        <v>232</v>
      </c>
      <c r="B2" s="256" t="s">
        <v>233</v>
      </c>
      <c r="C2" s="256" t="s">
        <v>234</v>
      </c>
      <c r="D2" s="256" t="s">
        <v>21</v>
      </c>
      <c r="E2" s="315">
        <v>44652.0</v>
      </c>
      <c r="F2" s="316">
        <v>44682.0</v>
      </c>
      <c r="G2" s="316">
        <v>44713.0</v>
      </c>
      <c r="H2" s="316">
        <v>44743.0</v>
      </c>
      <c r="I2" s="316">
        <v>44774.0</v>
      </c>
      <c r="J2" s="316">
        <v>44805.0</v>
      </c>
      <c r="K2" s="316">
        <v>44835.0</v>
      </c>
      <c r="L2" s="316">
        <v>44866.0</v>
      </c>
      <c r="M2" s="316">
        <v>44896.0</v>
      </c>
      <c r="N2" s="316">
        <v>44986.0</v>
      </c>
      <c r="O2" s="316">
        <v>45017.0</v>
      </c>
      <c r="P2" s="316">
        <v>45047.0</v>
      </c>
      <c r="Q2" s="316">
        <v>45078.0</v>
      </c>
      <c r="R2" s="316">
        <v>45108.0</v>
      </c>
      <c r="S2" s="316">
        <v>45139.0</v>
      </c>
      <c r="T2" s="316">
        <v>45170.0</v>
      </c>
      <c r="U2" s="316">
        <v>45200.0</v>
      </c>
      <c r="V2" s="316">
        <v>45231.0</v>
      </c>
      <c r="W2" s="316">
        <v>45261.0</v>
      </c>
      <c r="X2" s="316">
        <v>45292.0</v>
      </c>
      <c r="Y2" s="317">
        <v>45323.0</v>
      </c>
      <c r="Z2" s="317">
        <v>45352.0</v>
      </c>
      <c r="AA2" s="256"/>
      <c r="AB2" s="256"/>
      <c r="AC2" s="256"/>
      <c r="AD2" s="256"/>
      <c r="AE2" s="256"/>
    </row>
    <row r="3">
      <c r="A3" s="193" t="s">
        <v>235</v>
      </c>
      <c r="B3" s="318">
        <v>44645.0</v>
      </c>
      <c r="C3" s="319" t="str">
        <f t="shared" ref="C3:C48" si="1">"Q" &amp; INT((MONTH(B3)-1)/3) + 1 &amp; " " &amp; YEAR(B3)</f>
        <v>Q1 2022</v>
      </c>
      <c r="D3" s="320">
        <v>25000.0</v>
      </c>
      <c r="E3" s="321">
        <v>0.0</v>
      </c>
      <c r="F3" s="322">
        <v>0.0</v>
      </c>
      <c r="G3" s="322">
        <v>0.0</v>
      </c>
      <c r="H3" s="322">
        <v>0.0</v>
      </c>
      <c r="I3" s="322">
        <v>1.0</v>
      </c>
      <c r="J3" s="322">
        <v>0.0</v>
      </c>
      <c r="K3" s="322">
        <v>0.0</v>
      </c>
      <c r="L3" s="322">
        <v>4.0</v>
      </c>
      <c r="M3" s="322">
        <v>0.0</v>
      </c>
      <c r="N3" s="323">
        <v>2.0</v>
      </c>
      <c r="O3" s="323">
        <v>0.0</v>
      </c>
      <c r="P3" s="323">
        <v>0.0</v>
      </c>
      <c r="Q3" s="323">
        <v>0.0</v>
      </c>
      <c r="R3" s="323">
        <v>3.0</v>
      </c>
      <c r="S3" s="323">
        <v>5.0</v>
      </c>
      <c r="T3" s="323">
        <v>0.0</v>
      </c>
      <c r="U3" s="323">
        <v>4.0</v>
      </c>
      <c r="V3" s="323">
        <v>0.0</v>
      </c>
      <c r="W3" s="323">
        <v>1.0</v>
      </c>
      <c r="X3" s="323">
        <v>1.0</v>
      </c>
      <c r="Y3" s="323">
        <v>0.0</v>
      </c>
      <c r="Z3" s="323">
        <v>0.0</v>
      </c>
    </row>
    <row r="4">
      <c r="A4" s="193" t="s">
        <v>236</v>
      </c>
      <c r="B4" s="319">
        <v>44795.0</v>
      </c>
      <c r="C4" s="319" t="str">
        <f t="shared" si="1"/>
        <v>Q3 2022</v>
      </c>
      <c r="D4" s="320">
        <v>3000.0</v>
      </c>
      <c r="E4" s="324">
        <v>0.0</v>
      </c>
      <c r="F4" s="322">
        <v>0.0</v>
      </c>
      <c r="G4" s="322">
        <v>0.0</v>
      </c>
      <c r="H4" s="322">
        <v>0.0</v>
      </c>
      <c r="I4" s="321">
        <v>3.0</v>
      </c>
      <c r="J4" s="322">
        <v>7.0</v>
      </c>
      <c r="K4" s="322">
        <v>0.0</v>
      </c>
      <c r="L4" s="322">
        <v>0.0</v>
      </c>
      <c r="M4" s="322">
        <v>0.0</v>
      </c>
      <c r="N4" s="323">
        <v>3.0</v>
      </c>
      <c r="O4" s="323">
        <v>2.0</v>
      </c>
      <c r="P4" s="323">
        <v>1.0</v>
      </c>
      <c r="Q4" s="323">
        <v>0.0</v>
      </c>
      <c r="R4" s="323">
        <v>0.0</v>
      </c>
      <c r="S4" s="323">
        <v>0.0</v>
      </c>
      <c r="T4" s="323">
        <v>0.0</v>
      </c>
      <c r="U4" s="323">
        <v>0.0</v>
      </c>
      <c r="V4" s="323">
        <v>1.0</v>
      </c>
      <c r="W4" s="323">
        <v>0.0</v>
      </c>
      <c r="X4" s="323">
        <v>0.0</v>
      </c>
      <c r="Y4" s="323">
        <v>0.0</v>
      </c>
      <c r="Z4" s="323">
        <v>0.0</v>
      </c>
    </row>
    <row r="5">
      <c r="A5" s="193" t="s">
        <v>237</v>
      </c>
      <c r="B5" s="319">
        <v>44795.0</v>
      </c>
      <c r="C5" s="319" t="str">
        <f t="shared" si="1"/>
        <v>Q3 2022</v>
      </c>
      <c r="D5" s="320">
        <v>7500.0</v>
      </c>
      <c r="E5" s="324">
        <v>0.0</v>
      </c>
      <c r="F5" s="322">
        <v>0.0</v>
      </c>
      <c r="G5" s="322">
        <v>0.0</v>
      </c>
      <c r="H5" s="322">
        <v>0.0</v>
      </c>
      <c r="I5" s="321">
        <v>19.0</v>
      </c>
      <c r="J5" s="322">
        <v>12.0</v>
      </c>
      <c r="K5" s="322">
        <v>9.0</v>
      </c>
      <c r="L5" s="322">
        <v>17.0</v>
      </c>
      <c r="M5" s="322">
        <v>15.0</v>
      </c>
      <c r="N5" s="323">
        <v>3.0</v>
      </c>
      <c r="O5" s="323">
        <v>22.0</v>
      </c>
      <c r="P5" s="323">
        <v>11.0</v>
      </c>
      <c r="Q5" s="323">
        <v>12.0</v>
      </c>
      <c r="R5" s="323">
        <v>10.0</v>
      </c>
      <c r="S5" s="323">
        <v>4.0</v>
      </c>
      <c r="T5" s="323">
        <v>5.0</v>
      </c>
      <c r="U5" s="323">
        <v>15.0</v>
      </c>
      <c r="V5" s="323">
        <v>7.0</v>
      </c>
      <c r="W5" s="323">
        <v>7.0</v>
      </c>
      <c r="X5" s="323">
        <v>7.0</v>
      </c>
      <c r="Y5" s="323">
        <v>8.0</v>
      </c>
      <c r="Z5" s="323">
        <v>3.0</v>
      </c>
    </row>
    <row r="6">
      <c r="A6" s="193" t="s">
        <v>238</v>
      </c>
      <c r="B6" s="319">
        <v>44795.0</v>
      </c>
      <c r="C6" s="319" t="str">
        <f t="shared" si="1"/>
        <v>Q3 2022</v>
      </c>
      <c r="D6" s="320">
        <v>8000.0</v>
      </c>
      <c r="E6" s="324">
        <v>0.0</v>
      </c>
      <c r="F6" s="322">
        <v>0.0</v>
      </c>
      <c r="G6" s="322">
        <v>0.0</v>
      </c>
      <c r="H6" s="322">
        <v>0.0</v>
      </c>
      <c r="I6" s="321">
        <v>5.0</v>
      </c>
      <c r="J6" s="322">
        <v>5.0</v>
      </c>
      <c r="K6" s="322">
        <v>6.0</v>
      </c>
      <c r="L6" s="322">
        <v>8.0</v>
      </c>
      <c r="M6" s="322">
        <v>4.0</v>
      </c>
      <c r="N6" s="323">
        <v>6.0</v>
      </c>
      <c r="O6" s="323">
        <v>5.0</v>
      </c>
      <c r="P6" s="323">
        <v>5.0</v>
      </c>
      <c r="Q6" s="323">
        <v>3.0</v>
      </c>
      <c r="R6" s="323">
        <v>3.0</v>
      </c>
      <c r="S6" s="323">
        <v>2.0</v>
      </c>
      <c r="T6" s="323">
        <v>4.0</v>
      </c>
      <c r="U6" s="323">
        <v>1.0</v>
      </c>
      <c r="V6" s="323">
        <v>2.0</v>
      </c>
      <c r="W6" s="323">
        <v>3.0</v>
      </c>
      <c r="X6" s="323">
        <v>1.0</v>
      </c>
      <c r="Y6" s="323">
        <v>3.0</v>
      </c>
      <c r="Z6" s="323">
        <v>3.0</v>
      </c>
    </row>
    <row r="7">
      <c r="A7" s="193" t="s">
        <v>239</v>
      </c>
      <c r="B7" s="319">
        <v>44856.0</v>
      </c>
      <c r="C7" s="319" t="str">
        <f t="shared" si="1"/>
        <v>Q4 2022</v>
      </c>
      <c r="D7" s="320">
        <v>10000.0</v>
      </c>
      <c r="E7" s="324">
        <v>0.0</v>
      </c>
      <c r="F7" s="322">
        <v>0.0</v>
      </c>
      <c r="G7" s="322">
        <v>0.0</v>
      </c>
      <c r="H7" s="322">
        <v>0.0</v>
      </c>
      <c r="I7" s="322">
        <v>0.0</v>
      </c>
      <c r="J7" s="322">
        <v>1.0</v>
      </c>
      <c r="K7" s="321">
        <v>4.0</v>
      </c>
      <c r="L7" s="322">
        <v>2.0</v>
      </c>
      <c r="M7" s="322">
        <v>4.0</v>
      </c>
      <c r="N7" s="323">
        <v>7.0</v>
      </c>
      <c r="O7" s="323">
        <v>1.0</v>
      </c>
      <c r="P7" s="323">
        <v>7.0</v>
      </c>
      <c r="Q7" s="323">
        <v>1.0</v>
      </c>
      <c r="R7" s="323">
        <v>3.0</v>
      </c>
      <c r="S7" s="323">
        <v>0.0</v>
      </c>
      <c r="T7" s="323">
        <v>5.0</v>
      </c>
      <c r="U7" s="323">
        <v>6.0</v>
      </c>
      <c r="V7" s="323">
        <v>0.0</v>
      </c>
      <c r="W7" s="323">
        <v>1.0</v>
      </c>
      <c r="X7" s="323">
        <v>3.0</v>
      </c>
      <c r="Y7" s="323">
        <v>2.0</v>
      </c>
      <c r="Z7" s="323">
        <v>6.0</v>
      </c>
    </row>
    <row r="8">
      <c r="A8" s="193" t="s">
        <v>240</v>
      </c>
      <c r="B8" s="319">
        <v>44857.0</v>
      </c>
      <c r="C8" s="319" t="str">
        <f t="shared" si="1"/>
        <v>Q4 2022</v>
      </c>
      <c r="D8" s="320">
        <v>2000.0</v>
      </c>
      <c r="E8" s="324">
        <v>0.0</v>
      </c>
      <c r="F8" s="322">
        <v>0.0</v>
      </c>
      <c r="G8" s="322">
        <v>0.0</v>
      </c>
      <c r="H8" s="322">
        <v>0.0</v>
      </c>
      <c r="I8" s="322">
        <v>0.0</v>
      </c>
      <c r="J8" s="322">
        <v>0.0</v>
      </c>
      <c r="K8" s="321">
        <v>0.0</v>
      </c>
      <c r="L8" s="322">
        <v>0.0</v>
      </c>
      <c r="M8" s="322">
        <v>0.0</v>
      </c>
      <c r="N8" s="323">
        <v>2.0</v>
      </c>
      <c r="O8" s="323">
        <v>0.0</v>
      </c>
      <c r="P8" s="323">
        <v>2.0</v>
      </c>
      <c r="Q8" s="323">
        <v>1.0</v>
      </c>
      <c r="R8" s="323">
        <v>1.0</v>
      </c>
      <c r="S8" s="323">
        <v>3.0</v>
      </c>
      <c r="T8" s="323">
        <v>2.0</v>
      </c>
      <c r="U8" s="323">
        <v>2.0</v>
      </c>
      <c r="V8" s="323">
        <v>1.0</v>
      </c>
      <c r="W8" s="323">
        <v>1.0</v>
      </c>
      <c r="X8" s="323">
        <v>0.0</v>
      </c>
      <c r="Y8" s="323">
        <v>3.0</v>
      </c>
      <c r="Z8" s="323">
        <v>0.0</v>
      </c>
    </row>
    <row r="9">
      <c r="A9" s="193" t="s">
        <v>241</v>
      </c>
      <c r="B9" s="319">
        <v>44887.0</v>
      </c>
      <c r="C9" s="319" t="str">
        <f t="shared" si="1"/>
        <v>Q4 2022</v>
      </c>
      <c r="D9" s="320">
        <v>1200.0</v>
      </c>
      <c r="E9" s="324">
        <v>0.0</v>
      </c>
      <c r="F9" s="322">
        <v>0.0</v>
      </c>
      <c r="G9" s="322">
        <v>0.0</v>
      </c>
      <c r="H9" s="322">
        <v>0.0</v>
      </c>
      <c r="I9" s="322">
        <v>0.0</v>
      </c>
      <c r="J9" s="322">
        <v>0.0</v>
      </c>
      <c r="K9" s="322">
        <v>0.0</v>
      </c>
      <c r="L9" s="321">
        <v>3.0</v>
      </c>
      <c r="M9" s="322">
        <v>3.0</v>
      </c>
      <c r="N9" s="323">
        <v>12.0</v>
      </c>
      <c r="O9" s="323">
        <v>0.0</v>
      </c>
      <c r="P9" s="323">
        <v>4.0</v>
      </c>
      <c r="Q9" s="323">
        <v>3.0</v>
      </c>
      <c r="R9" s="323">
        <v>0.0</v>
      </c>
      <c r="S9" s="323">
        <v>0.0</v>
      </c>
      <c r="T9" s="323">
        <v>1.0</v>
      </c>
      <c r="U9" s="323">
        <v>2.0</v>
      </c>
      <c r="V9" s="323">
        <v>1.0</v>
      </c>
      <c r="W9" s="323">
        <v>1.0</v>
      </c>
      <c r="X9" s="323">
        <v>0.0</v>
      </c>
      <c r="Y9" s="323">
        <v>2.0</v>
      </c>
      <c r="Z9" s="323">
        <v>4.0</v>
      </c>
    </row>
    <row r="10">
      <c r="A10" s="193" t="s">
        <v>242</v>
      </c>
      <c r="B10" s="319">
        <v>44887.0</v>
      </c>
      <c r="C10" s="319" t="str">
        <f t="shared" si="1"/>
        <v>Q4 2022</v>
      </c>
      <c r="D10" s="320">
        <v>2000.0</v>
      </c>
      <c r="E10" s="324">
        <v>0.0</v>
      </c>
      <c r="F10" s="322">
        <v>0.0</v>
      </c>
      <c r="G10" s="322">
        <v>0.0</v>
      </c>
      <c r="H10" s="322">
        <v>0.0</v>
      </c>
      <c r="I10" s="322">
        <v>0.0</v>
      </c>
      <c r="J10" s="322">
        <v>0.0</v>
      </c>
      <c r="K10" s="324">
        <v>3.0</v>
      </c>
      <c r="L10" s="321">
        <v>2.0</v>
      </c>
      <c r="M10" s="322">
        <v>2.0</v>
      </c>
      <c r="N10" s="323">
        <v>7.0</v>
      </c>
      <c r="O10" s="323">
        <v>1.0</v>
      </c>
      <c r="P10" s="323">
        <v>4.0</v>
      </c>
      <c r="Q10" s="323">
        <v>0.0</v>
      </c>
      <c r="R10" s="323">
        <v>1.0</v>
      </c>
      <c r="S10" s="323">
        <v>3.0</v>
      </c>
      <c r="T10" s="323">
        <v>3.0</v>
      </c>
      <c r="U10" s="323">
        <v>1.0</v>
      </c>
      <c r="V10" s="323">
        <v>2.0</v>
      </c>
      <c r="W10" s="323">
        <v>1.0</v>
      </c>
      <c r="X10" s="323">
        <v>3.0</v>
      </c>
      <c r="Y10" s="323">
        <v>1.0</v>
      </c>
      <c r="Z10" s="323">
        <v>0.0</v>
      </c>
    </row>
    <row r="11">
      <c r="A11" s="193" t="s">
        <v>243</v>
      </c>
      <c r="B11" s="319">
        <v>44917.0</v>
      </c>
      <c r="C11" s="319" t="str">
        <f t="shared" si="1"/>
        <v>Q4 2022</v>
      </c>
      <c r="D11" s="320">
        <v>2000.0</v>
      </c>
      <c r="E11" s="324">
        <v>0.0</v>
      </c>
      <c r="F11" s="322">
        <v>0.0</v>
      </c>
      <c r="G11" s="322">
        <v>0.0</v>
      </c>
      <c r="H11" s="322">
        <v>0.0</v>
      </c>
      <c r="I11" s="322">
        <v>0.0</v>
      </c>
      <c r="J11" s="322">
        <v>0.0</v>
      </c>
      <c r="K11" s="322">
        <v>0.0</v>
      </c>
      <c r="L11" s="322">
        <v>0.0</v>
      </c>
      <c r="M11" s="321">
        <v>0.0</v>
      </c>
      <c r="N11" s="323">
        <v>7.0</v>
      </c>
      <c r="O11" s="323">
        <v>3.0</v>
      </c>
      <c r="P11" s="323">
        <v>3.0</v>
      </c>
      <c r="Q11" s="323">
        <v>8.0</v>
      </c>
      <c r="R11" s="323">
        <v>2.0</v>
      </c>
      <c r="S11" s="323">
        <v>8.0</v>
      </c>
      <c r="T11" s="323">
        <v>7.0</v>
      </c>
      <c r="U11" s="323">
        <v>1.0</v>
      </c>
      <c r="V11" s="323">
        <v>4.0</v>
      </c>
      <c r="W11" s="323">
        <v>3.0</v>
      </c>
      <c r="X11" s="323">
        <v>2.0</v>
      </c>
      <c r="Y11" s="323">
        <v>5.0</v>
      </c>
      <c r="Z11" s="323">
        <v>5.0</v>
      </c>
    </row>
    <row r="12">
      <c r="A12" s="193" t="s">
        <v>244</v>
      </c>
      <c r="B12" s="319">
        <v>44917.0</v>
      </c>
      <c r="C12" s="319" t="str">
        <f t="shared" si="1"/>
        <v>Q4 2022</v>
      </c>
      <c r="D12" s="320">
        <v>10000.0</v>
      </c>
      <c r="E12" s="324">
        <v>0.0</v>
      </c>
      <c r="F12" s="322">
        <v>0.0</v>
      </c>
      <c r="G12" s="322">
        <v>0.0</v>
      </c>
      <c r="H12" s="322">
        <v>0.0</v>
      </c>
      <c r="I12" s="322">
        <v>0.0</v>
      </c>
      <c r="J12" s="322">
        <v>0.0</v>
      </c>
      <c r="K12" s="322">
        <v>0.0</v>
      </c>
      <c r="L12" s="322">
        <v>0.0</v>
      </c>
      <c r="M12" s="321">
        <v>0.0</v>
      </c>
      <c r="N12" s="323">
        <v>2.0</v>
      </c>
      <c r="O12" s="323">
        <v>0.0</v>
      </c>
      <c r="P12" s="323">
        <v>1.0</v>
      </c>
      <c r="Q12" s="323">
        <v>2.0</v>
      </c>
      <c r="R12" s="323">
        <v>0.0</v>
      </c>
      <c r="S12" s="323">
        <v>5.0</v>
      </c>
      <c r="T12" s="323">
        <v>1.0</v>
      </c>
      <c r="U12" s="323">
        <v>4.0</v>
      </c>
      <c r="V12" s="323">
        <v>4.0</v>
      </c>
      <c r="W12" s="323">
        <v>1.0</v>
      </c>
      <c r="X12" s="323">
        <v>2.0</v>
      </c>
      <c r="Y12" s="323">
        <v>3.0</v>
      </c>
      <c r="Z12" s="323">
        <v>3.0</v>
      </c>
    </row>
    <row r="13">
      <c r="A13" s="193" t="s">
        <v>245</v>
      </c>
      <c r="B13" s="319">
        <v>44917.0</v>
      </c>
      <c r="C13" s="319" t="str">
        <f t="shared" si="1"/>
        <v>Q4 2022</v>
      </c>
      <c r="D13" s="320">
        <v>10000.0</v>
      </c>
      <c r="E13" s="324">
        <v>0.0</v>
      </c>
      <c r="F13" s="322">
        <v>0.0</v>
      </c>
      <c r="G13" s="322">
        <v>0.0</v>
      </c>
      <c r="H13" s="322">
        <v>0.0</v>
      </c>
      <c r="I13" s="322">
        <v>0.0</v>
      </c>
      <c r="J13" s="322">
        <v>0.0</v>
      </c>
      <c r="K13" s="322">
        <v>0.0</v>
      </c>
      <c r="L13" s="322">
        <v>0.0</v>
      </c>
      <c r="M13" s="321">
        <v>0.0</v>
      </c>
      <c r="N13" s="323">
        <v>0.0</v>
      </c>
      <c r="O13" s="323">
        <v>0.0</v>
      </c>
      <c r="P13" s="323">
        <v>1.0</v>
      </c>
      <c r="Q13" s="323">
        <v>1.0</v>
      </c>
      <c r="R13" s="323">
        <v>2.0</v>
      </c>
      <c r="S13" s="323">
        <v>6.0</v>
      </c>
      <c r="T13" s="323">
        <v>3.0</v>
      </c>
      <c r="U13" s="323">
        <v>2.0</v>
      </c>
      <c r="V13" s="323">
        <v>7.0</v>
      </c>
      <c r="W13" s="323">
        <v>1.0</v>
      </c>
      <c r="X13" s="323">
        <v>1.0</v>
      </c>
      <c r="Y13" s="323">
        <v>4.0</v>
      </c>
      <c r="Z13" s="323">
        <v>1.0</v>
      </c>
    </row>
    <row r="14">
      <c r="A14" s="193" t="s">
        <v>246</v>
      </c>
      <c r="B14" s="319">
        <v>44917.0</v>
      </c>
      <c r="C14" s="319" t="str">
        <f t="shared" si="1"/>
        <v>Q4 2022</v>
      </c>
      <c r="D14" s="320">
        <v>3000.0</v>
      </c>
      <c r="E14" s="324">
        <v>0.0</v>
      </c>
      <c r="F14" s="322">
        <v>0.0</v>
      </c>
      <c r="G14" s="322">
        <v>0.0</v>
      </c>
      <c r="H14" s="322">
        <v>0.0</v>
      </c>
      <c r="I14" s="322">
        <v>0.0</v>
      </c>
      <c r="J14" s="322">
        <v>0.0</v>
      </c>
      <c r="K14" s="322">
        <v>0.0</v>
      </c>
      <c r="L14" s="324">
        <v>0.0</v>
      </c>
      <c r="M14" s="321">
        <v>1.0</v>
      </c>
      <c r="N14" s="323">
        <v>8.0</v>
      </c>
      <c r="O14" s="323">
        <v>3.0</v>
      </c>
      <c r="P14" s="323">
        <v>8.0</v>
      </c>
      <c r="Q14" s="323">
        <v>2.0</v>
      </c>
      <c r="R14" s="323">
        <v>5.0</v>
      </c>
      <c r="S14" s="323">
        <v>5.0</v>
      </c>
      <c r="T14" s="323">
        <v>4.0</v>
      </c>
      <c r="U14" s="323">
        <v>1.0</v>
      </c>
      <c r="V14" s="323">
        <v>7.0</v>
      </c>
      <c r="W14" s="323">
        <v>3.0</v>
      </c>
      <c r="X14" s="323">
        <v>4.0</v>
      </c>
      <c r="Y14" s="323">
        <v>5.0</v>
      </c>
      <c r="Z14" s="323">
        <v>2.0</v>
      </c>
    </row>
    <row r="15">
      <c r="A15" s="193" t="s">
        <v>247</v>
      </c>
      <c r="B15" s="319">
        <v>44949.0</v>
      </c>
      <c r="C15" s="319" t="str">
        <f t="shared" si="1"/>
        <v>Q1 2023</v>
      </c>
      <c r="D15" s="320">
        <v>50000.0</v>
      </c>
      <c r="E15" s="324">
        <v>0.0</v>
      </c>
      <c r="F15" s="322">
        <v>0.0</v>
      </c>
      <c r="G15" s="322">
        <v>0.0</v>
      </c>
      <c r="H15" s="322">
        <v>0.0</v>
      </c>
      <c r="I15" s="322">
        <v>0.0</v>
      </c>
      <c r="J15" s="322">
        <v>0.0</v>
      </c>
      <c r="K15" s="322">
        <v>0.0</v>
      </c>
      <c r="L15" s="322">
        <v>0.0</v>
      </c>
      <c r="M15" s="322">
        <v>0.0</v>
      </c>
      <c r="N15" s="325">
        <v>16.0</v>
      </c>
      <c r="O15" s="323">
        <v>8.0</v>
      </c>
      <c r="P15" s="323">
        <v>4.0</v>
      </c>
      <c r="Q15" s="323">
        <v>1.0</v>
      </c>
      <c r="R15" s="323">
        <v>14.0</v>
      </c>
      <c r="S15" s="323">
        <v>11.0</v>
      </c>
      <c r="T15" s="323">
        <v>2.0</v>
      </c>
      <c r="U15" s="323">
        <v>5.0</v>
      </c>
      <c r="V15" s="323">
        <v>5.0</v>
      </c>
      <c r="W15" s="323">
        <v>5.0</v>
      </c>
      <c r="X15" s="323">
        <v>6.0</v>
      </c>
      <c r="Y15" s="323">
        <v>8.0</v>
      </c>
      <c r="Z15" s="323">
        <v>6.0</v>
      </c>
    </row>
    <row r="16">
      <c r="A16" s="193" t="s">
        <v>248</v>
      </c>
      <c r="B16" s="319">
        <v>44980.0</v>
      </c>
      <c r="C16" s="319" t="str">
        <f t="shared" si="1"/>
        <v>Q1 2023</v>
      </c>
      <c r="D16" s="320">
        <v>13000.0</v>
      </c>
      <c r="E16" s="324">
        <v>0.0</v>
      </c>
      <c r="F16" s="322">
        <v>0.0</v>
      </c>
      <c r="G16" s="322">
        <v>0.0</v>
      </c>
      <c r="H16" s="322">
        <v>0.0</v>
      </c>
      <c r="I16" s="322">
        <v>3.0</v>
      </c>
      <c r="J16" s="322">
        <v>0.0</v>
      </c>
      <c r="K16" s="322">
        <v>1.0</v>
      </c>
      <c r="L16" s="322">
        <v>1.0</v>
      </c>
      <c r="M16" s="322">
        <v>4.0</v>
      </c>
      <c r="N16" s="323">
        <v>5.0</v>
      </c>
      <c r="O16" s="325">
        <v>5.0</v>
      </c>
      <c r="P16" s="323">
        <v>6.0</v>
      </c>
      <c r="Q16" s="323">
        <v>13.0</v>
      </c>
      <c r="R16" s="323">
        <v>8.0</v>
      </c>
      <c r="S16" s="323">
        <v>7.0</v>
      </c>
      <c r="T16" s="323">
        <v>2.0</v>
      </c>
      <c r="U16" s="323">
        <v>0.0</v>
      </c>
      <c r="V16" s="323">
        <v>2.0</v>
      </c>
      <c r="W16" s="323">
        <v>7.0</v>
      </c>
      <c r="X16" s="323">
        <v>4.0</v>
      </c>
      <c r="Y16" s="323">
        <v>4.0</v>
      </c>
      <c r="Z16" s="323">
        <v>4.0</v>
      </c>
    </row>
    <row r="17">
      <c r="A17" s="193" t="s">
        <v>249</v>
      </c>
      <c r="B17" s="319">
        <v>44980.0</v>
      </c>
      <c r="C17" s="319" t="str">
        <f t="shared" si="1"/>
        <v>Q1 2023</v>
      </c>
      <c r="D17" s="320">
        <v>1000.0</v>
      </c>
      <c r="E17" s="324">
        <v>0.0</v>
      </c>
      <c r="F17" s="322">
        <v>0.0</v>
      </c>
      <c r="G17" s="322">
        <v>0.0</v>
      </c>
      <c r="H17" s="322">
        <v>0.0</v>
      </c>
      <c r="I17" s="322">
        <v>0.0</v>
      </c>
      <c r="J17" s="322">
        <v>0.0</v>
      </c>
      <c r="K17" s="322">
        <v>0.0</v>
      </c>
      <c r="L17" s="322">
        <v>0.0</v>
      </c>
      <c r="M17" s="322">
        <v>0.0</v>
      </c>
      <c r="N17" s="323">
        <v>2.0</v>
      </c>
      <c r="O17" s="325">
        <v>0.0</v>
      </c>
      <c r="P17" s="323">
        <v>2.0</v>
      </c>
      <c r="Q17" s="323">
        <v>0.0</v>
      </c>
      <c r="R17" s="323">
        <v>1.0</v>
      </c>
      <c r="S17" s="323">
        <v>2.0</v>
      </c>
      <c r="T17" s="323">
        <v>1.0</v>
      </c>
      <c r="U17" s="323">
        <v>0.0</v>
      </c>
      <c r="V17" s="323">
        <v>1.0</v>
      </c>
      <c r="W17" s="323">
        <v>1.0</v>
      </c>
      <c r="X17" s="323">
        <v>3.0</v>
      </c>
      <c r="Y17" s="323">
        <v>0.0</v>
      </c>
      <c r="Z17" s="323">
        <v>1.0</v>
      </c>
    </row>
    <row r="18">
      <c r="A18" s="193" t="s">
        <v>250</v>
      </c>
      <c r="B18" s="319">
        <v>45008.0</v>
      </c>
      <c r="C18" s="319" t="str">
        <f t="shared" si="1"/>
        <v>Q1 2023</v>
      </c>
      <c r="D18" s="320">
        <v>25000.0</v>
      </c>
      <c r="E18" s="324">
        <v>0.0</v>
      </c>
      <c r="F18" s="322">
        <v>0.0</v>
      </c>
      <c r="G18" s="322">
        <v>0.0</v>
      </c>
      <c r="H18" s="322">
        <v>0.0</v>
      </c>
      <c r="I18" s="322">
        <v>0.0</v>
      </c>
      <c r="J18" s="322">
        <v>0.0</v>
      </c>
      <c r="K18" s="322">
        <v>0.0</v>
      </c>
      <c r="L18" s="322">
        <v>0.0</v>
      </c>
      <c r="M18" s="322">
        <v>0.0</v>
      </c>
      <c r="N18" s="323">
        <v>4.0</v>
      </c>
      <c r="O18" s="323">
        <v>3.0</v>
      </c>
      <c r="P18" s="325">
        <v>1.0</v>
      </c>
      <c r="Q18" s="323">
        <v>1.0</v>
      </c>
      <c r="R18" s="323">
        <v>12.0</v>
      </c>
      <c r="S18" s="323">
        <v>4.0</v>
      </c>
      <c r="T18" s="323">
        <v>4.0</v>
      </c>
      <c r="U18" s="323">
        <v>8.0</v>
      </c>
      <c r="V18" s="323">
        <v>8.0</v>
      </c>
      <c r="W18" s="323">
        <v>4.0</v>
      </c>
      <c r="X18" s="323">
        <v>10.0</v>
      </c>
      <c r="Y18" s="323">
        <v>11.0</v>
      </c>
      <c r="Z18" s="323">
        <v>5.0</v>
      </c>
    </row>
    <row r="19">
      <c r="A19" s="193" t="s">
        <v>251</v>
      </c>
      <c r="B19" s="319">
        <v>45008.0</v>
      </c>
      <c r="C19" s="319" t="str">
        <f t="shared" si="1"/>
        <v>Q1 2023</v>
      </c>
      <c r="D19" s="320">
        <v>15000.0</v>
      </c>
      <c r="E19" s="324">
        <v>0.0</v>
      </c>
      <c r="F19" s="322">
        <v>0.0</v>
      </c>
      <c r="G19" s="322">
        <v>0.0</v>
      </c>
      <c r="H19" s="322">
        <v>0.0</v>
      </c>
      <c r="I19" s="322">
        <v>0.0</v>
      </c>
      <c r="J19" s="322">
        <v>0.0</v>
      </c>
      <c r="K19" s="322">
        <v>0.0</v>
      </c>
      <c r="L19" s="322">
        <v>0.0</v>
      </c>
      <c r="M19" s="322">
        <v>0.0</v>
      </c>
      <c r="N19" s="323">
        <v>0.0</v>
      </c>
      <c r="O19" s="323">
        <v>3.0</v>
      </c>
      <c r="P19" s="325">
        <v>0.0</v>
      </c>
      <c r="Q19" s="323">
        <v>0.0</v>
      </c>
      <c r="R19" s="323">
        <v>0.0</v>
      </c>
      <c r="S19" s="323">
        <v>1.0</v>
      </c>
      <c r="T19" s="323">
        <v>1.0</v>
      </c>
      <c r="U19" s="323">
        <v>13.0</v>
      </c>
      <c r="V19" s="323">
        <v>5.0</v>
      </c>
      <c r="W19" s="323">
        <v>8.0</v>
      </c>
      <c r="X19" s="323">
        <v>0.0</v>
      </c>
      <c r="Y19" s="323">
        <v>0.0</v>
      </c>
      <c r="Z19" s="323">
        <v>3.0</v>
      </c>
    </row>
    <row r="20">
      <c r="A20" s="193" t="s">
        <v>252</v>
      </c>
      <c r="B20" s="319">
        <v>45008.0</v>
      </c>
      <c r="C20" s="319" t="str">
        <f t="shared" si="1"/>
        <v>Q1 2023</v>
      </c>
      <c r="D20" s="320">
        <v>5000.0</v>
      </c>
      <c r="E20" s="324">
        <v>0.0</v>
      </c>
      <c r="F20" s="322">
        <v>0.0</v>
      </c>
      <c r="G20" s="322">
        <v>0.0</v>
      </c>
      <c r="H20" s="322">
        <v>0.0</v>
      </c>
      <c r="I20" s="322">
        <v>0.0</v>
      </c>
      <c r="J20" s="322">
        <v>0.0</v>
      </c>
      <c r="K20" s="322">
        <v>0.0</v>
      </c>
      <c r="L20" s="322">
        <v>0.0</v>
      </c>
      <c r="M20" s="322">
        <v>0.0</v>
      </c>
      <c r="N20" s="323">
        <v>0.0</v>
      </c>
      <c r="O20" s="323">
        <v>0.0</v>
      </c>
      <c r="P20" s="325">
        <v>0.0</v>
      </c>
      <c r="Q20" s="323">
        <v>1.0</v>
      </c>
      <c r="R20" s="323">
        <v>0.0</v>
      </c>
      <c r="S20" s="323">
        <v>1.0</v>
      </c>
      <c r="T20" s="323">
        <v>0.0</v>
      </c>
      <c r="U20" s="323">
        <v>0.0</v>
      </c>
      <c r="V20" s="323">
        <v>0.0</v>
      </c>
      <c r="W20" s="323">
        <v>0.0</v>
      </c>
      <c r="X20" s="323">
        <v>0.0</v>
      </c>
      <c r="Y20" s="323">
        <v>0.0</v>
      </c>
      <c r="Z20" s="323">
        <v>0.0</v>
      </c>
    </row>
    <row r="21" ht="15.75" customHeight="1">
      <c r="A21" s="193" t="s">
        <v>253</v>
      </c>
      <c r="B21" s="319">
        <v>45008.0</v>
      </c>
      <c r="C21" s="319" t="str">
        <f t="shared" si="1"/>
        <v>Q1 2023</v>
      </c>
      <c r="D21" s="320">
        <v>20000.0</v>
      </c>
      <c r="E21" s="324">
        <v>0.0</v>
      </c>
      <c r="F21" s="322">
        <v>0.0</v>
      </c>
      <c r="G21" s="322">
        <v>0.0</v>
      </c>
      <c r="H21" s="322">
        <v>0.0</v>
      </c>
      <c r="I21" s="322">
        <v>0.0</v>
      </c>
      <c r="J21" s="322">
        <v>0.0</v>
      </c>
      <c r="K21" s="322">
        <v>0.0</v>
      </c>
      <c r="L21" s="322">
        <v>0.0</v>
      </c>
      <c r="M21" s="322">
        <v>0.0</v>
      </c>
      <c r="N21" s="323">
        <v>1.0</v>
      </c>
      <c r="O21" s="323">
        <v>1.0</v>
      </c>
      <c r="P21" s="325">
        <v>1.0</v>
      </c>
      <c r="Q21" s="323">
        <v>1.0</v>
      </c>
      <c r="R21" s="323">
        <v>5.0</v>
      </c>
      <c r="S21" s="323">
        <v>5.0</v>
      </c>
      <c r="T21" s="323">
        <v>5.0</v>
      </c>
      <c r="U21" s="323">
        <v>5.0</v>
      </c>
      <c r="V21" s="323">
        <v>13.0</v>
      </c>
      <c r="W21" s="323">
        <v>3.0</v>
      </c>
      <c r="X21" s="323">
        <v>9.0</v>
      </c>
      <c r="Y21" s="323">
        <v>10.0</v>
      </c>
      <c r="Z21" s="323">
        <v>3.0</v>
      </c>
    </row>
    <row r="22" ht="15.75" customHeight="1">
      <c r="A22" s="193" t="s">
        <v>254</v>
      </c>
      <c r="B22" s="319">
        <v>45008.0</v>
      </c>
      <c r="C22" s="319" t="str">
        <f t="shared" si="1"/>
        <v>Q1 2023</v>
      </c>
      <c r="D22" s="320">
        <v>5000.0</v>
      </c>
      <c r="E22" s="324">
        <v>0.0</v>
      </c>
      <c r="F22" s="322">
        <v>0.0</v>
      </c>
      <c r="G22" s="322">
        <v>0.0</v>
      </c>
      <c r="H22" s="322">
        <v>0.0</v>
      </c>
      <c r="I22" s="322">
        <v>0.0</v>
      </c>
      <c r="J22" s="322">
        <v>0.0</v>
      </c>
      <c r="K22" s="322">
        <v>0.0</v>
      </c>
      <c r="L22" s="322">
        <v>0.0</v>
      </c>
      <c r="M22" s="322">
        <v>0.0</v>
      </c>
      <c r="N22" s="323">
        <v>0.0</v>
      </c>
      <c r="O22" s="323">
        <v>4.0</v>
      </c>
      <c r="P22" s="325">
        <v>3.0</v>
      </c>
      <c r="Q22" s="323">
        <v>1.0</v>
      </c>
      <c r="R22" s="323">
        <v>0.0</v>
      </c>
      <c r="S22" s="323">
        <v>1.0</v>
      </c>
      <c r="T22" s="323">
        <v>0.0</v>
      </c>
      <c r="U22" s="323">
        <v>0.0</v>
      </c>
      <c r="V22" s="323">
        <v>1.0</v>
      </c>
      <c r="W22" s="323">
        <v>0.0</v>
      </c>
      <c r="X22" s="323">
        <v>0.0</v>
      </c>
      <c r="Y22" s="323">
        <v>1.0</v>
      </c>
      <c r="Z22" s="323">
        <v>0.0</v>
      </c>
    </row>
    <row r="23" ht="15.75" customHeight="1">
      <c r="A23" s="193" t="s">
        <v>255</v>
      </c>
      <c r="B23" s="319">
        <v>45039.0</v>
      </c>
      <c r="C23" s="319" t="str">
        <f t="shared" si="1"/>
        <v>Q2 2023</v>
      </c>
      <c r="D23" s="320">
        <v>10000.0</v>
      </c>
      <c r="E23" s="324">
        <v>0.0</v>
      </c>
      <c r="F23" s="322">
        <v>0.0</v>
      </c>
      <c r="G23" s="322">
        <v>0.0</v>
      </c>
      <c r="H23" s="322">
        <v>0.0</v>
      </c>
      <c r="I23" s="322">
        <v>0.0</v>
      </c>
      <c r="J23" s="322">
        <v>0.0</v>
      </c>
      <c r="K23" s="322">
        <v>0.0</v>
      </c>
      <c r="L23" s="322">
        <v>0.0</v>
      </c>
      <c r="M23" s="322">
        <v>0.0</v>
      </c>
      <c r="N23" s="323">
        <v>0.0</v>
      </c>
      <c r="O23" s="323">
        <v>4.0</v>
      </c>
      <c r="P23" s="323">
        <v>5.0</v>
      </c>
      <c r="Q23" s="325">
        <v>1.0</v>
      </c>
      <c r="R23" s="323">
        <v>2.0</v>
      </c>
      <c r="S23" s="323">
        <v>7.0</v>
      </c>
      <c r="T23" s="323">
        <v>2.0</v>
      </c>
      <c r="U23" s="323">
        <v>4.0</v>
      </c>
      <c r="V23" s="323">
        <v>3.0</v>
      </c>
      <c r="W23" s="323">
        <v>1.0</v>
      </c>
      <c r="X23" s="323">
        <v>1.0</v>
      </c>
      <c r="Y23" s="323">
        <v>7.0</v>
      </c>
      <c r="Z23" s="323">
        <v>5.0</v>
      </c>
    </row>
    <row r="24" ht="15.75" customHeight="1">
      <c r="A24" s="193" t="s">
        <v>256</v>
      </c>
      <c r="B24" s="319">
        <v>45069.0</v>
      </c>
      <c r="C24" s="319" t="str">
        <f t="shared" si="1"/>
        <v>Q2 2023</v>
      </c>
      <c r="D24" s="320">
        <v>15000.0</v>
      </c>
      <c r="E24" s="324">
        <v>0.0</v>
      </c>
      <c r="F24" s="324">
        <v>0.0</v>
      </c>
      <c r="G24" s="322">
        <v>0.0</v>
      </c>
      <c r="H24" s="322">
        <v>0.0</v>
      </c>
      <c r="I24" s="322">
        <v>0.0</v>
      </c>
      <c r="J24" s="322">
        <v>0.0</v>
      </c>
      <c r="K24" s="322">
        <v>0.0</v>
      </c>
      <c r="L24" s="322">
        <v>0.0</v>
      </c>
      <c r="M24" s="322">
        <v>0.0</v>
      </c>
      <c r="N24" s="323">
        <v>0.0</v>
      </c>
      <c r="O24" s="323">
        <v>0.0</v>
      </c>
      <c r="P24" s="323">
        <v>0.0</v>
      </c>
      <c r="Q24" s="323">
        <v>1.0</v>
      </c>
      <c r="R24" s="325">
        <v>1.0</v>
      </c>
      <c r="S24" s="323">
        <v>4.0</v>
      </c>
      <c r="T24" s="323">
        <v>4.0</v>
      </c>
      <c r="U24" s="323">
        <v>7.0</v>
      </c>
      <c r="V24" s="323">
        <v>4.0</v>
      </c>
      <c r="W24" s="323">
        <v>0.0</v>
      </c>
      <c r="X24" s="323">
        <v>2.0</v>
      </c>
      <c r="Y24" s="323">
        <v>2.0</v>
      </c>
      <c r="Z24" s="323">
        <v>2.0</v>
      </c>
    </row>
    <row r="25" ht="15.75" customHeight="1">
      <c r="A25" s="193" t="s">
        <v>257</v>
      </c>
      <c r="B25" s="319">
        <v>45069.0</v>
      </c>
      <c r="C25" s="319" t="str">
        <f t="shared" si="1"/>
        <v>Q2 2023</v>
      </c>
      <c r="D25" s="320">
        <v>5000.0</v>
      </c>
      <c r="E25" s="324">
        <v>0.0</v>
      </c>
      <c r="F25" s="322">
        <v>0.0</v>
      </c>
      <c r="G25" s="322">
        <v>0.0</v>
      </c>
      <c r="H25" s="322">
        <v>0.0</v>
      </c>
      <c r="I25" s="322">
        <v>0.0</v>
      </c>
      <c r="J25" s="322">
        <v>0.0</v>
      </c>
      <c r="K25" s="322">
        <v>0.0</v>
      </c>
      <c r="L25" s="322">
        <v>0.0</v>
      </c>
      <c r="M25" s="322">
        <v>0.0</v>
      </c>
      <c r="N25" s="323">
        <v>0.0</v>
      </c>
      <c r="O25" s="323">
        <v>0.0</v>
      </c>
      <c r="P25" s="323">
        <v>0.0</v>
      </c>
      <c r="Q25" s="323">
        <v>0.0</v>
      </c>
      <c r="R25" s="325">
        <v>0.0</v>
      </c>
      <c r="S25" s="323">
        <v>0.0</v>
      </c>
      <c r="T25" s="323">
        <v>1.0</v>
      </c>
      <c r="U25" s="323">
        <v>0.0</v>
      </c>
      <c r="V25" s="323">
        <v>0.0</v>
      </c>
      <c r="W25" s="323">
        <v>0.0</v>
      </c>
      <c r="X25" s="323">
        <v>0.0</v>
      </c>
      <c r="Y25" s="323">
        <v>0.0</v>
      </c>
      <c r="Z25" s="323">
        <v>1.0</v>
      </c>
    </row>
    <row r="26" ht="15.75" customHeight="1">
      <c r="A26" s="193" t="s">
        <v>258</v>
      </c>
      <c r="B26" s="319">
        <v>45069.0</v>
      </c>
      <c r="C26" s="319" t="str">
        <f t="shared" si="1"/>
        <v>Q2 2023</v>
      </c>
      <c r="D26" s="320">
        <v>30000.0</v>
      </c>
      <c r="E26" s="324">
        <v>0.0</v>
      </c>
      <c r="F26" s="322">
        <v>0.0</v>
      </c>
      <c r="G26" s="322">
        <v>0.0</v>
      </c>
      <c r="H26" s="322">
        <v>0.0</v>
      </c>
      <c r="I26" s="322">
        <v>0.0</v>
      </c>
      <c r="J26" s="322">
        <v>0.0</v>
      </c>
      <c r="K26" s="322">
        <v>0.0</v>
      </c>
      <c r="L26" s="322">
        <v>0.0</v>
      </c>
      <c r="M26" s="322">
        <v>0.0</v>
      </c>
      <c r="N26" s="323">
        <v>0.0</v>
      </c>
      <c r="O26" s="323">
        <v>12.0</v>
      </c>
      <c r="P26" s="323">
        <v>1.0</v>
      </c>
      <c r="Q26" s="323">
        <v>6.0</v>
      </c>
      <c r="R26" s="325">
        <v>29.0</v>
      </c>
      <c r="S26" s="323">
        <v>15.0</v>
      </c>
      <c r="T26" s="323">
        <v>11.0</v>
      </c>
      <c r="U26" s="323">
        <v>8.0</v>
      </c>
      <c r="V26" s="323">
        <v>24.0</v>
      </c>
      <c r="W26" s="323">
        <v>8.0</v>
      </c>
      <c r="X26" s="323">
        <v>15.0</v>
      </c>
      <c r="Y26" s="323">
        <v>21.0</v>
      </c>
      <c r="Z26" s="323">
        <v>8.0</v>
      </c>
    </row>
    <row r="27" ht="15.75" customHeight="1">
      <c r="A27" s="193" t="s">
        <v>259</v>
      </c>
      <c r="B27" s="319">
        <v>45069.0</v>
      </c>
      <c r="C27" s="319" t="str">
        <f t="shared" si="1"/>
        <v>Q2 2023</v>
      </c>
      <c r="D27" s="320">
        <v>20000.0</v>
      </c>
      <c r="E27" s="324">
        <v>0.0</v>
      </c>
      <c r="F27" s="322">
        <v>0.0</v>
      </c>
      <c r="G27" s="322">
        <v>0.0</v>
      </c>
      <c r="H27" s="322">
        <v>0.0</v>
      </c>
      <c r="I27" s="322">
        <v>0.0</v>
      </c>
      <c r="J27" s="322">
        <v>0.0</v>
      </c>
      <c r="K27" s="322">
        <v>0.0</v>
      </c>
      <c r="L27" s="322">
        <v>0.0</v>
      </c>
      <c r="M27" s="322">
        <v>0.0</v>
      </c>
      <c r="N27" s="323">
        <v>3.0</v>
      </c>
      <c r="O27" s="323">
        <v>0.0</v>
      </c>
      <c r="P27" s="323">
        <v>1.0</v>
      </c>
      <c r="Q27" s="323">
        <v>6.0</v>
      </c>
      <c r="R27" s="325">
        <v>7.0</v>
      </c>
      <c r="S27" s="323">
        <v>9.0</v>
      </c>
      <c r="T27" s="323">
        <v>6.0</v>
      </c>
      <c r="U27" s="323">
        <v>4.0</v>
      </c>
      <c r="V27" s="323">
        <v>6.0</v>
      </c>
      <c r="W27" s="323">
        <v>5.0</v>
      </c>
      <c r="X27" s="323">
        <v>3.0</v>
      </c>
      <c r="Y27" s="323">
        <v>6.0</v>
      </c>
      <c r="Z27" s="323">
        <v>2.0</v>
      </c>
    </row>
    <row r="28" ht="15.75" customHeight="1">
      <c r="A28" s="193" t="s">
        <v>260</v>
      </c>
      <c r="B28" s="319">
        <v>45100.0</v>
      </c>
      <c r="C28" s="319" t="str">
        <f t="shared" si="1"/>
        <v>Q2 2023</v>
      </c>
      <c r="D28" s="320">
        <v>25000.0</v>
      </c>
      <c r="E28" s="324">
        <v>0.0</v>
      </c>
      <c r="F28" s="322">
        <v>0.0</v>
      </c>
      <c r="G28" s="322">
        <v>0.0</v>
      </c>
      <c r="H28" s="322">
        <v>0.0</v>
      </c>
      <c r="I28" s="322">
        <v>0.0</v>
      </c>
      <c r="J28" s="322">
        <v>0.0</v>
      </c>
      <c r="K28" s="322">
        <v>0.0</v>
      </c>
      <c r="L28" s="322">
        <v>1.0</v>
      </c>
      <c r="M28" s="322">
        <v>1.0</v>
      </c>
      <c r="N28" s="323">
        <v>0.0</v>
      </c>
      <c r="O28" s="323">
        <v>0.0</v>
      </c>
      <c r="P28" s="323">
        <v>0.0</v>
      </c>
      <c r="Q28" s="323">
        <v>0.0</v>
      </c>
      <c r="R28" s="323">
        <v>0.0</v>
      </c>
      <c r="S28" s="325">
        <v>5.0</v>
      </c>
      <c r="T28" s="323">
        <v>4.0</v>
      </c>
      <c r="U28" s="323">
        <v>3.0</v>
      </c>
      <c r="V28" s="323">
        <v>2.0</v>
      </c>
      <c r="W28" s="323">
        <v>3.0</v>
      </c>
      <c r="X28" s="323">
        <v>9.0</v>
      </c>
      <c r="Y28" s="323">
        <v>8.0</v>
      </c>
      <c r="Z28" s="323">
        <v>4.0</v>
      </c>
    </row>
    <row r="29" ht="15.75" customHeight="1">
      <c r="A29" s="193" t="s">
        <v>261</v>
      </c>
      <c r="B29" s="319">
        <v>45161.0</v>
      </c>
      <c r="C29" s="319" t="str">
        <f t="shared" si="1"/>
        <v>Q3 2023</v>
      </c>
      <c r="D29" s="320">
        <v>25000.0</v>
      </c>
      <c r="E29" s="324">
        <v>0.0</v>
      </c>
      <c r="F29" s="322">
        <v>0.0</v>
      </c>
      <c r="G29" s="322">
        <v>0.0</v>
      </c>
      <c r="H29" s="322">
        <v>0.0</v>
      </c>
      <c r="I29" s="322">
        <v>0.0</v>
      </c>
      <c r="J29" s="322">
        <v>0.0</v>
      </c>
      <c r="K29" s="322">
        <v>0.0</v>
      </c>
      <c r="L29" s="322">
        <v>0.0</v>
      </c>
      <c r="M29" s="322">
        <v>0.0</v>
      </c>
      <c r="N29" s="323">
        <v>0.0</v>
      </c>
      <c r="O29" s="323">
        <v>0.0</v>
      </c>
      <c r="P29" s="323">
        <v>0.0</v>
      </c>
      <c r="Q29" s="323">
        <v>0.0</v>
      </c>
      <c r="R29" s="323">
        <v>0.0</v>
      </c>
      <c r="S29" s="323">
        <v>1.0</v>
      </c>
      <c r="T29" s="323">
        <v>7.0</v>
      </c>
      <c r="U29" s="325">
        <v>1.0</v>
      </c>
      <c r="V29" s="323">
        <v>4.0</v>
      </c>
      <c r="W29" s="323">
        <v>5.0</v>
      </c>
      <c r="X29" s="323">
        <v>4.0</v>
      </c>
      <c r="Y29" s="323">
        <v>0.0</v>
      </c>
      <c r="Z29" s="323">
        <v>3.0</v>
      </c>
    </row>
    <row r="30" ht="15.75" customHeight="1">
      <c r="A30" s="193" t="s">
        <v>262</v>
      </c>
      <c r="B30" s="319">
        <v>45161.0</v>
      </c>
      <c r="C30" s="319" t="str">
        <f t="shared" si="1"/>
        <v>Q3 2023</v>
      </c>
      <c r="D30" s="320">
        <v>20000.0</v>
      </c>
      <c r="E30" s="324">
        <v>0.0</v>
      </c>
      <c r="F30" s="322">
        <v>0.0</v>
      </c>
      <c r="G30" s="322">
        <v>0.0</v>
      </c>
      <c r="H30" s="322">
        <v>0.0</v>
      </c>
      <c r="I30" s="322">
        <v>0.0</v>
      </c>
      <c r="J30" s="322">
        <v>0.0</v>
      </c>
      <c r="K30" s="322">
        <v>0.0</v>
      </c>
      <c r="L30" s="322">
        <v>0.0</v>
      </c>
      <c r="M30" s="322">
        <v>0.0</v>
      </c>
      <c r="N30" s="323">
        <v>0.0</v>
      </c>
      <c r="O30" s="323">
        <v>0.0</v>
      </c>
      <c r="P30" s="323">
        <v>0.0</v>
      </c>
      <c r="Q30" s="323">
        <v>4.0</v>
      </c>
      <c r="R30" s="323">
        <v>6.0</v>
      </c>
      <c r="S30" s="323">
        <v>8.0</v>
      </c>
      <c r="T30" s="323">
        <v>5.0</v>
      </c>
      <c r="U30" s="325">
        <v>7.0</v>
      </c>
      <c r="V30" s="323">
        <v>6.0</v>
      </c>
      <c r="W30" s="323">
        <v>2.0</v>
      </c>
      <c r="X30" s="323">
        <v>10.0</v>
      </c>
      <c r="Y30" s="323">
        <v>17.0</v>
      </c>
      <c r="Z30" s="323">
        <v>7.0</v>
      </c>
    </row>
    <row r="31" ht="15.75" customHeight="1">
      <c r="A31" s="193" t="s">
        <v>263</v>
      </c>
      <c r="B31" s="319">
        <v>45161.0</v>
      </c>
      <c r="C31" s="319" t="str">
        <f t="shared" si="1"/>
        <v>Q3 2023</v>
      </c>
      <c r="D31" s="320">
        <v>5000.0</v>
      </c>
      <c r="E31" s="324">
        <v>0.0</v>
      </c>
      <c r="F31" s="322">
        <v>0.0</v>
      </c>
      <c r="G31" s="322">
        <v>0.0</v>
      </c>
      <c r="H31" s="322">
        <v>0.0</v>
      </c>
      <c r="I31" s="322">
        <v>0.0</v>
      </c>
      <c r="J31" s="322">
        <v>0.0</v>
      </c>
      <c r="K31" s="322">
        <v>0.0</v>
      </c>
      <c r="L31" s="322">
        <v>0.0</v>
      </c>
      <c r="M31" s="322">
        <v>0.0</v>
      </c>
      <c r="N31" s="323">
        <v>0.0</v>
      </c>
      <c r="O31" s="323">
        <v>2.0</v>
      </c>
      <c r="P31" s="323">
        <v>0.0</v>
      </c>
      <c r="Q31" s="323">
        <v>0.0</v>
      </c>
      <c r="R31" s="323">
        <v>0.0</v>
      </c>
      <c r="S31" s="323">
        <v>1.0</v>
      </c>
      <c r="T31" s="323">
        <v>4.0</v>
      </c>
      <c r="U31" s="325">
        <v>4.0</v>
      </c>
      <c r="V31" s="323">
        <v>1.0</v>
      </c>
      <c r="W31" s="323">
        <v>0.0</v>
      </c>
      <c r="X31" s="323">
        <v>0.0</v>
      </c>
      <c r="Y31" s="323">
        <v>4.0</v>
      </c>
      <c r="Z31" s="323">
        <v>0.0</v>
      </c>
    </row>
    <row r="32" ht="15.75" customHeight="1">
      <c r="A32" s="193" t="s">
        <v>264</v>
      </c>
      <c r="B32" s="319">
        <v>45161.0</v>
      </c>
      <c r="C32" s="319" t="str">
        <f t="shared" si="1"/>
        <v>Q3 2023</v>
      </c>
      <c r="D32" s="320">
        <v>15000.0</v>
      </c>
      <c r="E32" s="324">
        <v>0.0</v>
      </c>
      <c r="F32" s="322">
        <v>0.0</v>
      </c>
      <c r="G32" s="322">
        <v>0.0</v>
      </c>
      <c r="H32" s="322">
        <v>0.0</v>
      </c>
      <c r="I32" s="322">
        <v>0.0</v>
      </c>
      <c r="J32" s="322">
        <v>0.0</v>
      </c>
      <c r="K32" s="322">
        <v>0.0</v>
      </c>
      <c r="L32" s="322">
        <v>0.0</v>
      </c>
      <c r="M32" s="322">
        <v>0.0</v>
      </c>
      <c r="N32" s="323">
        <v>0.0</v>
      </c>
      <c r="O32" s="323">
        <v>0.0</v>
      </c>
      <c r="P32" s="323">
        <v>0.0</v>
      </c>
      <c r="Q32" s="323">
        <v>8.0</v>
      </c>
      <c r="R32" s="323">
        <v>0.0</v>
      </c>
      <c r="S32" s="323">
        <v>4.0</v>
      </c>
      <c r="T32" s="323">
        <v>2.0</v>
      </c>
      <c r="U32" s="325">
        <v>15.0</v>
      </c>
      <c r="V32" s="323">
        <v>22.0</v>
      </c>
      <c r="W32" s="323">
        <v>6.0</v>
      </c>
      <c r="X32" s="323">
        <v>6.0</v>
      </c>
      <c r="Y32" s="323">
        <v>13.0</v>
      </c>
      <c r="Z32" s="323">
        <v>7.0</v>
      </c>
    </row>
    <row r="33" ht="15.75" customHeight="1">
      <c r="A33" s="193" t="s">
        <v>265</v>
      </c>
      <c r="B33" s="319">
        <v>45192.0</v>
      </c>
      <c r="C33" s="319" t="str">
        <f t="shared" si="1"/>
        <v>Q3 2023</v>
      </c>
      <c r="D33" s="320">
        <v>40000.0</v>
      </c>
      <c r="E33" s="324">
        <v>0.0</v>
      </c>
      <c r="F33" s="322">
        <v>0.0</v>
      </c>
      <c r="G33" s="322">
        <v>0.0</v>
      </c>
      <c r="H33" s="322">
        <v>0.0</v>
      </c>
      <c r="I33" s="322">
        <v>0.0</v>
      </c>
      <c r="J33" s="322">
        <v>0.0</v>
      </c>
      <c r="K33" s="322">
        <v>0.0</v>
      </c>
      <c r="L33" s="322">
        <v>0.0</v>
      </c>
      <c r="M33" s="322">
        <v>0.0</v>
      </c>
      <c r="N33" s="323">
        <v>0.0</v>
      </c>
      <c r="O33" s="323">
        <v>0.0</v>
      </c>
      <c r="P33" s="323">
        <v>0.0</v>
      </c>
      <c r="Q33" s="323">
        <v>0.0</v>
      </c>
      <c r="R33" s="323">
        <v>0.0</v>
      </c>
      <c r="S33" s="323">
        <v>3.0</v>
      </c>
      <c r="T33" s="323">
        <v>2.0</v>
      </c>
      <c r="U33" s="323">
        <v>9.0</v>
      </c>
      <c r="V33" s="325">
        <v>3.0</v>
      </c>
      <c r="W33" s="323">
        <v>1.0</v>
      </c>
      <c r="X33" s="323">
        <v>26.0</v>
      </c>
      <c r="Y33" s="323">
        <v>9.0</v>
      </c>
      <c r="Z33" s="323">
        <v>5.0</v>
      </c>
    </row>
    <row r="34" ht="15.75" customHeight="1">
      <c r="A34" s="193" t="s">
        <v>266</v>
      </c>
      <c r="B34" s="319">
        <v>45192.0</v>
      </c>
      <c r="C34" s="319" t="str">
        <f t="shared" si="1"/>
        <v>Q3 2023</v>
      </c>
      <c r="D34" s="320">
        <v>27000.0</v>
      </c>
      <c r="E34" s="324">
        <v>0.0</v>
      </c>
      <c r="F34" s="322">
        <v>0.0</v>
      </c>
      <c r="G34" s="322">
        <v>0.0</v>
      </c>
      <c r="H34" s="322">
        <v>0.0</v>
      </c>
      <c r="I34" s="322">
        <v>0.0</v>
      </c>
      <c r="J34" s="322">
        <v>0.0</v>
      </c>
      <c r="K34" s="322">
        <v>0.0</v>
      </c>
      <c r="L34" s="322">
        <v>0.0</v>
      </c>
      <c r="M34" s="322">
        <v>0.0</v>
      </c>
      <c r="N34" s="323">
        <v>0.0</v>
      </c>
      <c r="O34" s="323">
        <v>0.0</v>
      </c>
      <c r="P34" s="323">
        <v>0.0</v>
      </c>
      <c r="Q34" s="323">
        <v>0.0</v>
      </c>
      <c r="R34" s="323">
        <v>1.0</v>
      </c>
      <c r="S34" s="323">
        <v>0.0</v>
      </c>
      <c r="T34" s="323">
        <v>0.0</v>
      </c>
      <c r="U34" s="323">
        <v>31.0</v>
      </c>
      <c r="V34" s="325">
        <v>5.0</v>
      </c>
      <c r="W34" s="323">
        <v>0.0</v>
      </c>
      <c r="X34" s="323">
        <v>3.0</v>
      </c>
      <c r="Y34" s="323">
        <v>7.0</v>
      </c>
      <c r="Z34" s="323">
        <v>3.0</v>
      </c>
    </row>
    <row r="35" ht="15.75" customHeight="1">
      <c r="A35" s="193" t="s">
        <v>267</v>
      </c>
      <c r="B35" s="319">
        <v>45192.0</v>
      </c>
      <c r="C35" s="319" t="str">
        <f t="shared" si="1"/>
        <v>Q3 2023</v>
      </c>
      <c r="D35" s="320">
        <v>5000.0</v>
      </c>
      <c r="E35" s="324">
        <v>0.0</v>
      </c>
      <c r="F35" s="322">
        <v>0.0</v>
      </c>
      <c r="G35" s="322">
        <v>0.0</v>
      </c>
      <c r="H35" s="322">
        <v>0.0</v>
      </c>
      <c r="I35" s="322">
        <v>0.0</v>
      </c>
      <c r="J35" s="322">
        <v>0.0</v>
      </c>
      <c r="K35" s="324">
        <v>0.0</v>
      </c>
      <c r="L35" s="324">
        <v>0.0</v>
      </c>
      <c r="M35" s="324">
        <v>0.0</v>
      </c>
      <c r="N35" s="323">
        <v>0.0</v>
      </c>
      <c r="O35" s="323">
        <v>0.0</v>
      </c>
      <c r="P35" s="323">
        <v>0.0</v>
      </c>
      <c r="Q35" s="323">
        <v>0.0</v>
      </c>
      <c r="R35" s="323">
        <v>0.0</v>
      </c>
      <c r="S35" s="323">
        <v>0.0</v>
      </c>
      <c r="T35" s="323">
        <v>0.0</v>
      </c>
      <c r="U35" s="323">
        <v>1.0</v>
      </c>
      <c r="V35" s="325">
        <v>1.0</v>
      </c>
      <c r="W35" s="323">
        <v>3.0</v>
      </c>
      <c r="X35" s="323">
        <v>2.0</v>
      </c>
      <c r="Y35" s="323">
        <v>4.0</v>
      </c>
      <c r="Z35" s="323">
        <v>2.0</v>
      </c>
    </row>
    <row r="36" ht="15.75" customHeight="1">
      <c r="A36" s="193" t="s">
        <v>268</v>
      </c>
      <c r="B36" s="319">
        <v>45192.0</v>
      </c>
      <c r="C36" s="319" t="str">
        <f t="shared" si="1"/>
        <v>Q3 2023</v>
      </c>
      <c r="D36" s="320">
        <v>23000.0</v>
      </c>
      <c r="E36" s="324">
        <v>0.0</v>
      </c>
      <c r="F36" s="322">
        <v>0.0</v>
      </c>
      <c r="G36" s="322">
        <v>0.0</v>
      </c>
      <c r="H36" s="322">
        <v>0.0</v>
      </c>
      <c r="I36" s="322">
        <v>0.0</v>
      </c>
      <c r="J36" s="322">
        <v>0.0</v>
      </c>
      <c r="K36" s="324">
        <v>0.0</v>
      </c>
      <c r="L36" s="324">
        <v>0.0</v>
      </c>
      <c r="M36" s="324">
        <v>0.0</v>
      </c>
      <c r="N36" s="323">
        <v>0.0</v>
      </c>
      <c r="O36" s="323">
        <v>0.0</v>
      </c>
      <c r="P36" s="323">
        <v>0.0</v>
      </c>
      <c r="Q36" s="323">
        <v>0.0</v>
      </c>
      <c r="R36" s="323">
        <v>0.0</v>
      </c>
      <c r="S36" s="323">
        <v>0.0</v>
      </c>
      <c r="T36" s="323">
        <v>0.0</v>
      </c>
      <c r="U36" s="323">
        <v>7.0</v>
      </c>
      <c r="V36" s="325">
        <v>9.0</v>
      </c>
      <c r="W36" s="323">
        <v>8.0</v>
      </c>
      <c r="X36" s="323">
        <v>8.0</v>
      </c>
      <c r="Y36" s="323">
        <v>3.0</v>
      </c>
      <c r="Z36" s="323">
        <v>5.0</v>
      </c>
    </row>
    <row r="37" ht="15.75" customHeight="1">
      <c r="A37" s="193" t="s">
        <v>269</v>
      </c>
      <c r="B37" s="319">
        <v>45192.0</v>
      </c>
      <c r="C37" s="319" t="str">
        <f t="shared" si="1"/>
        <v>Q3 2023</v>
      </c>
      <c r="D37" s="320">
        <v>5000.0</v>
      </c>
      <c r="E37" s="324">
        <v>0.0</v>
      </c>
      <c r="F37" s="322">
        <v>0.0</v>
      </c>
      <c r="G37" s="322">
        <v>0.0</v>
      </c>
      <c r="H37" s="322">
        <v>0.0</v>
      </c>
      <c r="I37" s="322">
        <v>0.0</v>
      </c>
      <c r="J37" s="322">
        <v>0.0</v>
      </c>
      <c r="K37" s="324">
        <v>0.0</v>
      </c>
      <c r="L37" s="324">
        <v>0.0</v>
      </c>
      <c r="M37" s="324">
        <v>0.0</v>
      </c>
      <c r="N37" s="323">
        <v>0.0</v>
      </c>
      <c r="O37" s="323">
        <v>0.0</v>
      </c>
      <c r="P37" s="323">
        <v>0.0</v>
      </c>
      <c r="Q37" s="323">
        <v>0.0</v>
      </c>
      <c r="R37" s="323">
        <v>0.0</v>
      </c>
      <c r="S37" s="323">
        <v>1.0</v>
      </c>
      <c r="T37" s="323">
        <v>0.0</v>
      </c>
      <c r="U37" s="323">
        <v>1.0</v>
      </c>
      <c r="V37" s="325">
        <v>1.0</v>
      </c>
      <c r="W37" s="323">
        <v>0.0</v>
      </c>
      <c r="X37" s="323">
        <v>2.0</v>
      </c>
      <c r="Y37" s="323">
        <v>1.0</v>
      </c>
      <c r="Z37" s="323">
        <v>1.0</v>
      </c>
    </row>
    <row r="38" ht="15.75" customHeight="1">
      <c r="A38" s="193" t="s">
        <v>270</v>
      </c>
      <c r="B38" s="319">
        <v>45192.0</v>
      </c>
      <c r="C38" s="319" t="str">
        <f t="shared" si="1"/>
        <v>Q3 2023</v>
      </c>
      <c r="D38" s="320">
        <v>32000.0</v>
      </c>
      <c r="E38" s="324">
        <v>0.0</v>
      </c>
      <c r="F38" s="322">
        <v>0.0</v>
      </c>
      <c r="G38" s="322">
        <v>0.0</v>
      </c>
      <c r="H38" s="322">
        <v>0.0</v>
      </c>
      <c r="I38" s="322">
        <v>0.0</v>
      </c>
      <c r="J38" s="322">
        <v>0.0</v>
      </c>
      <c r="K38" s="324">
        <v>0.0</v>
      </c>
      <c r="L38" s="324">
        <v>0.0</v>
      </c>
      <c r="M38" s="324">
        <v>0.0</v>
      </c>
      <c r="N38" s="323">
        <v>0.0</v>
      </c>
      <c r="O38" s="323">
        <v>0.0</v>
      </c>
      <c r="P38" s="323">
        <v>0.0</v>
      </c>
      <c r="Q38" s="323">
        <v>2.0</v>
      </c>
      <c r="R38" s="323">
        <v>3.0</v>
      </c>
      <c r="S38" s="323">
        <v>0.0</v>
      </c>
      <c r="T38" s="323">
        <v>1.0</v>
      </c>
      <c r="U38" s="323">
        <v>2.0</v>
      </c>
      <c r="V38" s="325">
        <v>1.0</v>
      </c>
      <c r="W38" s="323">
        <v>2.0</v>
      </c>
      <c r="X38" s="323">
        <v>2.0</v>
      </c>
      <c r="Y38" s="323">
        <v>3.0</v>
      </c>
      <c r="Z38" s="323">
        <v>2.0</v>
      </c>
    </row>
    <row r="39" ht="15.75" customHeight="1">
      <c r="A39" s="193" t="s">
        <v>271</v>
      </c>
      <c r="B39" s="319">
        <v>45192.0</v>
      </c>
      <c r="C39" s="319" t="str">
        <f t="shared" si="1"/>
        <v>Q3 2023</v>
      </c>
      <c r="D39" s="320">
        <v>15000.0</v>
      </c>
      <c r="E39" s="324">
        <v>0.0</v>
      </c>
      <c r="F39" s="322">
        <v>0.0</v>
      </c>
      <c r="G39" s="322">
        <v>0.0</v>
      </c>
      <c r="H39" s="322">
        <v>0.0</v>
      </c>
      <c r="I39" s="322">
        <v>0.0</v>
      </c>
      <c r="J39" s="322">
        <v>0.0</v>
      </c>
      <c r="K39" s="324">
        <v>0.0</v>
      </c>
      <c r="L39" s="324">
        <v>0.0</v>
      </c>
      <c r="M39" s="324">
        <v>0.0</v>
      </c>
      <c r="N39" s="323">
        <v>0.0</v>
      </c>
      <c r="O39" s="323">
        <v>0.0</v>
      </c>
      <c r="P39" s="323">
        <v>0.0</v>
      </c>
      <c r="Q39" s="323">
        <v>0.0</v>
      </c>
      <c r="R39" s="323">
        <v>1.0</v>
      </c>
      <c r="S39" s="323">
        <v>2.0</v>
      </c>
      <c r="T39" s="323">
        <v>0.0</v>
      </c>
      <c r="U39" s="323">
        <v>3.0</v>
      </c>
      <c r="V39" s="325">
        <v>1.0</v>
      </c>
      <c r="W39" s="323">
        <v>0.0</v>
      </c>
      <c r="X39" s="323">
        <v>1.0</v>
      </c>
      <c r="Y39" s="323">
        <v>0.0</v>
      </c>
      <c r="Z39" s="323">
        <v>0.0</v>
      </c>
    </row>
    <row r="40" ht="15.0" customHeight="1">
      <c r="A40" s="193" t="s">
        <v>272</v>
      </c>
      <c r="B40" s="319">
        <v>45222.0</v>
      </c>
      <c r="C40" s="319" t="str">
        <f t="shared" si="1"/>
        <v>Q4 2023</v>
      </c>
      <c r="D40" s="320">
        <v>20000.0</v>
      </c>
      <c r="E40" s="324">
        <v>0.0</v>
      </c>
      <c r="F40" s="322">
        <v>0.0</v>
      </c>
      <c r="G40" s="322">
        <v>0.0</v>
      </c>
      <c r="H40" s="322">
        <v>0.0</v>
      </c>
      <c r="I40" s="322">
        <v>0.0</v>
      </c>
      <c r="J40" s="322">
        <v>0.0</v>
      </c>
      <c r="K40" s="324">
        <v>0.0</v>
      </c>
      <c r="L40" s="324">
        <v>0.0</v>
      </c>
      <c r="M40" s="324">
        <v>0.0</v>
      </c>
      <c r="N40" s="323">
        <v>0.0</v>
      </c>
      <c r="O40" s="323">
        <v>0.0</v>
      </c>
      <c r="P40" s="323">
        <v>0.0</v>
      </c>
      <c r="Q40" s="323">
        <v>0.0</v>
      </c>
      <c r="R40" s="323">
        <v>1.0</v>
      </c>
      <c r="S40" s="323">
        <v>0.0</v>
      </c>
      <c r="T40" s="323">
        <v>0.0</v>
      </c>
      <c r="U40" s="323">
        <v>1.0</v>
      </c>
      <c r="V40" s="323">
        <v>12.0</v>
      </c>
      <c r="W40" s="325">
        <v>1.0</v>
      </c>
      <c r="X40" s="323">
        <v>3.0</v>
      </c>
      <c r="Y40" s="323">
        <v>2.0</v>
      </c>
      <c r="Z40" s="323">
        <v>4.0</v>
      </c>
    </row>
    <row r="41" ht="15.0" customHeight="1">
      <c r="A41" s="326" t="s">
        <v>273</v>
      </c>
      <c r="B41" s="327">
        <v>45283.0</v>
      </c>
      <c r="C41" s="319" t="str">
        <f t="shared" si="1"/>
        <v>Q4 2023</v>
      </c>
      <c r="D41" s="328">
        <v>22500.0</v>
      </c>
      <c r="E41" s="324">
        <v>0.0</v>
      </c>
      <c r="F41" s="324">
        <v>0.0</v>
      </c>
      <c r="G41" s="324">
        <v>0.0</v>
      </c>
      <c r="H41" s="324">
        <v>0.0</v>
      </c>
      <c r="I41" s="324">
        <v>0.0</v>
      </c>
      <c r="J41" s="324">
        <v>0.0</v>
      </c>
      <c r="K41" s="324">
        <v>0.0</v>
      </c>
      <c r="L41" s="324">
        <v>0.0</v>
      </c>
      <c r="M41" s="324">
        <v>0.0</v>
      </c>
      <c r="N41" s="324">
        <v>0.0</v>
      </c>
      <c r="O41" s="324">
        <v>0.0</v>
      </c>
      <c r="P41" s="324">
        <v>0.0</v>
      </c>
      <c r="Q41" s="324">
        <v>0.0</v>
      </c>
      <c r="R41" s="324">
        <v>0.0</v>
      </c>
      <c r="S41" s="324">
        <v>0.0</v>
      </c>
      <c r="T41" s="324">
        <v>0.0</v>
      </c>
      <c r="U41" s="324">
        <v>0.0</v>
      </c>
      <c r="V41" s="324">
        <v>0.0</v>
      </c>
      <c r="W41" s="329">
        <v>0.0</v>
      </c>
      <c r="X41" s="322">
        <v>0.0</v>
      </c>
      <c r="Y41" s="322">
        <v>5.0</v>
      </c>
      <c r="Z41" s="322">
        <v>1.0</v>
      </c>
    </row>
    <row r="42" ht="15.75" customHeight="1">
      <c r="A42" s="326" t="s">
        <v>274</v>
      </c>
      <c r="B42" s="327">
        <v>45283.0</v>
      </c>
      <c r="C42" s="319" t="str">
        <f t="shared" si="1"/>
        <v>Q4 2023</v>
      </c>
      <c r="D42" s="328">
        <v>12000.0</v>
      </c>
      <c r="E42" s="324">
        <v>0.0</v>
      </c>
      <c r="F42" s="324">
        <v>0.0</v>
      </c>
      <c r="G42" s="324">
        <v>0.0</v>
      </c>
      <c r="H42" s="324">
        <v>0.0</v>
      </c>
      <c r="I42" s="324">
        <v>0.0</v>
      </c>
      <c r="J42" s="324">
        <v>0.0</v>
      </c>
      <c r="K42" s="324">
        <v>0.0</v>
      </c>
      <c r="L42" s="324">
        <v>0.0</v>
      </c>
      <c r="M42" s="324">
        <v>0.0</v>
      </c>
      <c r="N42" s="324">
        <v>0.0</v>
      </c>
      <c r="O42" s="324">
        <v>0.0</v>
      </c>
      <c r="P42" s="324">
        <v>0.0</v>
      </c>
      <c r="Q42" s="324">
        <v>0.0</v>
      </c>
      <c r="R42" s="324">
        <v>0.0</v>
      </c>
      <c r="S42" s="324">
        <v>0.0</v>
      </c>
      <c r="T42" s="324">
        <v>0.0</v>
      </c>
      <c r="U42" s="324">
        <v>0.0</v>
      </c>
      <c r="V42" s="324">
        <v>0.0</v>
      </c>
      <c r="W42" s="329">
        <v>0.0</v>
      </c>
      <c r="X42" s="322">
        <v>2.0</v>
      </c>
      <c r="Y42" s="322">
        <v>0.0</v>
      </c>
      <c r="Z42" s="322">
        <v>5.0</v>
      </c>
    </row>
    <row r="43" ht="15.75" customHeight="1">
      <c r="A43" s="326" t="s">
        <v>275</v>
      </c>
      <c r="B43" s="327">
        <v>45315.0</v>
      </c>
      <c r="C43" s="319" t="str">
        <f t="shared" si="1"/>
        <v>Q1 2024</v>
      </c>
      <c r="D43" s="328">
        <v>35000.0</v>
      </c>
      <c r="E43" s="324">
        <v>0.0</v>
      </c>
      <c r="F43" s="324">
        <v>0.0</v>
      </c>
      <c r="G43" s="324">
        <v>0.0</v>
      </c>
      <c r="H43" s="324">
        <v>0.0</v>
      </c>
      <c r="I43" s="324">
        <v>0.0</v>
      </c>
      <c r="J43" s="324">
        <v>0.0</v>
      </c>
      <c r="K43" s="324">
        <v>0.0</v>
      </c>
      <c r="L43" s="324">
        <v>0.0</v>
      </c>
      <c r="M43" s="324">
        <v>0.0</v>
      </c>
      <c r="N43" s="324">
        <v>0.0</v>
      </c>
      <c r="O43" s="324">
        <v>0.0</v>
      </c>
      <c r="P43" s="324">
        <v>0.0</v>
      </c>
      <c r="Q43" s="324">
        <v>0.0</v>
      </c>
      <c r="R43" s="324">
        <v>0.0</v>
      </c>
      <c r="S43" s="324">
        <v>0.0</v>
      </c>
      <c r="T43" s="324">
        <v>0.0</v>
      </c>
      <c r="U43" s="324">
        <v>0.0</v>
      </c>
      <c r="V43" s="324">
        <v>0.0</v>
      </c>
      <c r="W43" s="322">
        <v>0.0</v>
      </c>
      <c r="X43" s="329">
        <v>3.0</v>
      </c>
      <c r="Y43" s="322">
        <v>8.0</v>
      </c>
      <c r="Z43" s="322">
        <v>17.0</v>
      </c>
    </row>
    <row r="44" ht="15.75" customHeight="1">
      <c r="A44" s="326" t="s">
        <v>276</v>
      </c>
      <c r="B44" s="327">
        <v>45315.0</v>
      </c>
      <c r="C44" s="319" t="str">
        <f t="shared" si="1"/>
        <v>Q1 2024</v>
      </c>
      <c r="D44" s="328">
        <v>35000.0</v>
      </c>
      <c r="E44" s="324">
        <v>0.0</v>
      </c>
      <c r="F44" s="324">
        <v>0.0</v>
      </c>
      <c r="G44" s="324">
        <v>0.0</v>
      </c>
      <c r="H44" s="324">
        <v>0.0</v>
      </c>
      <c r="I44" s="324">
        <v>0.0</v>
      </c>
      <c r="J44" s="324">
        <v>0.0</v>
      </c>
      <c r="K44" s="324">
        <v>0.0</v>
      </c>
      <c r="L44" s="324">
        <v>0.0</v>
      </c>
      <c r="M44" s="324">
        <v>0.0</v>
      </c>
      <c r="N44" s="324">
        <v>0.0</v>
      </c>
      <c r="O44" s="324">
        <v>0.0</v>
      </c>
      <c r="P44" s="324">
        <v>0.0</v>
      </c>
      <c r="Q44" s="324">
        <v>0.0</v>
      </c>
      <c r="R44" s="324">
        <v>0.0</v>
      </c>
      <c r="S44" s="324">
        <v>0.0</v>
      </c>
      <c r="T44" s="324">
        <v>0.0</v>
      </c>
      <c r="U44" s="324">
        <v>0.0</v>
      </c>
      <c r="V44" s="324">
        <v>0.0</v>
      </c>
      <c r="W44" s="322">
        <v>0.0</v>
      </c>
      <c r="X44" s="329">
        <v>0.0</v>
      </c>
      <c r="Y44" s="322">
        <v>0.0</v>
      </c>
      <c r="Z44" s="322">
        <v>1.0</v>
      </c>
    </row>
    <row r="45" ht="15.75" customHeight="1">
      <c r="A45" s="326" t="s">
        <v>277</v>
      </c>
      <c r="B45" s="327">
        <v>45315.0</v>
      </c>
      <c r="C45" s="319" t="str">
        <f t="shared" si="1"/>
        <v>Q1 2024</v>
      </c>
      <c r="D45" s="328">
        <v>5000.0</v>
      </c>
      <c r="E45" s="324">
        <v>0.0</v>
      </c>
      <c r="F45" s="324">
        <v>0.0</v>
      </c>
      <c r="G45" s="324">
        <v>0.0</v>
      </c>
      <c r="H45" s="324">
        <v>0.0</v>
      </c>
      <c r="I45" s="324">
        <v>0.0</v>
      </c>
      <c r="J45" s="324">
        <v>0.0</v>
      </c>
      <c r="K45" s="324">
        <v>0.0</v>
      </c>
      <c r="L45" s="324">
        <v>0.0</v>
      </c>
      <c r="M45" s="324">
        <v>0.0</v>
      </c>
      <c r="N45" s="324">
        <v>0.0</v>
      </c>
      <c r="O45" s="324">
        <v>0.0</v>
      </c>
      <c r="P45" s="324">
        <v>0.0</v>
      </c>
      <c r="Q45" s="324">
        <v>0.0</v>
      </c>
      <c r="R45" s="324">
        <v>0.0</v>
      </c>
      <c r="S45" s="324">
        <v>0.0</v>
      </c>
      <c r="T45" s="324">
        <v>0.0</v>
      </c>
      <c r="U45" s="324">
        <v>0.0</v>
      </c>
      <c r="V45" s="324">
        <v>0.0</v>
      </c>
      <c r="W45" s="322">
        <v>0.0</v>
      </c>
      <c r="X45" s="329">
        <v>0.0</v>
      </c>
      <c r="Y45" s="322">
        <v>0.0</v>
      </c>
      <c r="Z45" s="322">
        <v>1.0</v>
      </c>
    </row>
    <row r="46" ht="15.75" customHeight="1">
      <c r="A46" s="326" t="s">
        <v>278</v>
      </c>
      <c r="B46" s="327">
        <v>45315.0</v>
      </c>
      <c r="C46" s="319" t="str">
        <f t="shared" si="1"/>
        <v>Q1 2024</v>
      </c>
      <c r="D46" s="328">
        <v>12000.0</v>
      </c>
      <c r="E46" s="324">
        <v>0.0</v>
      </c>
      <c r="F46" s="324">
        <v>0.0</v>
      </c>
      <c r="G46" s="324">
        <v>0.0</v>
      </c>
      <c r="H46" s="324">
        <v>0.0</v>
      </c>
      <c r="I46" s="324">
        <v>0.0</v>
      </c>
      <c r="J46" s="324">
        <v>0.0</v>
      </c>
      <c r="K46" s="324">
        <v>0.0</v>
      </c>
      <c r="L46" s="324">
        <v>0.0</v>
      </c>
      <c r="M46" s="324">
        <v>0.0</v>
      </c>
      <c r="N46" s="324">
        <v>0.0</v>
      </c>
      <c r="O46" s="324">
        <v>0.0</v>
      </c>
      <c r="P46" s="324">
        <v>0.0</v>
      </c>
      <c r="Q46" s="324">
        <v>0.0</v>
      </c>
      <c r="R46" s="324">
        <v>0.0</v>
      </c>
      <c r="S46" s="324">
        <v>0.0</v>
      </c>
      <c r="T46" s="324">
        <v>0.0</v>
      </c>
      <c r="U46" s="324">
        <v>0.0</v>
      </c>
      <c r="V46" s="324">
        <v>0.0</v>
      </c>
      <c r="W46" s="322">
        <v>0.0</v>
      </c>
      <c r="X46" s="329">
        <v>0.0</v>
      </c>
      <c r="Y46" s="322">
        <v>1.0</v>
      </c>
      <c r="Z46" s="322">
        <v>6.0</v>
      </c>
    </row>
    <row r="47" ht="15.75" customHeight="1">
      <c r="A47" s="326" t="s">
        <v>279</v>
      </c>
      <c r="B47" s="327">
        <v>45346.0</v>
      </c>
      <c r="C47" s="319" t="str">
        <f t="shared" si="1"/>
        <v>Q1 2024</v>
      </c>
      <c r="D47" s="328">
        <v>15000.0</v>
      </c>
      <c r="E47" s="324">
        <v>0.0</v>
      </c>
      <c r="F47" s="324">
        <v>0.0</v>
      </c>
      <c r="G47" s="324">
        <v>0.0</v>
      </c>
      <c r="H47" s="324">
        <v>0.0</v>
      </c>
      <c r="I47" s="324">
        <v>0.0</v>
      </c>
      <c r="J47" s="324">
        <v>0.0</v>
      </c>
      <c r="K47" s="324">
        <v>0.0</v>
      </c>
      <c r="L47" s="324">
        <v>0.0</v>
      </c>
      <c r="M47" s="324">
        <v>0.0</v>
      </c>
      <c r="N47" s="324">
        <v>0.0</v>
      </c>
      <c r="O47" s="324">
        <v>0.0</v>
      </c>
      <c r="P47" s="324">
        <v>0.0</v>
      </c>
      <c r="Q47" s="324">
        <v>0.0</v>
      </c>
      <c r="R47" s="324">
        <v>0.0</v>
      </c>
      <c r="S47" s="324">
        <v>0.0</v>
      </c>
      <c r="T47" s="324">
        <v>0.0</v>
      </c>
      <c r="U47" s="324">
        <v>0.0</v>
      </c>
      <c r="V47" s="324">
        <v>0.0</v>
      </c>
      <c r="W47" s="322">
        <v>0.0</v>
      </c>
      <c r="X47" s="322">
        <v>0.0</v>
      </c>
      <c r="Y47" s="329">
        <v>0.0</v>
      </c>
      <c r="Z47" s="322">
        <v>4.0</v>
      </c>
    </row>
    <row r="48" ht="15.75" customHeight="1">
      <c r="A48" s="326" t="s">
        <v>280</v>
      </c>
      <c r="B48" s="327">
        <v>45375.0</v>
      </c>
      <c r="C48" s="319" t="str">
        <f t="shared" si="1"/>
        <v>Q1 2024</v>
      </c>
      <c r="D48" s="328">
        <v>20000.0</v>
      </c>
      <c r="E48" s="324">
        <v>0.0</v>
      </c>
      <c r="F48" s="324">
        <v>0.0</v>
      </c>
      <c r="G48" s="324">
        <v>0.0</v>
      </c>
      <c r="H48" s="324">
        <v>0.0</v>
      </c>
      <c r="I48" s="324">
        <v>0.0</v>
      </c>
      <c r="J48" s="324">
        <v>0.0</v>
      </c>
      <c r="K48" s="324">
        <v>0.0</v>
      </c>
      <c r="L48" s="324">
        <v>0.0</v>
      </c>
      <c r="M48" s="324">
        <v>0.0</v>
      </c>
      <c r="N48" s="324">
        <v>0.0</v>
      </c>
      <c r="O48" s="324">
        <v>0.0</v>
      </c>
      <c r="P48" s="324">
        <v>0.0</v>
      </c>
      <c r="Q48" s="324">
        <v>0.0</v>
      </c>
      <c r="R48" s="324">
        <v>0.0</v>
      </c>
      <c r="S48" s="324">
        <v>0.0</v>
      </c>
      <c r="T48" s="324">
        <v>0.0</v>
      </c>
      <c r="U48" s="324">
        <v>0.0</v>
      </c>
      <c r="V48" s="324">
        <v>0.0</v>
      </c>
      <c r="W48" s="322">
        <v>0.0</v>
      </c>
      <c r="X48" s="322">
        <v>0.0</v>
      </c>
      <c r="Y48" s="322">
        <v>0.0</v>
      </c>
      <c r="Z48" s="329">
        <v>1.0</v>
      </c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A1"/>
  </hyperlinks>
  <printOptions/>
  <pageMargins bottom="0.75" footer="0.0" header="0.0" left="0.7" right="0.7" top="0.75"/>
  <pageSetup orientation="landscape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30" t="s">
        <v>232</v>
      </c>
      <c r="B1" s="330" t="s">
        <v>233</v>
      </c>
      <c r="C1" s="330" t="s">
        <v>234</v>
      </c>
      <c r="D1" s="330" t="s">
        <v>21</v>
      </c>
    </row>
    <row r="2">
      <c r="A2" s="326" t="s">
        <v>235</v>
      </c>
      <c r="B2" s="331">
        <v>44645.0</v>
      </c>
      <c r="C2" s="332" t="str">
        <f t="shared" ref="C2:C47" si="1">"Q" &amp; INT((MONTH(B2)-1)/3) + 1 &amp; " " &amp; YEAR(B2)</f>
        <v>Q1 2022</v>
      </c>
      <c r="D2" s="333">
        <v>25000.0</v>
      </c>
    </row>
    <row r="3">
      <c r="A3" s="326" t="s">
        <v>236</v>
      </c>
      <c r="B3" s="332">
        <v>44795.0</v>
      </c>
      <c r="C3" s="332" t="str">
        <f t="shared" si="1"/>
        <v>Q3 2022</v>
      </c>
      <c r="D3" s="333">
        <v>3000.0</v>
      </c>
    </row>
    <row r="4">
      <c r="A4" s="326" t="s">
        <v>237</v>
      </c>
      <c r="B4" s="332">
        <v>44795.0</v>
      </c>
      <c r="C4" s="332" t="str">
        <f t="shared" si="1"/>
        <v>Q3 2022</v>
      </c>
      <c r="D4" s="333">
        <v>7500.0</v>
      </c>
    </row>
    <row r="5">
      <c r="A5" s="326" t="s">
        <v>238</v>
      </c>
      <c r="B5" s="332">
        <v>44795.0</v>
      </c>
      <c r="C5" s="332" t="str">
        <f t="shared" si="1"/>
        <v>Q3 2022</v>
      </c>
      <c r="D5" s="333">
        <v>8000.0</v>
      </c>
    </row>
    <row r="6">
      <c r="A6" s="326" t="s">
        <v>239</v>
      </c>
      <c r="B6" s="332">
        <v>44856.0</v>
      </c>
      <c r="C6" s="332" t="str">
        <f t="shared" si="1"/>
        <v>Q4 2022</v>
      </c>
      <c r="D6" s="333">
        <v>10000.0</v>
      </c>
    </row>
    <row r="7">
      <c r="A7" s="326" t="s">
        <v>240</v>
      </c>
      <c r="B7" s="332">
        <v>44857.0</v>
      </c>
      <c r="C7" s="332" t="str">
        <f t="shared" si="1"/>
        <v>Q4 2022</v>
      </c>
      <c r="D7" s="333">
        <v>2000.0</v>
      </c>
    </row>
    <row r="8">
      <c r="A8" s="326" t="s">
        <v>241</v>
      </c>
      <c r="B8" s="332">
        <v>44887.0</v>
      </c>
      <c r="C8" s="332" t="str">
        <f t="shared" si="1"/>
        <v>Q4 2022</v>
      </c>
      <c r="D8" s="333">
        <v>1200.0</v>
      </c>
    </row>
    <row r="9">
      <c r="A9" s="326" t="s">
        <v>242</v>
      </c>
      <c r="B9" s="332">
        <v>44887.0</v>
      </c>
      <c r="C9" s="332" t="str">
        <f t="shared" si="1"/>
        <v>Q4 2022</v>
      </c>
      <c r="D9" s="333">
        <v>2000.0</v>
      </c>
    </row>
    <row r="10">
      <c r="A10" s="326" t="s">
        <v>243</v>
      </c>
      <c r="B10" s="332">
        <v>44917.0</v>
      </c>
      <c r="C10" s="332" t="str">
        <f t="shared" si="1"/>
        <v>Q4 2022</v>
      </c>
      <c r="D10" s="333">
        <v>2000.0</v>
      </c>
    </row>
    <row r="11">
      <c r="A11" s="326" t="s">
        <v>244</v>
      </c>
      <c r="B11" s="332">
        <v>44917.0</v>
      </c>
      <c r="C11" s="332" t="str">
        <f t="shared" si="1"/>
        <v>Q4 2022</v>
      </c>
      <c r="D11" s="333">
        <v>10000.0</v>
      </c>
    </row>
    <row r="12">
      <c r="A12" s="326" t="s">
        <v>245</v>
      </c>
      <c r="B12" s="332">
        <v>44917.0</v>
      </c>
      <c r="C12" s="332" t="str">
        <f t="shared" si="1"/>
        <v>Q4 2022</v>
      </c>
      <c r="D12" s="333">
        <v>10000.0</v>
      </c>
    </row>
    <row r="13">
      <c r="A13" s="326" t="s">
        <v>246</v>
      </c>
      <c r="B13" s="332">
        <v>44917.0</v>
      </c>
      <c r="C13" s="332" t="str">
        <f t="shared" si="1"/>
        <v>Q4 2022</v>
      </c>
      <c r="D13" s="333">
        <v>3000.0</v>
      </c>
    </row>
    <row r="14">
      <c r="A14" s="326" t="s">
        <v>247</v>
      </c>
      <c r="B14" s="332">
        <v>44949.0</v>
      </c>
      <c r="C14" s="332" t="str">
        <f t="shared" si="1"/>
        <v>Q1 2023</v>
      </c>
      <c r="D14" s="333">
        <v>50000.0</v>
      </c>
    </row>
    <row r="15">
      <c r="A15" s="326" t="s">
        <v>248</v>
      </c>
      <c r="B15" s="332">
        <v>44980.0</v>
      </c>
      <c r="C15" s="332" t="str">
        <f t="shared" si="1"/>
        <v>Q1 2023</v>
      </c>
      <c r="D15" s="333">
        <v>13000.0</v>
      </c>
    </row>
    <row r="16">
      <c r="A16" s="326" t="s">
        <v>249</v>
      </c>
      <c r="B16" s="332">
        <v>44980.0</v>
      </c>
      <c r="C16" s="332" t="str">
        <f t="shared" si="1"/>
        <v>Q1 2023</v>
      </c>
      <c r="D16" s="333">
        <v>1000.0</v>
      </c>
    </row>
    <row r="17">
      <c r="A17" s="326" t="s">
        <v>250</v>
      </c>
      <c r="B17" s="332">
        <v>45008.0</v>
      </c>
      <c r="C17" s="332" t="str">
        <f t="shared" si="1"/>
        <v>Q1 2023</v>
      </c>
      <c r="D17" s="333">
        <v>25000.0</v>
      </c>
    </row>
    <row r="18">
      <c r="A18" s="326" t="s">
        <v>251</v>
      </c>
      <c r="B18" s="332">
        <v>45008.0</v>
      </c>
      <c r="C18" s="332" t="str">
        <f t="shared" si="1"/>
        <v>Q1 2023</v>
      </c>
      <c r="D18" s="333">
        <v>15000.0</v>
      </c>
    </row>
    <row r="19">
      <c r="A19" s="326" t="s">
        <v>252</v>
      </c>
      <c r="B19" s="332">
        <v>45008.0</v>
      </c>
      <c r="C19" s="332" t="str">
        <f t="shared" si="1"/>
        <v>Q1 2023</v>
      </c>
      <c r="D19" s="333">
        <v>5000.0</v>
      </c>
    </row>
    <row r="20">
      <c r="A20" s="326" t="s">
        <v>253</v>
      </c>
      <c r="B20" s="332">
        <v>45008.0</v>
      </c>
      <c r="C20" s="332" t="str">
        <f t="shared" si="1"/>
        <v>Q1 2023</v>
      </c>
      <c r="D20" s="333">
        <v>20000.0</v>
      </c>
    </row>
    <row r="21">
      <c r="A21" s="326" t="s">
        <v>254</v>
      </c>
      <c r="B21" s="332">
        <v>45008.0</v>
      </c>
      <c r="C21" s="332" t="str">
        <f t="shared" si="1"/>
        <v>Q1 2023</v>
      </c>
      <c r="D21" s="333">
        <v>5000.0</v>
      </c>
    </row>
    <row r="22">
      <c r="A22" s="326" t="s">
        <v>255</v>
      </c>
      <c r="B22" s="332">
        <v>45039.0</v>
      </c>
      <c r="C22" s="332" t="str">
        <f t="shared" si="1"/>
        <v>Q2 2023</v>
      </c>
      <c r="D22" s="333">
        <v>10000.0</v>
      </c>
    </row>
    <row r="23">
      <c r="A23" s="326" t="s">
        <v>256</v>
      </c>
      <c r="B23" s="332">
        <v>45069.0</v>
      </c>
      <c r="C23" s="332" t="str">
        <f t="shared" si="1"/>
        <v>Q2 2023</v>
      </c>
      <c r="D23" s="333">
        <v>15000.0</v>
      </c>
    </row>
    <row r="24">
      <c r="A24" s="326" t="s">
        <v>257</v>
      </c>
      <c r="B24" s="332">
        <v>45069.0</v>
      </c>
      <c r="C24" s="332" t="str">
        <f t="shared" si="1"/>
        <v>Q2 2023</v>
      </c>
      <c r="D24" s="333">
        <v>5000.0</v>
      </c>
    </row>
    <row r="25">
      <c r="A25" s="326" t="s">
        <v>258</v>
      </c>
      <c r="B25" s="332">
        <v>45069.0</v>
      </c>
      <c r="C25" s="332" t="str">
        <f t="shared" si="1"/>
        <v>Q2 2023</v>
      </c>
      <c r="D25" s="333">
        <v>30000.0</v>
      </c>
    </row>
    <row r="26">
      <c r="A26" s="326" t="s">
        <v>259</v>
      </c>
      <c r="B26" s="332">
        <v>45069.0</v>
      </c>
      <c r="C26" s="332" t="str">
        <f t="shared" si="1"/>
        <v>Q2 2023</v>
      </c>
      <c r="D26" s="333">
        <v>20000.0</v>
      </c>
    </row>
    <row r="27">
      <c r="A27" s="326" t="s">
        <v>260</v>
      </c>
      <c r="B27" s="332">
        <v>45100.0</v>
      </c>
      <c r="C27" s="332" t="str">
        <f t="shared" si="1"/>
        <v>Q2 2023</v>
      </c>
      <c r="D27" s="333">
        <v>25000.0</v>
      </c>
    </row>
    <row r="28">
      <c r="A28" s="326" t="s">
        <v>261</v>
      </c>
      <c r="B28" s="332">
        <v>45161.0</v>
      </c>
      <c r="C28" s="332" t="str">
        <f t="shared" si="1"/>
        <v>Q3 2023</v>
      </c>
      <c r="D28" s="333">
        <v>25000.0</v>
      </c>
    </row>
    <row r="29">
      <c r="A29" s="326" t="s">
        <v>262</v>
      </c>
      <c r="B29" s="332">
        <v>45161.0</v>
      </c>
      <c r="C29" s="332" t="str">
        <f t="shared" si="1"/>
        <v>Q3 2023</v>
      </c>
      <c r="D29" s="333">
        <v>20000.0</v>
      </c>
    </row>
    <row r="30">
      <c r="A30" s="326" t="s">
        <v>263</v>
      </c>
      <c r="B30" s="332">
        <v>45161.0</v>
      </c>
      <c r="C30" s="332" t="str">
        <f t="shared" si="1"/>
        <v>Q3 2023</v>
      </c>
      <c r="D30" s="333">
        <v>5000.0</v>
      </c>
    </row>
    <row r="31">
      <c r="A31" s="326" t="s">
        <v>264</v>
      </c>
      <c r="B31" s="332">
        <v>45161.0</v>
      </c>
      <c r="C31" s="332" t="str">
        <f t="shared" si="1"/>
        <v>Q3 2023</v>
      </c>
      <c r="D31" s="333">
        <v>15000.0</v>
      </c>
    </row>
    <row r="32">
      <c r="A32" s="326" t="s">
        <v>265</v>
      </c>
      <c r="B32" s="332">
        <v>45192.0</v>
      </c>
      <c r="C32" s="332" t="str">
        <f t="shared" si="1"/>
        <v>Q3 2023</v>
      </c>
      <c r="D32" s="333">
        <v>40000.0</v>
      </c>
    </row>
    <row r="33">
      <c r="A33" s="326" t="s">
        <v>266</v>
      </c>
      <c r="B33" s="332">
        <v>45192.0</v>
      </c>
      <c r="C33" s="332" t="str">
        <f t="shared" si="1"/>
        <v>Q3 2023</v>
      </c>
      <c r="D33" s="333">
        <v>27000.0</v>
      </c>
    </row>
    <row r="34">
      <c r="A34" s="326" t="s">
        <v>267</v>
      </c>
      <c r="B34" s="332">
        <v>45192.0</v>
      </c>
      <c r="C34" s="332" t="str">
        <f t="shared" si="1"/>
        <v>Q3 2023</v>
      </c>
      <c r="D34" s="333">
        <v>5000.0</v>
      </c>
    </row>
    <row r="35">
      <c r="A35" s="326" t="s">
        <v>268</v>
      </c>
      <c r="B35" s="332">
        <v>45192.0</v>
      </c>
      <c r="C35" s="332" t="str">
        <f t="shared" si="1"/>
        <v>Q3 2023</v>
      </c>
      <c r="D35" s="333">
        <v>23000.0</v>
      </c>
    </row>
    <row r="36">
      <c r="A36" s="326" t="s">
        <v>269</v>
      </c>
      <c r="B36" s="332">
        <v>45192.0</v>
      </c>
      <c r="C36" s="332" t="str">
        <f t="shared" si="1"/>
        <v>Q3 2023</v>
      </c>
      <c r="D36" s="333">
        <v>5000.0</v>
      </c>
    </row>
    <row r="37">
      <c r="A37" s="326" t="s">
        <v>270</v>
      </c>
      <c r="B37" s="332">
        <v>45192.0</v>
      </c>
      <c r="C37" s="332" t="str">
        <f t="shared" si="1"/>
        <v>Q3 2023</v>
      </c>
      <c r="D37" s="333">
        <v>32000.0</v>
      </c>
    </row>
    <row r="38">
      <c r="A38" s="326" t="s">
        <v>271</v>
      </c>
      <c r="B38" s="332">
        <v>45192.0</v>
      </c>
      <c r="C38" s="332" t="str">
        <f t="shared" si="1"/>
        <v>Q3 2023</v>
      </c>
      <c r="D38" s="333">
        <v>15000.0</v>
      </c>
    </row>
    <row r="39">
      <c r="A39" s="326" t="s">
        <v>272</v>
      </c>
      <c r="B39" s="332">
        <v>45222.0</v>
      </c>
      <c r="C39" s="332" t="str">
        <f t="shared" si="1"/>
        <v>Q4 2023</v>
      </c>
      <c r="D39" s="333">
        <v>20000.0</v>
      </c>
    </row>
    <row r="40">
      <c r="A40" s="3" t="s">
        <v>281</v>
      </c>
      <c r="B40" s="327">
        <v>45283.0</v>
      </c>
      <c r="C40" s="332" t="str">
        <f t="shared" si="1"/>
        <v>Q4 2023</v>
      </c>
      <c r="D40" s="328">
        <v>22500.0</v>
      </c>
    </row>
    <row r="41">
      <c r="A41" s="3" t="s">
        <v>282</v>
      </c>
      <c r="B41" s="327">
        <v>45283.0</v>
      </c>
      <c r="C41" s="332" t="str">
        <f t="shared" si="1"/>
        <v>Q4 2023</v>
      </c>
      <c r="D41" s="328">
        <v>12000.0</v>
      </c>
    </row>
    <row r="42">
      <c r="A42" s="3" t="s">
        <v>283</v>
      </c>
      <c r="B42" s="327">
        <v>45315.0</v>
      </c>
      <c r="C42" s="332" t="str">
        <f t="shared" si="1"/>
        <v>Q1 2024</v>
      </c>
      <c r="D42" s="328">
        <v>35000.0</v>
      </c>
    </row>
    <row r="43">
      <c r="A43" s="3" t="s">
        <v>284</v>
      </c>
      <c r="B43" s="327">
        <v>45315.0</v>
      </c>
      <c r="C43" s="332" t="str">
        <f t="shared" si="1"/>
        <v>Q1 2024</v>
      </c>
      <c r="D43" s="328">
        <v>35000.0</v>
      </c>
    </row>
    <row r="44">
      <c r="A44" s="3" t="s">
        <v>285</v>
      </c>
      <c r="B44" s="327">
        <v>45315.0</v>
      </c>
      <c r="C44" s="332" t="str">
        <f t="shared" si="1"/>
        <v>Q1 2024</v>
      </c>
      <c r="D44" s="328">
        <v>5000.0</v>
      </c>
    </row>
    <row r="45">
      <c r="A45" s="3" t="s">
        <v>286</v>
      </c>
      <c r="B45" s="327">
        <v>45315.0</v>
      </c>
      <c r="C45" s="332" t="str">
        <f t="shared" si="1"/>
        <v>Q1 2024</v>
      </c>
      <c r="D45" s="328">
        <v>12000.0</v>
      </c>
    </row>
    <row r="46">
      <c r="A46" s="3" t="s">
        <v>287</v>
      </c>
      <c r="B46" s="327">
        <v>45346.0</v>
      </c>
      <c r="C46" s="332" t="str">
        <f t="shared" si="1"/>
        <v>Q1 2024</v>
      </c>
      <c r="D46" s="328">
        <v>15000.0</v>
      </c>
    </row>
    <row r="47">
      <c r="A47" s="3" t="s">
        <v>288</v>
      </c>
      <c r="B47" s="327">
        <v>45375.0</v>
      </c>
      <c r="C47" s="332" t="str">
        <f t="shared" si="1"/>
        <v>Q1 2024</v>
      </c>
      <c r="D47" s="328">
        <v>20000.0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pageSetUpPr/>
  </sheetPr>
  <sheetViews>
    <sheetView showGridLines="0" workbookViewId="0"/>
  </sheetViews>
  <sheetFormatPr customHeight="1" defaultColWidth="12.63" defaultRowHeight="15.0"/>
  <cols>
    <col customWidth="1" min="1" max="1" width="1.5"/>
    <col customWidth="1" min="2" max="2" width="2.0"/>
    <col customWidth="1" min="3" max="3" width="17.88"/>
    <col customWidth="1" min="4" max="4" width="13.0"/>
    <col customWidth="1" min="5" max="5" width="10.75"/>
    <col customWidth="1" min="6" max="6" width="11.5"/>
    <col customWidth="1" min="7" max="7" width="7.5"/>
    <col customWidth="1" min="8" max="8" width="13.0"/>
    <col customWidth="1" min="9" max="18" width="9.38"/>
    <col customWidth="1" min="19" max="21" width="7.63"/>
    <col customWidth="1" min="22" max="22" width="17.88"/>
    <col customWidth="1" min="23" max="23" width="20.88"/>
    <col customWidth="1" min="24" max="24" width="14.88"/>
    <col customWidth="1" min="25" max="33" width="7.63"/>
  </cols>
  <sheetData>
    <row r="1">
      <c r="A1" s="334"/>
      <c r="B1" s="335"/>
      <c r="C1" s="336" t="s">
        <v>289</v>
      </c>
      <c r="D1" s="337"/>
      <c r="E1" s="337"/>
      <c r="F1" s="337"/>
      <c r="G1" s="338"/>
      <c r="H1" s="338"/>
      <c r="I1" s="338"/>
      <c r="J1" s="338"/>
      <c r="K1" s="338"/>
      <c r="L1" s="338"/>
      <c r="M1" s="338"/>
      <c r="N1" s="338"/>
      <c r="O1" s="338"/>
      <c r="P1" s="338"/>
      <c r="Q1" s="338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  <c r="AD1" s="339"/>
      <c r="AE1" s="339"/>
    </row>
    <row r="2">
      <c r="A2" s="340"/>
      <c r="B2" s="340"/>
      <c r="C2" s="340"/>
      <c r="D2" s="340"/>
      <c r="E2" s="340"/>
      <c r="F2" s="340"/>
      <c r="G2" s="340"/>
      <c r="H2" s="340"/>
      <c r="I2" s="340"/>
      <c r="J2" s="340"/>
      <c r="K2" s="340"/>
      <c r="L2" s="340"/>
      <c r="M2" s="340"/>
      <c r="N2" s="340"/>
      <c r="O2" s="340"/>
      <c r="P2" s="340"/>
      <c r="Q2" s="340"/>
      <c r="R2" s="340"/>
      <c r="S2" s="340"/>
      <c r="T2" s="340"/>
      <c r="U2" s="340"/>
      <c r="V2" s="340"/>
      <c r="W2" s="340"/>
      <c r="X2" s="340"/>
      <c r="Y2" s="340"/>
      <c r="Z2" s="340"/>
      <c r="AA2" s="340"/>
      <c r="AB2" s="340"/>
      <c r="AC2" s="340"/>
      <c r="AD2" s="340"/>
      <c r="AE2" s="340"/>
    </row>
    <row r="3">
      <c r="A3" s="340"/>
      <c r="B3" s="340"/>
      <c r="C3" s="341" t="s">
        <v>290</v>
      </c>
      <c r="D3" s="342"/>
      <c r="E3" s="343"/>
      <c r="F3" s="344"/>
      <c r="G3" s="340"/>
      <c r="H3" s="345" t="s">
        <v>291</v>
      </c>
      <c r="I3" s="346"/>
      <c r="J3" s="346"/>
      <c r="K3" s="346"/>
      <c r="L3" s="347"/>
      <c r="M3" s="340"/>
      <c r="N3" s="340"/>
      <c r="O3" s="340"/>
      <c r="P3" s="340"/>
      <c r="Q3" s="340"/>
      <c r="R3" s="34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</row>
    <row r="4">
      <c r="A4" s="340"/>
      <c r="B4" s="340"/>
      <c r="C4" s="348">
        <v>1.0</v>
      </c>
      <c r="D4" s="340" t="s">
        <v>292</v>
      </c>
      <c r="E4" s="349"/>
      <c r="F4" s="340"/>
      <c r="G4" s="340"/>
      <c r="H4" s="350"/>
      <c r="I4" s="351"/>
      <c r="J4" s="352"/>
      <c r="K4" s="353" t="s">
        <v>293</v>
      </c>
      <c r="L4" s="354" t="str">
        <f>SUM(V11:V51)/COUNT(V11:V51)</f>
        <v>#N/A</v>
      </c>
      <c r="M4" s="355"/>
      <c r="S4" s="340"/>
      <c r="T4" s="340"/>
      <c r="U4" s="340"/>
      <c r="V4" s="340"/>
      <c r="W4" s="340"/>
      <c r="X4" s="340"/>
      <c r="Y4" s="340"/>
      <c r="Z4" s="340"/>
      <c r="AA4" s="340"/>
      <c r="AB4" s="340"/>
      <c r="AC4" s="340"/>
      <c r="AD4" s="340"/>
      <c r="AE4" s="340"/>
    </row>
    <row r="5">
      <c r="A5" s="356"/>
      <c r="B5" s="340"/>
      <c r="C5" s="357"/>
      <c r="D5" s="358" t="s">
        <v>294</v>
      </c>
      <c r="E5" s="359"/>
      <c r="F5" s="358"/>
      <c r="G5" s="340"/>
      <c r="H5" s="360"/>
      <c r="I5" s="361"/>
      <c r="J5" s="361"/>
      <c r="K5" s="362" t="s">
        <v>295</v>
      </c>
      <c r="L5" s="363">
        <v>0.7</v>
      </c>
      <c r="M5" s="355"/>
      <c r="S5" s="340"/>
      <c r="T5" s="340"/>
      <c r="U5" s="340"/>
      <c r="V5" s="340"/>
      <c r="W5" s="340"/>
      <c r="X5" s="340"/>
      <c r="Y5" s="340"/>
      <c r="Z5" s="340"/>
      <c r="AA5" s="340"/>
      <c r="AB5" s="340"/>
      <c r="AC5" s="340"/>
      <c r="AD5" s="340"/>
      <c r="AE5" s="340"/>
    </row>
    <row r="6">
      <c r="A6" s="340"/>
      <c r="B6" s="340"/>
      <c r="C6" s="364"/>
      <c r="D6" s="365" t="s">
        <v>296</v>
      </c>
      <c r="E6" s="366"/>
      <c r="F6" s="358"/>
      <c r="G6" s="340"/>
      <c r="H6" s="340"/>
      <c r="I6" s="340"/>
      <c r="J6" s="340"/>
      <c r="K6" s="340"/>
      <c r="L6" s="340"/>
      <c r="M6" s="340"/>
      <c r="X6" s="340"/>
      <c r="Y6" s="340"/>
      <c r="Z6" s="340"/>
      <c r="AA6" s="340"/>
      <c r="AB6" s="340"/>
      <c r="AC6" s="340"/>
      <c r="AD6" s="340"/>
      <c r="AE6" s="340"/>
    </row>
    <row r="7">
      <c r="A7" s="340"/>
      <c r="B7" s="340"/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Q7" s="340"/>
      <c r="R7" s="340"/>
      <c r="X7" s="340"/>
      <c r="Y7" s="340"/>
      <c r="Z7" s="340"/>
      <c r="AA7" s="340"/>
      <c r="AB7" s="340"/>
      <c r="AC7" s="340"/>
      <c r="AD7" s="340"/>
      <c r="AE7" s="340"/>
      <c r="AF7" s="340"/>
      <c r="AG7" s="340"/>
    </row>
    <row r="8" ht="15.0" customHeight="1">
      <c r="A8" s="340"/>
      <c r="B8" s="340"/>
      <c r="C8" s="340"/>
      <c r="D8" s="340"/>
      <c r="E8" s="340"/>
      <c r="F8" s="340"/>
      <c r="G8" s="340"/>
      <c r="H8" s="340"/>
      <c r="I8" s="340"/>
      <c r="J8" s="340"/>
      <c r="K8" s="340"/>
      <c r="L8" s="340"/>
      <c r="M8" s="340"/>
      <c r="Q8" s="340"/>
      <c r="R8" s="340"/>
      <c r="S8" s="340"/>
      <c r="T8" s="340"/>
      <c r="U8" s="340"/>
      <c r="V8" s="340"/>
      <c r="W8" s="340"/>
      <c r="X8" s="340"/>
      <c r="Y8" s="340"/>
      <c r="Z8" s="340"/>
      <c r="AA8" s="340"/>
      <c r="AB8" s="340"/>
      <c r="AC8" s="340"/>
      <c r="AD8" s="340"/>
      <c r="AE8" s="340"/>
      <c r="AF8" s="340"/>
      <c r="AG8" s="340"/>
    </row>
    <row r="9">
      <c r="A9" s="367"/>
      <c r="B9" s="367"/>
      <c r="C9" s="367"/>
      <c r="D9" s="367"/>
      <c r="E9" s="367"/>
      <c r="F9" s="367"/>
      <c r="G9" s="367"/>
      <c r="H9" s="367"/>
      <c r="I9" s="368"/>
      <c r="J9" s="369"/>
      <c r="K9" s="369"/>
      <c r="L9" s="369"/>
      <c r="M9" s="369"/>
      <c r="N9" s="369"/>
      <c r="O9" s="369"/>
      <c r="P9" s="369"/>
      <c r="Q9" s="370"/>
      <c r="R9" s="368"/>
      <c r="S9" s="371"/>
      <c r="T9" s="371"/>
      <c r="U9" s="371"/>
      <c r="V9" s="371"/>
      <c r="W9" s="371"/>
      <c r="Y9" s="340"/>
      <c r="Z9" s="340"/>
      <c r="AA9" s="340"/>
      <c r="AB9" s="340"/>
      <c r="AC9" s="340"/>
      <c r="AD9" s="340"/>
      <c r="AE9" s="340"/>
      <c r="AF9" s="340"/>
      <c r="AG9" s="340"/>
    </row>
    <row r="10">
      <c r="A10" s="340"/>
      <c r="B10" s="340"/>
      <c r="C10" s="372" t="s">
        <v>297</v>
      </c>
      <c r="D10" s="373" t="s">
        <v>298</v>
      </c>
      <c r="E10" s="374" t="s">
        <v>21</v>
      </c>
      <c r="F10" s="375" t="s">
        <v>299</v>
      </c>
      <c r="G10" s="376" t="s">
        <v>300</v>
      </c>
      <c r="H10" s="375" t="s">
        <v>301</v>
      </c>
      <c r="I10" s="377" t="s">
        <v>302</v>
      </c>
      <c r="J10" s="377" t="s">
        <v>303</v>
      </c>
      <c r="K10" s="377" t="s">
        <v>304</v>
      </c>
      <c r="L10" s="377" t="s">
        <v>305</v>
      </c>
      <c r="M10" s="377" t="s">
        <v>306</v>
      </c>
      <c r="N10" s="377" t="s">
        <v>307</v>
      </c>
      <c r="O10" s="377" t="s">
        <v>308</v>
      </c>
      <c r="P10" s="377" t="s">
        <v>309</v>
      </c>
      <c r="Q10" s="377" t="s">
        <v>310</v>
      </c>
      <c r="R10" s="377" t="s">
        <v>311</v>
      </c>
      <c r="S10" s="377" t="s">
        <v>312</v>
      </c>
      <c r="T10" s="377" t="s">
        <v>313</v>
      </c>
      <c r="U10" s="377"/>
      <c r="V10" s="377" t="s">
        <v>314</v>
      </c>
      <c r="W10" s="378" t="s">
        <v>315</v>
      </c>
      <c r="X10" s="372"/>
      <c r="Z10" s="340"/>
      <c r="AA10" s="340"/>
      <c r="AB10" s="340"/>
      <c r="AC10" s="340"/>
      <c r="AD10" s="340"/>
      <c r="AE10" s="340"/>
      <c r="AF10" s="340"/>
      <c r="AG10" s="340"/>
    </row>
    <row r="11">
      <c r="A11" s="340"/>
      <c r="B11" s="340"/>
      <c r="C11" s="379"/>
      <c r="D11" s="380">
        <f>'Studies (Monthly) RAW'!B4</f>
        <v>45047</v>
      </c>
      <c r="E11" s="381">
        <f>'Studies (Cum) RAW'!C4</f>
        <v>15000</v>
      </c>
      <c r="F11" s="382" t="s">
        <v>316</v>
      </c>
      <c r="G11" s="383" t="b">
        <v>1</v>
      </c>
      <c r="H11" s="384">
        <f>'Studies (Monthly) RAW'!E4</f>
        <v>2</v>
      </c>
      <c r="I11" s="385">
        <f>IF(EQ('Studies (Monthly) RAW'!F4,""),"", (IF(('Studies (Monthly) RAW'!F4/$H11)&lt;$C$4, 0, 1)))</f>
        <v>0</v>
      </c>
      <c r="J11" s="385">
        <f>IF(EQ('Studies (Monthly) RAW'!G4, ""),"", (IF(('Studies (Monthly) RAW'!G4/$H11)&lt;$C$4, 0, 1)))</f>
        <v>0</v>
      </c>
      <c r="K11" s="385">
        <f>IF(EQ('Studies (Monthly) RAW'!H4,""),"", (IF(('Studies (Monthly) RAW'!H4/$H11)&lt;$C$4, 0, 1)))</f>
        <v>1</v>
      </c>
      <c r="L11" s="385">
        <f>IF(EQ('Studies (Monthly) RAW'!I4, ""),"", (IF(('Studies (Monthly) RAW'!I4/$H11)&lt;$C$4, 0, 1)))</f>
        <v>0</v>
      </c>
      <c r="M11" s="385">
        <f>IF(EQ('Studies (Monthly) RAW'!J4,""),"", (IF(('Studies (Monthly) RAW'!J4/$H11)&lt;$C$4, 0, 1)))</f>
        <v>1</v>
      </c>
      <c r="N11" s="385">
        <f>IF(EQ('Studies (Monthly) RAW'!K4, ""),"", (IF(('Studies (Monthly) RAW'!K4/$H11)&lt;$C$4, 0, 1)))</f>
        <v>1</v>
      </c>
      <c r="O11" s="385">
        <f>IF(EQ('Studies (Monthly) RAW'!L4,""),"", (IF(('Studies (Monthly) RAW'!L4/$H11)&lt;$C$4, 0, 1)))</f>
        <v>1</v>
      </c>
      <c r="P11" s="385">
        <f>IF(EQ('Studies (Monthly) RAW'!M4, ""),"", (IF(('Studies (Monthly) RAW'!M4/$H11)&lt;$C$4, 0, 1)))</f>
        <v>1</v>
      </c>
      <c r="Q11" s="385">
        <f>IF(EQ('Studies (Monthly) RAW'!N4,""),"", (IF(('Studies (Monthly) RAW'!N4/$H11)&lt;$C$4, 0, 1)))</f>
        <v>0</v>
      </c>
      <c r="R11" s="385">
        <f>IF(EQ('Studies (Monthly) RAW'!O4, ""),"", (IF(('Studies (Monthly) RAW'!O4/$H11)&lt;$C$4, 0, 1)))</f>
        <v>1</v>
      </c>
      <c r="S11" s="385">
        <f>IF(EQ('Studies (Monthly) RAW'!P4,""),"", (IF(('Studies (Monthly) RAW'!P4/$H11)&lt;$C$4, 0, 1)))</f>
        <v>1</v>
      </c>
      <c r="T11" s="385">
        <f>IF(EQ('Studies (Monthly) RAW'!Q4, ""),"", (IF(('Studies (Monthly) RAW'!Q4/$H11)&lt;$C$4, 0, 1)))</f>
        <v>1</v>
      </c>
      <c r="U11" s="385"/>
      <c r="V11" s="385">
        <f t="array" ref="V11">LOOKUP(2,1/(H11:U11&lt;&gt;""),H11:U11)</f>
        <v>1</v>
      </c>
      <c r="W11" s="385"/>
      <c r="X11" s="372"/>
      <c r="Z11" s="340"/>
      <c r="AA11" s="340"/>
      <c r="AB11" s="340"/>
      <c r="AC11" s="340"/>
      <c r="AD11" s="340"/>
      <c r="AE11" s="340"/>
      <c r="AF11" s="340"/>
      <c r="AG11" s="340"/>
    </row>
    <row r="12">
      <c r="A12" s="340"/>
      <c r="B12" s="340"/>
      <c r="C12" s="379"/>
      <c r="D12" s="380"/>
      <c r="E12" s="381"/>
      <c r="F12" s="382"/>
      <c r="G12" s="383" t="b">
        <v>0</v>
      </c>
      <c r="H12" s="384"/>
      <c r="I12" s="385"/>
      <c r="J12" s="385"/>
      <c r="K12" s="385"/>
      <c r="L12" s="385"/>
      <c r="M12" s="385"/>
      <c r="N12" s="385"/>
      <c r="O12" s="385"/>
      <c r="P12" s="385"/>
      <c r="Q12" s="385"/>
      <c r="R12" s="385"/>
      <c r="S12" s="385"/>
      <c r="T12" s="385"/>
      <c r="U12" s="385"/>
      <c r="V12" s="385" t="str">
        <f t="array" ref="V12">LOOKUP(2,1/(H12:U12&lt;&gt;""),H12:U12)</f>
        <v>#N/A</v>
      </c>
      <c r="W12" s="385"/>
      <c r="X12" s="372"/>
      <c r="Z12" s="340"/>
      <c r="AA12" s="340"/>
      <c r="AB12" s="340"/>
      <c r="AC12" s="340"/>
      <c r="AD12" s="340"/>
      <c r="AE12" s="340"/>
      <c r="AF12" s="340"/>
      <c r="AG12" s="340"/>
    </row>
    <row r="13">
      <c r="A13" s="340"/>
      <c r="B13" s="340"/>
      <c r="C13" s="379"/>
      <c r="D13" s="380"/>
      <c r="E13" s="381"/>
      <c r="F13" s="382"/>
      <c r="G13" s="383" t="b">
        <v>1</v>
      </c>
      <c r="H13" s="384"/>
      <c r="I13" s="385"/>
      <c r="J13" s="385"/>
      <c r="K13" s="385"/>
      <c r="L13" s="385"/>
      <c r="M13" s="385"/>
      <c r="N13" s="385"/>
      <c r="O13" s="385"/>
      <c r="P13" s="385"/>
      <c r="Q13" s="385"/>
      <c r="R13" s="385"/>
      <c r="S13" s="385"/>
      <c r="T13" s="385"/>
      <c r="U13" s="385"/>
      <c r="V13" s="385" t="str">
        <f t="array" ref="V13">LOOKUP(2,1/(H13:U13&lt;&gt;""),H13:U13)</f>
        <v>#N/A</v>
      </c>
      <c r="W13" s="385"/>
      <c r="X13" s="372"/>
      <c r="Z13" s="340"/>
      <c r="AA13" s="340"/>
      <c r="AB13" s="340"/>
      <c r="AC13" s="340"/>
      <c r="AD13" s="340"/>
      <c r="AE13" s="340"/>
      <c r="AF13" s="340"/>
      <c r="AG13" s="340"/>
    </row>
    <row r="14">
      <c r="A14" s="340"/>
      <c r="B14" s="340"/>
      <c r="C14" s="379"/>
      <c r="D14" s="380"/>
      <c r="E14" s="381"/>
      <c r="F14" s="382"/>
      <c r="G14" s="383" t="b">
        <v>1</v>
      </c>
      <c r="H14" s="384"/>
      <c r="I14" s="385"/>
      <c r="J14" s="385"/>
      <c r="K14" s="385"/>
      <c r="L14" s="385"/>
      <c r="M14" s="385"/>
      <c r="N14" s="385"/>
      <c r="O14" s="385"/>
      <c r="P14" s="385"/>
      <c r="Q14" s="385"/>
      <c r="R14" s="385"/>
      <c r="S14" s="385"/>
      <c r="T14" s="385"/>
      <c r="U14" s="385"/>
      <c r="V14" s="385" t="str">
        <f t="array" ref="V14">LOOKUP(2,1/(H14:U14&lt;&gt;""),H14:U14)</f>
        <v>#N/A</v>
      </c>
      <c r="W14" s="385"/>
      <c r="X14" s="372"/>
      <c r="Z14" s="340"/>
      <c r="AA14" s="340"/>
      <c r="AB14" s="340"/>
      <c r="AC14" s="340"/>
      <c r="AD14" s="340"/>
      <c r="AE14" s="340"/>
      <c r="AF14" s="340"/>
      <c r="AG14" s="340"/>
    </row>
    <row r="15">
      <c r="A15" s="340"/>
      <c r="B15" s="340"/>
      <c r="C15" s="379"/>
      <c r="D15" s="380"/>
      <c r="E15" s="381"/>
      <c r="F15" s="382"/>
      <c r="G15" s="383" t="b">
        <v>1</v>
      </c>
      <c r="H15" s="384"/>
      <c r="I15" s="385"/>
      <c r="J15" s="385"/>
      <c r="K15" s="385"/>
      <c r="L15" s="385"/>
      <c r="M15" s="385"/>
      <c r="N15" s="385"/>
      <c r="O15" s="385"/>
      <c r="P15" s="385"/>
      <c r="Q15" s="385"/>
      <c r="R15" s="385"/>
      <c r="S15" s="385"/>
      <c r="T15" s="385"/>
      <c r="U15" s="385"/>
      <c r="V15" s="385" t="str">
        <f t="array" ref="V15">LOOKUP(2,1/(H15:U15&lt;&gt;""),H15:U15)</f>
        <v>#N/A</v>
      </c>
      <c r="W15" s="385"/>
      <c r="X15" s="372"/>
      <c r="Z15" s="340"/>
      <c r="AA15" s="340"/>
      <c r="AB15" s="340"/>
      <c r="AC15" s="340"/>
      <c r="AD15" s="340"/>
      <c r="AE15" s="340"/>
      <c r="AF15" s="340"/>
      <c r="AG15" s="340"/>
    </row>
    <row r="16">
      <c r="A16" s="340"/>
      <c r="B16" s="340"/>
      <c r="C16" s="379"/>
      <c r="D16" s="380"/>
      <c r="E16" s="381"/>
      <c r="F16" s="382"/>
      <c r="G16" s="383" t="b">
        <v>1</v>
      </c>
      <c r="H16" s="384"/>
      <c r="I16" s="385"/>
      <c r="J16" s="385"/>
      <c r="K16" s="385"/>
      <c r="L16" s="385"/>
      <c r="M16" s="385"/>
      <c r="N16" s="385"/>
      <c r="O16" s="385"/>
      <c r="P16" s="385"/>
      <c r="Q16" s="385"/>
      <c r="R16" s="385"/>
      <c r="S16" s="385"/>
      <c r="T16" s="385"/>
      <c r="U16" s="385"/>
      <c r="V16" s="385" t="str">
        <f t="array" ref="V16">LOOKUP(2,1/(H16:U16&lt;&gt;""),H16:U16)</f>
        <v>#N/A</v>
      </c>
      <c r="W16" s="385"/>
      <c r="X16" s="372"/>
      <c r="Z16" s="340"/>
      <c r="AA16" s="340"/>
      <c r="AB16" s="340"/>
      <c r="AC16" s="340"/>
      <c r="AD16" s="340"/>
      <c r="AE16" s="340"/>
      <c r="AF16" s="340"/>
      <c r="AG16" s="340"/>
    </row>
    <row r="17">
      <c r="A17" s="340"/>
      <c r="B17" s="340"/>
      <c r="C17" s="379"/>
      <c r="D17" s="380"/>
      <c r="E17" s="381"/>
      <c r="F17" s="382"/>
      <c r="G17" s="383" t="b">
        <v>1</v>
      </c>
      <c r="H17" s="384"/>
      <c r="I17" s="385"/>
      <c r="J17" s="385"/>
      <c r="K17" s="385"/>
      <c r="L17" s="385"/>
      <c r="M17" s="385"/>
      <c r="N17" s="385"/>
      <c r="O17" s="385"/>
      <c r="P17" s="385"/>
      <c r="Q17" s="385"/>
      <c r="R17" s="385"/>
      <c r="S17" s="385"/>
      <c r="T17" s="385"/>
      <c r="U17" s="385"/>
      <c r="V17" s="385" t="str">
        <f t="array" ref="V17">LOOKUP(2,1/(H17:U17&lt;&gt;""),H17:U17)</f>
        <v>#N/A</v>
      </c>
      <c r="W17" s="385"/>
      <c r="X17" s="372"/>
      <c r="Z17" s="340"/>
      <c r="AA17" s="340"/>
      <c r="AB17" s="340"/>
      <c r="AC17" s="340"/>
      <c r="AD17" s="340"/>
      <c r="AE17" s="340"/>
      <c r="AF17" s="340"/>
      <c r="AG17" s="340"/>
    </row>
    <row r="18">
      <c r="A18" s="340"/>
      <c r="B18" s="340"/>
      <c r="C18" s="379"/>
      <c r="D18" s="380"/>
      <c r="E18" s="381"/>
      <c r="F18" s="382"/>
      <c r="G18" s="381" t="b">
        <v>0</v>
      </c>
      <c r="H18" s="384"/>
      <c r="I18" s="385"/>
      <c r="J18" s="385"/>
      <c r="K18" s="385"/>
      <c r="L18" s="385"/>
      <c r="M18" s="385"/>
      <c r="N18" s="385"/>
      <c r="O18" s="385"/>
      <c r="P18" s="385"/>
      <c r="Q18" s="385"/>
      <c r="R18" s="385"/>
      <c r="S18" s="385"/>
      <c r="T18" s="385"/>
      <c r="U18" s="385"/>
      <c r="V18" s="385" t="str">
        <f t="array" ref="V18">LOOKUP(2,1/(H18:U18&lt;&gt;""),H18:U18)</f>
        <v>#N/A</v>
      </c>
      <c r="W18" s="386"/>
      <c r="X18" s="372"/>
      <c r="Z18" s="340"/>
      <c r="AA18" s="340"/>
      <c r="AB18" s="340"/>
      <c r="AC18" s="340"/>
      <c r="AD18" s="340"/>
      <c r="AE18" s="340"/>
      <c r="AF18" s="340"/>
      <c r="AG18" s="340"/>
    </row>
    <row r="19" ht="15.75" customHeight="1">
      <c r="A19" s="340"/>
      <c r="B19" s="340"/>
      <c r="C19" s="379"/>
      <c r="D19" s="380"/>
      <c r="E19" s="381"/>
      <c r="F19" s="382"/>
      <c r="G19" s="383" t="b">
        <v>1</v>
      </c>
      <c r="H19" s="384"/>
      <c r="I19" s="385"/>
      <c r="J19" s="385"/>
      <c r="K19" s="385"/>
      <c r="L19" s="385"/>
      <c r="M19" s="385"/>
      <c r="N19" s="385"/>
      <c r="O19" s="385"/>
      <c r="P19" s="385"/>
      <c r="Q19" s="385"/>
      <c r="R19" s="385"/>
      <c r="S19" s="385"/>
      <c r="T19" s="385"/>
      <c r="U19" s="385"/>
      <c r="V19" s="385" t="str">
        <f t="array" ref="V19">LOOKUP(2,1/(H19:U19&lt;&gt;""),H19:U19)</f>
        <v>#N/A</v>
      </c>
      <c r="W19" s="385"/>
      <c r="X19" s="372"/>
      <c r="Z19" s="340"/>
      <c r="AA19" s="340"/>
      <c r="AB19" s="340"/>
      <c r="AC19" s="340"/>
      <c r="AD19" s="340"/>
      <c r="AE19" s="340"/>
      <c r="AF19" s="340"/>
      <c r="AG19" s="340"/>
    </row>
    <row r="20" ht="15.75" customHeight="1">
      <c r="A20" s="340"/>
      <c r="B20" s="340"/>
      <c r="C20" s="379"/>
      <c r="D20" s="380"/>
      <c r="E20" s="381"/>
      <c r="F20" s="382"/>
      <c r="G20" s="383" t="b">
        <v>1</v>
      </c>
      <c r="H20" s="384"/>
      <c r="I20" s="385"/>
      <c r="J20" s="385"/>
      <c r="K20" s="385"/>
      <c r="L20" s="385"/>
      <c r="M20" s="385"/>
      <c r="N20" s="385"/>
      <c r="O20" s="385"/>
      <c r="P20" s="385"/>
      <c r="Q20" s="385"/>
      <c r="R20" s="385"/>
      <c r="S20" s="385"/>
      <c r="T20" s="385"/>
      <c r="U20" s="385"/>
      <c r="V20" s="385" t="str">
        <f t="array" ref="V20">LOOKUP(2,1/(H20:U20&lt;&gt;""),H20:U20)</f>
        <v>#N/A</v>
      </c>
      <c r="W20" s="385"/>
      <c r="X20" s="372"/>
      <c r="Z20" s="340"/>
      <c r="AA20" s="340"/>
      <c r="AB20" s="340"/>
      <c r="AC20" s="340"/>
      <c r="AD20" s="340"/>
      <c r="AE20" s="340"/>
      <c r="AF20" s="340"/>
      <c r="AG20" s="340"/>
    </row>
    <row r="21" ht="15.75" customHeight="1">
      <c r="A21" s="340"/>
      <c r="B21" s="340"/>
      <c r="C21" s="379"/>
      <c r="D21" s="380"/>
      <c r="E21" s="381"/>
      <c r="F21" s="382"/>
      <c r="G21" s="381" t="b">
        <v>0</v>
      </c>
      <c r="H21" s="384"/>
      <c r="I21" s="385"/>
      <c r="J21" s="385"/>
      <c r="K21" s="385"/>
      <c r="L21" s="385"/>
      <c r="M21" s="385"/>
      <c r="N21" s="385"/>
      <c r="O21" s="385"/>
      <c r="P21" s="385"/>
      <c r="Q21" s="385"/>
      <c r="R21" s="385"/>
      <c r="S21" s="385"/>
      <c r="T21" s="385"/>
      <c r="U21" s="385"/>
      <c r="V21" s="385" t="str">
        <f t="array" ref="V21">LOOKUP(2,1/(H21:U21&lt;&gt;""),H21:U21)</f>
        <v>#N/A</v>
      </c>
      <c r="W21" s="386"/>
      <c r="X21" s="372"/>
      <c r="Z21" s="340"/>
      <c r="AA21" s="340"/>
      <c r="AB21" s="340"/>
      <c r="AC21" s="340"/>
      <c r="AD21" s="340"/>
      <c r="AE21" s="340"/>
      <c r="AF21" s="340"/>
      <c r="AG21" s="340"/>
    </row>
    <row r="22" ht="15.75" customHeight="1">
      <c r="C22" s="379"/>
      <c r="D22" s="380"/>
      <c r="E22" s="381"/>
      <c r="F22" s="382"/>
      <c r="G22" s="383" t="b">
        <v>1</v>
      </c>
      <c r="H22" s="384"/>
      <c r="I22" s="385"/>
      <c r="J22" s="385"/>
      <c r="K22" s="385"/>
      <c r="L22" s="385"/>
      <c r="M22" s="385"/>
      <c r="N22" s="385"/>
      <c r="O22" s="385"/>
      <c r="P22" s="385"/>
      <c r="Q22" s="385"/>
      <c r="R22" s="385"/>
      <c r="S22" s="385"/>
      <c r="T22" s="385"/>
      <c r="U22" s="385"/>
      <c r="V22" s="385" t="str">
        <f t="array" ref="V22">LOOKUP(2,1/(H22:U22&lt;&gt;""),H22:U22)</f>
        <v>#N/A</v>
      </c>
      <c r="W22" s="385"/>
      <c r="X22" s="372"/>
      <c r="Z22" s="340"/>
      <c r="AA22" s="340"/>
      <c r="AB22" s="340"/>
      <c r="AC22" s="340"/>
      <c r="AD22" s="340"/>
      <c r="AE22" s="340"/>
      <c r="AF22" s="340"/>
      <c r="AG22" s="340"/>
    </row>
    <row r="23" ht="15.75" customHeight="1">
      <c r="C23" s="379"/>
      <c r="D23" s="380"/>
      <c r="E23" s="381"/>
      <c r="F23" s="382"/>
      <c r="G23" s="383" t="b">
        <v>1</v>
      </c>
      <c r="H23" s="384"/>
      <c r="I23" s="385"/>
      <c r="J23" s="385"/>
      <c r="K23" s="385"/>
      <c r="L23" s="385"/>
      <c r="M23" s="385"/>
      <c r="N23" s="385"/>
      <c r="O23" s="385"/>
      <c r="P23" s="385"/>
      <c r="Q23" s="385"/>
      <c r="R23" s="385"/>
      <c r="S23" s="385"/>
      <c r="T23" s="385"/>
      <c r="U23" s="385"/>
      <c r="V23" s="385" t="str">
        <f t="array" ref="V23">LOOKUP(2,1/(H23:U23&lt;&gt;""),H23:U23)</f>
        <v>#N/A</v>
      </c>
      <c r="W23" s="385"/>
      <c r="X23" s="372"/>
      <c r="Z23" s="340"/>
      <c r="AA23" s="340"/>
      <c r="AB23" s="340"/>
      <c r="AC23" s="340"/>
      <c r="AD23" s="340"/>
      <c r="AE23" s="340"/>
      <c r="AF23" s="340"/>
      <c r="AG23" s="340"/>
    </row>
    <row r="24" ht="15.75" customHeight="1">
      <c r="A24" s="340"/>
      <c r="B24" s="340"/>
      <c r="C24" s="379"/>
      <c r="D24" s="380"/>
      <c r="E24" s="381"/>
      <c r="F24" s="382"/>
      <c r="G24" s="383" t="b">
        <v>1</v>
      </c>
      <c r="H24" s="384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 t="str">
        <f t="array" ref="V24">LOOKUP(2,1/(H24:U24&lt;&gt;""),H24:U24)</f>
        <v>#N/A</v>
      </c>
      <c r="W24" s="385"/>
      <c r="X24" s="372"/>
      <c r="Z24" s="340"/>
      <c r="AA24" s="340"/>
      <c r="AB24" s="340"/>
      <c r="AC24" s="340"/>
      <c r="AD24" s="340"/>
      <c r="AE24" s="340"/>
      <c r="AF24" s="340"/>
      <c r="AG24" s="340"/>
    </row>
    <row r="25" ht="15.75" customHeight="1">
      <c r="A25" s="340"/>
      <c r="B25" s="340"/>
      <c r="C25" s="379"/>
      <c r="D25" s="380"/>
      <c r="E25" s="381"/>
      <c r="F25" s="382"/>
      <c r="G25" s="381" t="b">
        <v>0</v>
      </c>
      <c r="H25" s="384"/>
      <c r="I25" s="385"/>
      <c r="J25" s="385"/>
      <c r="K25" s="385"/>
      <c r="L25" s="385"/>
      <c r="M25" s="385"/>
      <c r="N25" s="385"/>
      <c r="O25" s="385"/>
      <c r="P25" s="385"/>
      <c r="Q25" s="385"/>
      <c r="R25" s="385"/>
      <c r="S25" s="385"/>
      <c r="T25" s="385"/>
      <c r="U25" s="385"/>
      <c r="V25" s="385" t="str">
        <f t="array" ref="V25">LOOKUP(2,1/(H25:U25&lt;&gt;""),H25:U25)</f>
        <v>#N/A</v>
      </c>
      <c r="W25" s="385"/>
      <c r="X25" s="372"/>
      <c r="Z25" s="340"/>
      <c r="AA25" s="340"/>
      <c r="AB25" s="340"/>
      <c r="AC25" s="340"/>
      <c r="AD25" s="340"/>
      <c r="AE25" s="340"/>
      <c r="AF25" s="340"/>
      <c r="AG25" s="340"/>
    </row>
    <row r="26" ht="15.75" customHeight="1">
      <c r="A26" s="340"/>
      <c r="B26" s="340"/>
      <c r="C26" s="379"/>
      <c r="D26" s="380"/>
      <c r="E26" s="381"/>
      <c r="F26" s="382"/>
      <c r="G26" s="383" t="b">
        <v>1</v>
      </c>
      <c r="H26" s="384"/>
      <c r="I26" s="385"/>
      <c r="J26" s="385"/>
      <c r="K26" s="385"/>
      <c r="L26" s="385"/>
      <c r="M26" s="385"/>
      <c r="N26" s="385"/>
      <c r="O26" s="385"/>
      <c r="P26" s="385"/>
      <c r="Q26" s="385"/>
      <c r="R26" s="385"/>
      <c r="S26" s="385"/>
      <c r="T26" s="385"/>
      <c r="U26" s="385"/>
      <c r="V26" s="385" t="str">
        <f t="array" ref="V26">LOOKUP(2,1/(H26:U26&lt;&gt;""),H26:U26)</f>
        <v>#N/A</v>
      </c>
      <c r="W26" s="385"/>
      <c r="X26" s="372"/>
      <c r="Z26" s="340"/>
      <c r="AA26" s="340"/>
      <c r="AB26" s="340"/>
      <c r="AC26" s="340"/>
      <c r="AD26" s="340"/>
      <c r="AE26" s="340"/>
      <c r="AF26" s="340"/>
      <c r="AG26" s="340"/>
    </row>
    <row r="27" ht="15.75" customHeight="1">
      <c r="A27" s="340"/>
      <c r="B27" s="340"/>
      <c r="C27" s="379"/>
      <c r="D27" s="380"/>
      <c r="E27" s="381"/>
      <c r="F27" s="382"/>
      <c r="G27" s="383" t="b">
        <v>1</v>
      </c>
      <c r="H27" s="384"/>
      <c r="I27" s="385"/>
      <c r="J27" s="385"/>
      <c r="K27" s="385"/>
      <c r="L27" s="385"/>
      <c r="M27" s="385"/>
      <c r="N27" s="385"/>
      <c r="O27" s="385"/>
      <c r="P27" s="385"/>
      <c r="Q27" s="385"/>
      <c r="R27" s="385"/>
      <c r="S27" s="385"/>
      <c r="T27" s="385"/>
      <c r="U27" s="385"/>
      <c r="V27" s="385" t="str">
        <f t="array" ref="V27">LOOKUP(2,1/(H27:U27&lt;&gt;""),H27:U27)</f>
        <v>#N/A</v>
      </c>
      <c r="W27" s="386"/>
      <c r="X27" s="372"/>
      <c r="Z27" s="340"/>
      <c r="AA27" s="340"/>
      <c r="AB27" s="340"/>
      <c r="AC27" s="340"/>
      <c r="AD27" s="340"/>
      <c r="AE27" s="340"/>
      <c r="AF27" s="340"/>
      <c r="AG27" s="340"/>
    </row>
    <row r="28" ht="15.75" customHeight="1">
      <c r="A28" s="340"/>
      <c r="B28" s="340"/>
      <c r="C28" s="379"/>
      <c r="D28" s="380"/>
      <c r="E28" s="381"/>
      <c r="F28" s="382"/>
      <c r="G28" s="383" t="b">
        <v>1</v>
      </c>
      <c r="H28" s="384"/>
      <c r="I28" s="385"/>
      <c r="J28" s="385"/>
      <c r="K28" s="385"/>
      <c r="L28" s="385"/>
      <c r="M28" s="385"/>
      <c r="N28" s="385"/>
      <c r="O28" s="385"/>
      <c r="P28" s="385"/>
      <c r="Q28" s="385"/>
      <c r="R28" s="385"/>
      <c r="S28" s="385"/>
      <c r="T28" s="385"/>
      <c r="U28" s="385"/>
      <c r="V28" s="385" t="str">
        <f t="array" ref="V28">LOOKUP(2,1/(H28:U28&lt;&gt;""),H28:U28)</f>
        <v>#N/A</v>
      </c>
      <c r="W28" s="385"/>
      <c r="X28" s="372"/>
      <c r="Z28" s="340"/>
      <c r="AA28" s="340"/>
      <c r="AB28" s="340"/>
      <c r="AC28" s="340"/>
      <c r="AD28" s="340"/>
      <c r="AE28" s="340"/>
      <c r="AF28" s="340"/>
      <c r="AG28" s="340"/>
    </row>
    <row r="29" ht="15.75" customHeight="1">
      <c r="A29" s="340"/>
      <c r="B29" s="340"/>
      <c r="C29" s="379"/>
      <c r="D29" s="380"/>
      <c r="E29" s="381"/>
      <c r="F29" s="382"/>
      <c r="G29" s="383" t="b">
        <v>1</v>
      </c>
      <c r="H29" s="384"/>
      <c r="I29" s="385"/>
      <c r="J29" s="385"/>
      <c r="K29" s="385"/>
      <c r="L29" s="385"/>
      <c r="M29" s="385"/>
      <c r="N29" s="385"/>
      <c r="O29" s="385"/>
      <c r="P29" s="385"/>
      <c r="Q29" s="385"/>
      <c r="R29" s="385"/>
      <c r="S29" s="385"/>
      <c r="T29" s="385"/>
      <c r="U29" s="385"/>
      <c r="V29" s="385" t="str">
        <f t="array" ref="V29">LOOKUP(2,1/(H29:U29&lt;&gt;""),H29:U29)</f>
        <v>#N/A</v>
      </c>
      <c r="W29" s="385"/>
      <c r="X29" s="372"/>
      <c r="Z29" s="340"/>
      <c r="AA29" s="340"/>
      <c r="AB29" s="340"/>
      <c r="AC29" s="340"/>
      <c r="AD29" s="340"/>
      <c r="AE29" s="340"/>
      <c r="AF29" s="340"/>
      <c r="AG29" s="340"/>
    </row>
    <row r="30" ht="15.75" customHeight="1">
      <c r="A30" s="340"/>
      <c r="B30" s="340"/>
      <c r="C30" s="379"/>
      <c r="D30" s="380"/>
      <c r="E30" s="381"/>
      <c r="F30" s="382"/>
      <c r="G30" s="381" t="b">
        <v>0</v>
      </c>
      <c r="H30" s="384"/>
      <c r="I30" s="385"/>
      <c r="J30" s="385"/>
      <c r="K30" s="385"/>
      <c r="L30" s="385"/>
      <c r="M30" s="385"/>
      <c r="N30" s="385"/>
      <c r="O30" s="385"/>
      <c r="P30" s="385"/>
      <c r="Q30" s="385"/>
      <c r="R30" s="385"/>
      <c r="S30" s="385"/>
      <c r="T30" s="385"/>
      <c r="U30" s="385"/>
      <c r="V30" s="385" t="str">
        <f t="array" ref="V30">LOOKUP(2,1/(H30:U30&lt;&gt;""),H30:U30)</f>
        <v>#N/A</v>
      </c>
      <c r="W30" s="386"/>
      <c r="X30" s="340"/>
      <c r="Z30" s="340"/>
      <c r="AA30" s="340"/>
      <c r="AB30" s="340"/>
      <c r="AC30" s="340"/>
      <c r="AD30" s="340"/>
      <c r="AE30" s="340"/>
      <c r="AF30" s="340"/>
      <c r="AG30" s="340"/>
    </row>
    <row r="31" ht="15.75" customHeight="1">
      <c r="A31" s="340"/>
      <c r="B31" s="340"/>
      <c r="C31" s="379"/>
      <c r="D31" s="380"/>
      <c r="E31" s="383"/>
      <c r="F31" s="382"/>
      <c r="G31" s="381" t="b">
        <v>0</v>
      </c>
      <c r="H31" s="384"/>
      <c r="I31" s="385"/>
      <c r="J31" s="385"/>
      <c r="K31" s="385"/>
      <c r="L31" s="385"/>
      <c r="M31" s="385"/>
      <c r="N31" s="385"/>
      <c r="O31" s="385"/>
      <c r="P31" s="385"/>
      <c r="Q31" s="385"/>
      <c r="R31" s="385"/>
      <c r="S31" s="385"/>
      <c r="T31" s="385"/>
      <c r="U31" s="385"/>
      <c r="V31" s="385" t="str">
        <f t="array" ref="V31">LOOKUP(2,1/(H31:U31&lt;&gt;""),H31:U31)</f>
        <v>#N/A</v>
      </c>
      <c r="W31" s="385"/>
      <c r="X31" s="340"/>
      <c r="Z31" s="340"/>
      <c r="AA31" s="340"/>
      <c r="AB31" s="340"/>
      <c r="AC31" s="340"/>
      <c r="AD31" s="340"/>
      <c r="AE31" s="340"/>
      <c r="AF31" s="340"/>
      <c r="AG31" s="340"/>
    </row>
    <row r="32" ht="15.75" customHeight="1">
      <c r="A32" s="340"/>
      <c r="B32" s="340"/>
      <c r="C32" s="379"/>
      <c r="D32" s="380"/>
      <c r="E32" s="383"/>
      <c r="F32" s="382"/>
      <c r="G32" s="383" t="b">
        <v>0</v>
      </c>
      <c r="H32" s="384"/>
      <c r="I32" s="385"/>
      <c r="J32" s="385"/>
      <c r="K32" s="385"/>
      <c r="L32" s="385"/>
      <c r="M32" s="385"/>
      <c r="N32" s="385"/>
      <c r="O32" s="385"/>
      <c r="P32" s="385"/>
      <c r="Q32" s="385"/>
      <c r="R32" s="385"/>
      <c r="S32" s="385"/>
      <c r="T32" s="385"/>
      <c r="U32" s="385"/>
      <c r="V32" s="385" t="str">
        <f t="array" ref="V32">LOOKUP(2,1/(H32:U32&lt;&gt;""),H32:U32)</f>
        <v>#N/A</v>
      </c>
      <c r="W32" s="385"/>
      <c r="X32" s="372"/>
      <c r="Z32" s="340"/>
      <c r="AA32" s="340"/>
      <c r="AB32" s="340"/>
      <c r="AC32" s="340"/>
      <c r="AD32" s="340"/>
      <c r="AE32" s="340"/>
      <c r="AF32" s="340"/>
      <c r="AG32" s="340"/>
    </row>
    <row r="33" ht="15.75" customHeight="1">
      <c r="A33" s="340"/>
      <c r="B33" s="340"/>
      <c r="C33" s="379"/>
      <c r="D33" s="380"/>
      <c r="E33" s="383"/>
      <c r="F33" s="382"/>
      <c r="G33" s="383" t="b">
        <v>1</v>
      </c>
      <c r="H33" s="384"/>
      <c r="I33" s="385"/>
      <c r="J33" s="385"/>
      <c r="K33" s="385"/>
      <c r="L33" s="385"/>
      <c r="M33" s="385"/>
      <c r="N33" s="385"/>
      <c r="O33" s="385"/>
      <c r="P33" s="385"/>
      <c r="Q33" s="385"/>
      <c r="R33" s="385"/>
      <c r="S33" s="385"/>
      <c r="T33" s="385"/>
      <c r="U33" s="385"/>
      <c r="V33" s="385" t="str">
        <f t="array" ref="V33">LOOKUP(2,1/(H33:U33&lt;&gt;""),H33:U33)</f>
        <v>#N/A</v>
      </c>
      <c r="W33" s="385"/>
      <c r="X33" s="340"/>
      <c r="Z33" s="340"/>
      <c r="AA33" s="340"/>
      <c r="AB33" s="340"/>
      <c r="AC33" s="340"/>
      <c r="AD33" s="340"/>
      <c r="AE33" s="340"/>
      <c r="AF33" s="340"/>
      <c r="AG33" s="340"/>
    </row>
    <row r="34" ht="15.75" customHeight="1">
      <c r="A34" s="340"/>
      <c r="B34" s="340"/>
      <c r="C34" s="379"/>
      <c r="D34" s="380"/>
      <c r="E34" s="383"/>
      <c r="F34" s="382"/>
      <c r="G34" s="383" t="b">
        <v>1</v>
      </c>
      <c r="H34" s="384"/>
      <c r="I34" s="385"/>
      <c r="J34" s="385"/>
      <c r="K34" s="385"/>
      <c r="L34" s="385"/>
      <c r="M34" s="385"/>
      <c r="N34" s="385"/>
      <c r="O34" s="385"/>
      <c r="P34" s="385"/>
      <c r="Q34" s="385"/>
      <c r="R34" s="385"/>
      <c r="S34" s="385"/>
      <c r="T34" s="385"/>
      <c r="U34" s="385"/>
      <c r="V34" s="385" t="str">
        <f t="array" ref="V34">LOOKUP(2,1/(H34:U34&lt;&gt;""),H34:U34)</f>
        <v>#N/A</v>
      </c>
      <c r="W34" s="385"/>
      <c r="X34" s="340"/>
      <c r="Z34" s="340"/>
      <c r="AA34" s="340"/>
      <c r="AB34" s="340"/>
      <c r="AC34" s="340"/>
      <c r="AD34" s="340"/>
      <c r="AE34" s="340"/>
      <c r="AF34" s="340"/>
      <c r="AG34" s="340"/>
    </row>
    <row r="35" ht="15.75" customHeight="1">
      <c r="A35" s="340"/>
      <c r="B35" s="340"/>
      <c r="C35" s="379"/>
      <c r="D35" s="380"/>
      <c r="E35" s="381"/>
      <c r="F35" s="382"/>
      <c r="G35" s="383" t="b">
        <v>1</v>
      </c>
      <c r="H35" s="384"/>
      <c r="I35" s="385"/>
      <c r="J35" s="385"/>
      <c r="K35" s="385"/>
      <c r="L35" s="385"/>
      <c r="M35" s="385"/>
      <c r="N35" s="385"/>
      <c r="O35" s="385"/>
      <c r="P35" s="385"/>
      <c r="Q35" s="385"/>
      <c r="R35" s="385"/>
      <c r="S35" s="385"/>
      <c r="T35" s="385"/>
      <c r="U35" s="385"/>
      <c r="V35" s="385" t="str">
        <f t="array" ref="V35">LOOKUP(2,1/(H35:U35&lt;&gt;""),H35:U35)</f>
        <v>#N/A</v>
      </c>
      <c r="W35" s="385"/>
      <c r="X35" s="340"/>
      <c r="Z35" s="340"/>
      <c r="AA35" s="340"/>
      <c r="AB35" s="340"/>
      <c r="AC35" s="340"/>
      <c r="AD35" s="340"/>
      <c r="AE35" s="340"/>
      <c r="AF35" s="340"/>
      <c r="AG35" s="340"/>
    </row>
    <row r="36" ht="15.75" customHeight="1">
      <c r="A36" s="340"/>
      <c r="B36" s="340"/>
      <c r="C36" s="379"/>
      <c r="D36" s="380"/>
      <c r="E36" s="381"/>
      <c r="F36" s="382"/>
      <c r="G36" s="383" t="b">
        <v>1</v>
      </c>
      <c r="H36" s="384"/>
      <c r="I36" s="385"/>
      <c r="J36" s="385"/>
      <c r="K36" s="385"/>
      <c r="L36" s="385"/>
      <c r="M36" s="385"/>
      <c r="N36" s="385"/>
      <c r="O36" s="385"/>
      <c r="P36" s="385"/>
      <c r="Q36" s="385"/>
      <c r="R36" s="385"/>
      <c r="S36" s="385"/>
      <c r="T36" s="385"/>
      <c r="U36" s="385"/>
      <c r="V36" s="385" t="str">
        <f t="array" ref="V36">LOOKUP(2,1/(H36:U36&lt;&gt;""),H36:U36)</f>
        <v>#N/A</v>
      </c>
      <c r="W36" s="385"/>
      <c r="X36" s="340"/>
      <c r="Z36" s="340"/>
      <c r="AA36" s="340"/>
      <c r="AB36" s="340"/>
      <c r="AC36" s="340"/>
      <c r="AD36" s="340"/>
      <c r="AE36" s="340"/>
      <c r="AF36" s="340"/>
      <c r="AG36" s="340"/>
    </row>
    <row r="37" ht="15.75" customHeight="1">
      <c r="A37" s="340"/>
      <c r="B37" s="340"/>
      <c r="C37" s="379"/>
      <c r="D37" s="380"/>
      <c r="E37" s="383"/>
      <c r="F37" s="382"/>
      <c r="G37" s="383" t="b">
        <v>1</v>
      </c>
      <c r="H37" s="384"/>
      <c r="I37" s="385"/>
      <c r="J37" s="385"/>
      <c r="K37" s="385"/>
      <c r="L37" s="385"/>
      <c r="M37" s="385"/>
      <c r="N37" s="385"/>
      <c r="O37" s="385"/>
      <c r="P37" s="385"/>
      <c r="Q37" s="385"/>
      <c r="R37" s="385"/>
      <c r="S37" s="385"/>
      <c r="T37" s="385"/>
      <c r="U37" s="385"/>
      <c r="V37" s="385" t="str">
        <f t="array" ref="V37">LOOKUP(2,1/(H37:U37&lt;&gt;""),H37:U37)</f>
        <v>#N/A</v>
      </c>
      <c r="W37" s="385"/>
      <c r="X37" s="340"/>
      <c r="Z37" s="340"/>
      <c r="AA37" s="340"/>
      <c r="AB37" s="340"/>
      <c r="AC37" s="340"/>
      <c r="AD37" s="340"/>
      <c r="AE37" s="340"/>
      <c r="AF37" s="340"/>
      <c r="AG37" s="340"/>
    </row>
    <row r="38" ht="15.75" customHeight="1">
      <c r="A38" s="340"/>
      <c r="B38" s="340"/>
      <c r="C38" s="379"/>
      <c r="D38" s="380"/>
      <c r="E38" s="381"/>
      <c r="F38" s="382"/>
      <c r="G38" s="383" t="b">
        <v>1</v>
      </c>
      <c r="H38" s="384"/>
      <c r="I38" s="385"/>
      <c r="J38" s="385"/>
      <c r="K38" s="385"/>
      <c r="L38" s="385"/>
      <c r="M38" s="385"/>
      <c r="N38" s="385"/>
      <c r="O38" s="385"/>
      <c r="P38" s="385"/>
      <c r="Q38" s="385"/>
      <c r="R38" s="385"/>
      <c r="S38" s="385"/>
      <c r="T38" s="385"/>
      <c r="U38" s="385"/>
      <c r="V38" s="385" t="str">
        <f t="array" ref="V38">LOOKUP(2,1/(H38:U38&lt;&gt;""),H38:U38)</f>
        <v>#N/A</v>
      </c>
      <c r="W38" s="385"/>
      <c r="X38" s="340"/>
      <c r="Z38" s="340"/>
      <c r="AA38" s="340"/>
      <c r="AB38" s="340"/>
      <c r="AC38" s="340"/>
      <c r="AD38" s="340"/>
      <c r="AE38" s="340"/>
      <c r="AF38" s="340"/>
      <c r="AG38" s="340"/>
    </row>
    <row r="39" ht="15.75" customHeight="1">
      <c r="A39" s="340"/>
      <c r="B39" s="340"/>
      <c r="C39" s="379"/>
      <c r="D39" s="380"/>
      <c r="E39" s="381"/>
      <c r="F39" s="382"/>
      <c r="G39" s="383" t="b">
        <v>1</v>
      </c>
      <c r="H39" s="384"/>
      <c r="I39" s="385"/>
      <c r="J39" s="385"/>
      <c r="K39" s="385"/>
      <c r="L39" s="385"/>
      <c r="M39" s="385"/>
      <c r="N39" s="385"/>
      <c r="O39" s="385"/>
      <c r="P39" s="385"/>
      <c r="Q39" s="385"/>
      <c r="R39" s="385"/>
      <c r="S39" s="385"/>
      <c r="T39" s="385"/>
      <c r="U39" s="385"/>
      <c r="V39" s="385" t="str">
        <f t="array" ref="V39">LOOKUP(2,1/(H39:U39&lt;&gt;""),H39:U39)</f>
        <v>#N/A</v>
      </c>
      <c r="W39" s="386"/>
      <c r="X39" s="340"/>
      <c r="Z39" s="340"/>
      <c r="AA39" s="340"/>
      <c r="AB39" s="340"/>
      <c r="AC39" s="340"/>
      <c r="AD39" s="340"/>
      <c r="AE39" s="340"/>
      <c r="AF39" s="340"/>
      <c r="AG39" s="340"/>
    </row>
    <row r="40" ht="15.75" customHeight="1">
      <c r="A40" s="340"/>
      <c r="B40" s="340"/>
      <c r="C40" s="379"/>
      <c r="D40" s="380"/>
      <c r="E40" s="383"/>
      <c r="F40" s="382"/>
      <c r="G40" s="383" t="b">
        <v>1</v>
      </c>
      <c r="H40" s="384"/>
      <c r="I40" s="385"/>
      <c r="J40" s="385"/>
      <c r="K40" s="385"/>
      <c r="L40" s="385"/>
      <c r="M40" s="385"/>
      <c r="N40" s="385"/>
      <c r="O40" s="385"/>
      <c r="P40" s="385"/>
      <c r="Q40" s="385"/>
      <c r="R40" s="385"/>
      <c r="S40" s="385"/>
      <c r="T40" s="385"/>
      <c r="U40" s="385"/>
      <c r="V40" s="385" t="str">
        <f t="array" ref="V40">LOOKUP(2,1/(H40:U40&lt;&gt;""),H40:U40)</f>
        <v>#N/A</v>
      </c>
      <c r="W40" s="385"/>
      <c r="X40" s="340"/>
      <c r="Z40" s="340"/>
      <c r="AA40" s="340"/>
      <c r="AB40" s="340"/>
      <c r="AC40" s="340"/>
      <c r="AD40" s="340"/>
      <c r="AE40" s="340"/>
      <c r="AF40" s="340"/>
      <c r="AG40" s="340"/>
    </row>
    <row r="41" ht="15.75" customHeight="1">
      <c r="A41" s="340"/>
      <c r="B41" s="340"/>
      <c r="C41" s="379"/>
      <c r="D41" s="380"/>
      <c r="E41" s="381"/>
      <c r="F41" s="382"/>
      <c r="G41" s="381" t="b">
        <v>0</v>
      </c>
      <c r="H41" s="384"/>
      <c r="I41" s="385"/>
      <c r="J41" s="385"/>
      <c r="K41" s="385"/>
      <c r="L41" s="385"/>
      <c r="M41" s="385"/>
      <c r="N41" s="385"/>
      <c r="O41" s="385"/>
      <c r="P41" s="385"/>
      <c r="Q41" s="385"/>
      <c r="R41" s="385"/>
      <c r="S41" s="385"/>
      <c r="T41" s="385"/>
      <c r="U41" s="385"/>
      <c r="V41" s="385" t="str">
        <f t="array" ref="V41">LOOKUP(2,1/(H41:U41&lt;&gt;""),H41:U41)</f>
        <v>#N/A</v>
      </c>
      <c r="W41" s="385"/>
      <c r="X41" s="340"/>
      <c r="Z41" s="340"/>
      <c r="AA41" s="340"/>
      <c r="AB41" s="340"/>
      <c r="AC41" s="340"/>
      <c r="AD41" s="340"/>
      <c r="AE41" s="340"/>
      <c r="AF41" s="340"/>
      <c r="AG41" s="340"/>
    </row>
    <row r="42" ht="15.75" customHeight="1">
      <c r="A42" s="340"/>
      <c r="B42" s="340"/>
      <c r="C42" s="379"/>
      <c r="D42" s="380"/>
      <c r="E42" s="381"/>
      <c r="F42" s="382"/>
      <c r="G42" s="383" t="b">
        <v>1</v>
      </c>
      <c r="H42" s="384"/>
      <c r="I42" s="385"/>
      <c r="J42" s="385"/>
      <c r="K42" s="385"/>
      <c r="L42" s="385"/>
      <c r="M42" s="385"/>
      <c r="N42" s="385"/>
      <c r="O42" s="385"/>
      <c r="P42" s="385"/>
      <c r="Q42" s="385"/>
      <c r="R42" s="385"/>
      <c r="S42" s="385"/>
      <c r="T42" s="385"/>
      <c r="U42" s="385"/>
      <c r="V42" s="385" t="str">
        <f t="array" ref="V42">LOOKUP(2,1/(H42:U42&lt;&gt;""),H42:U42)</f>
        <v>#N/A</v>
      </c>
      <c r="W42" s="385"/>
      <c r="X42" s="340"/>
      <c r="Z42" s="340"/>
      <c r="AA42" s="340"/>
      <c r="AB42" s="340"/>
      <c r="AC42" s="340"/>
      <c r="AD42" s="340"/>
      <c r="AE42" s="340"/>
      <c r="AF42" s="340"/>
      <c r="AG42" s="340"/>
    </row>
    <row r="43" ht="15.75" customHeight="1">
      <c r="A43" s="340"/>
      <c r="B43" s="340"/>
      <c r="C43" s="379"/>
      <c r="D43" s="380"/>
      <c r="E43" s="383"/>
      <c r="F43" s="382"/>
      <c r="G43" s="383" t="b">
        <v>1</v>
      </c>
      <c r="H43" s="384"/>
      <c r="I43" s="385"/>
      <c r="J43" s="385"/>
      <c r="K43" s="385"/>
      <c r="L43" s="385"/>
      <c r="M43" s="385"/>
      <c r="N43" s="385"/>
      <c r="O43" s="385"/>
      <c r="P43" s="385"/>
      <c r="Q43" s="385"/>
      <c r="R43" s="385"/>
      <c r="S43" s="385"/>
      <c r="T43" s="385"/>
      <c r="U43" s="385"/>
      <c r="V43" s="385" t="str">
        <f t="array" ref="V43">LOOKUP(2,1/(H43:U43&lt;&gt;""),H43:U43)</f>
        <v>#N/A</v>
      </c>
      <c r="W43" s="385"/>
      <c r="X43" s="340"/>
      <c r="Z43" s="340"/>
      <c r="AA43" s="340"/>
      <c r="AB43" s="340"/>
      <c r="AC43" s="340"/>
      <c r="AD43" s="340"/>
      <c r="AE43" s="340"/>
      <c r="AF43" s="340"/>
      <c r="AG43" s="340"/>
    </row>
    <row r="44" ht="15.75" customHeight="1">
      <c r="A44" s="340"/>
      <c r="B44" s="340"/>
      <c r="C44" s="379"/>
      <c r="D44" s="380"/>
      <c r="E44" s="381"/>
      <c r="F44" s="382"/>
      <c r="G44" s="383" t="b">
        <v>1</v>
      </c>
      <c r="H44" s="384"/>
      <c r="I44" s="385"/>
      <c r="J44" s="385"/>
      <c r="K44" s="385"/>
      <c r="L44" s="385"/>
      <c r="M44" s="385"/>
      <c r="N44" s="385"/>
      <c r="O44" s="385"/>
      <c r="P44" s="385"/>
      <c r="Q44" s="385"/>
      <c r="R44" s="385"/>
      <c r="S44" s="385"/>
      <c r="T44" s="385"/>
      <c r="U44" s="385"/>
      <c r="V44" s="385" t="str">
        <f t="array" ref="V44">LOOKUP(2,1/(H44:U44&lt;&gt;""),H44:U44)</f>
        <v>#N/A</v>
      </c>
      <c r="W44" s="385"/>
      <c r="X44" s="340"/>
      <c r="Z44" s="340"/>
      <c r="AA44" s="340"/>
      <c r="AB44" s="340"/>
      <c r="AC44" s="340"/>
      <c r="AD44" s="340"/>
      <c r="AE44" s="340"/>
      <c r="AF44" s="340"/>
      <c r="AG44" s="340"/>
    </row>
    <row r="45" ht="15.75" customHeight="1">
      <c r="A45" s="340"/>
      <c r="B45" s="340"/>
      <c r="C45" s="379"/>
      <c r="D45" s="380"/>
      <c r="E45" s="381"/>
      <c r="F45" s="382"/>
      <c r="G45" s="383" t="b">
        <v>1</v>
      </c>
      <c r="H45" s="384"/>
      <c r="I45" s="385"/>
      <c r="J45" s="385"/>
      <c r="K45" s="385"/>
      <c r="L45" s="385"/>
      <c r="M45" s="385"/>
      <c r="N45" s="385"/>
      <c r="O45" s="385"/>
      <c r="P45" s="385"/>
      <c r="Q45" s="385"/>
      <c r="R45" s="385"/>
      <c r="S45" s="385"/>
      <c r="T45" s="385"/>
      <c r="U45" s="385"/>
      <c r="V45" s="385" t="str">
        <f t="array" ref="V45">LOOKUP(2,1/(H45:U45&lt;&gt;""),H45:U45)</f>
        <v>#N/A</v>
      </c>
      <c r="W45" s="385"/>
      <c r="X45" s="340"/>
      <c r="Z45" s="340"/>
      <c r="AA45" s="340"/>
      <c r="AB45" s="340"/>
      <c r="AC45" s="340"/>
      <c r="AD45" s="340"/>
      <c r="AE45" s="340"/>
      <c r="AF45" s="340"/>
      <c r="AG45" s="340"/>
    </row>
    <row r="46" ht="15.75" customHeight="1">
      <c r="A46" s="340"/>
      <c r="B46" s="340"/>
      <c r="C46" s="379"/>
      <c r="D46" s="380"/>
      <c r="E46" s="383"/>
      <c r="F46" s="382"/>
      <c r="G46" s="383" t="b">
        <v>1</v>
      </c>
      <c r="H46" s="384"/>
      <c r="I46" s="385"/>
      <c r="J46" s="385"/>
      <c r="K46" s="385"/>
      <c r="L46" s="385"/>
      <c r="M46" s="385"/>
      <c r="N46" s="385"/>
      <c r="O46" s="385"/>
      <c r="P46" s="385"/>
      <c r="Q46" s="385"/>
      <c r="R46" s="385"/>
      <c r="S46" s="385"/>
      <c r="T46" s="385"/>
      <c r="U46" s="385"/>
      <c r="V46" s="385" t="str">
        <f t="array" ref="V46">LOOKUP(2,1/(H46:U46&lt;&gt;""),H46:U46)</f>
        <v>#N/A</v>
      </c>
      <c r="W46" s="385"/>
      <c r="X46" s="372"/>
      <c r="Z46" s="340"/>
      <c r="AA46" s="340"/>
      <c r="AB46" s="340"/>
      <c r="AC46" s="340"/>
      <c r="AD46" s="340"/>
      <c r="AE46" s="340"/>
      <c r="AF46" s="340"/>
      <c r="AG46" s="340"/>
    </row>
    <row r="47" ht="15.75" customHeight="1">
      <c r="A47" s="340"/>
      <c r="B47" s="340"/>
      <c r="C47" s="379"/>
      <c r="D47" s="380"/>
      <c r="E47" s="381"/>
      <c r="F47" s="382"/>
      <c r="G47" s="383" t="b">
        <v>1</v>
      </c>
      <c r="H47" s="384"/>
      <c r="I47" s="385"/>
      <c r="J47" s="385"/>
      <c r="K47" s="385"/>
      <c r="L47" s="385"/>
      <c r="M47" s="385"/>
      <c r="N47" s="385"/>
      <c r="O47" s="385"/>
      <c r="P47" s="385"/>
      <c r="Q47" s="385"/>
      <c r="R47" s="385"/>
      <c r="S47" s="385"/>
      <c r="T47" s="385"/>
      <c r="U47" s="385"/>
      <c r="V47" s="385" t="str">
        <f t="array" ref="V47">LOOKUP(2,1/(H47:U47&lt;&gt;""),H47:U47)</f>
        <v>#N/A</v>
      </c>
      <c r="W47" s="385"/>
      <c r="X47" s="372"/>
      <c r="Z47" s="340"/>
      <c r="AA47" s="340"/>
      <c r="AB47" s="340"/>
      <c r="AC47" s="340"/>
      <c r="AD47" s="340"/>
      <c r="AE47" s="340"/>
      <c r="AF47" s="340"/>
      <c r="AG47" s="340"/>
    </row>
    <row r="48" ht="15.75" customHeight="1">
      <c r="A48" s="340"/>
      <c r="B48" s="340"/>
      <c r="C48" s="379"/>
      <c r="D48" s="380"/>
      <c r="E48" s="381"/>
      <c r="F48" s="382"/>
      <c r="G48" s="383" t="b">
        <v>1</v>
      </c>
      <c r="H48" s="384"/>
      <c r="I48" s="385"/>
      <c r="J48" s="385"/>
      <c r="K48" s="385"/>
      <c r="L48" s="385"/>
      <c r="M48" s="385"/>
      <c r="N48" s="385"/>
      <c r="O48" s="385"/>
      <c r="P48" s="385"/>
      <c r="Q48" s="385"/>
      <c r="R48" s="385"/>
      <c r="S48" s="385"/>
      <c r="T48" s="385"/>
      <c r="U48" s="385"/>
      <c r="V48" s="385" t="str">
        <f t="array" ref="V48">LOOKUP(2,1/(H48:U48&lt;&gt;""),H48:U48)</f>
        <v>#N/A</v>
      </c>
      <c r="W48" s="385"/>
      <c r="X48" s="372"/>
      <c r="Z48" s="340"/>
      <c r="AA48" s="340"/>
      <c r="AB48" s="340"/>
      <c r="AC48" s="340"/>
      <c r="AD48" s="340"/>
      <c r="AE48" s="340"/>
      <c r="AF48" s="340"/>
      <c r="AG48" s="340"/>
    </row>
    <row r="49" ht="15.75" customHeight="1">
      <c r="A49" s="340"/>
      <c r="B49" s="340"/>
      <c r="C49" s="379"/>
      <c r="D49" s="380"/>
      <c r="E49" s="381"/>
      <c r="F49" s="382"/>
      <c r="G49" s="383" t="b">
        <v>1</v>
      </c>
      <c r="H49" s="384"/>
      <c r="I49" s="385"/>
      <c r="J49" s="385"/>
      <c r="K49" s="385"/>
      <c r="L49" s="385"/>
      <c r="M49" s="385"/>
      <c r="N49" s="385"/>
      <c r="O49" s="385"/>
      <c r="P49" s="385"/>
      <c r="Q49" s="385"/>
      <c r="R49" s="385"/>
      <c r="S49" s="385"/>
      <c r="T49" s="385"/>
      <c r="U49" s="385"/>
      <c r="V49" s="385" t="str">
        <f t="array" ref="V49">LOOKUP(2,1/(H49:U49&lt;&gt;""),H49:U49)</f>
        <v>#N/A</v>
      </c>
      <c r="W49" s="385"/>
      <c r="X49" s="372"/>
      <c r="Z49" s="340"/>
      <c r="AA49" s="340"/>
      <c r="AB49" s="340"/>
      <c r="AC49" s="340"/>
      <c r="AD49" s="340"/>
      <c r="AE49" s="340"/>
      <c r="AF49" s="340"/>
      <c r="AG49" s="340"/>
    </row>
    <row r="50" ht="15.75" customHeight="1">
      <c r="A50" s="340"/>
      <c r="B50" s="340"/>
      <c r="C50" s="379"/>
      <c r="D50" s="380"/>
      <c r="E50" s="381"/>
      <c r="F50" s="382"/>
      <c r="G50" s="383" t="b">
        <v>1</v>
      </c>
      <c r="H50" s="384"/>
      <c r="I50" s="385"/>
      <c r="J50" s="385"/>
      <c r="K50" s="385"/>
      <c r="L50" s="385"/>
      <c r="M50" s="385"/>
      <c r="N50" s="385"/>
      <c r="O50" s="385"/>
      <c r="P50" s="385"/>
      <c r="Q50" s="385"/>
      <c r="R50" s="385"/>
      <c r="S50" s="385"/>
      <c r="T50" s="385"/>
      <c r="U50" s="385"/>
      <c r="V50" s="385" t="str">
        <f t="array" ref="V50">LOOKUP(2,1/(H50:U50&lt;&gt;""),H50:U50)</f>
        <v>#N/A</v>
      </c>
      <c r="W50" s="385"/>
      <c r="X50" s="372"/>
      <c r="Z50" s="340"/>
      <c r="AA50" s="340"/>
      <c r="AB50" s="340"/>
      <c r="AC50" s="340"/>
      <c r="AD50" s="340"/>
      <c r="AE50" s="340"/>
      <c r="AF50" s="340"/>
      <c r="AG50" s="340"/>
    </row>
    <row r="51" ht="15.75" customHeight="1">
      <c r="A51" s="340"/>
      <c r="B51" s="340"/>
      <c r="C51" s="379"/>
      <c r="D51" s="380"/>
      <c r="E51" s="381"/>
      <c r="F51" s="382"/>
      <c r="G51" s="383" t="b">
        <v>0</v>
      </c>
      <c r="H51" s="384"/>
      <c r="I51" s="385"/>
      <c r="J51" s="385"/>
      <c r="K51" s="385"/>
      <c r="L51" s="385"/>
      <c r="M51" s="385"/>
      <c r="N51" s="385"/>
      <c r="O51" s="385"/>
      <c r="P51" s="385"/>
      <c r="Q51" s="385"/>
      <c r="R51" s="385"/>
      <c r="S51" s="385"/>
      <c r="T51" s="385"/>
      <c r="U51" s="385"/>
      <c r="V51" s="385" t="str">
        <f t="array" ref="V51">LOOKUP(2,1/(H51:U51&lt;&gt;""),H51:U51)</f>
        <v>#N/A</v>
      </c>
      <c r="W51" s="385"/>
      <c r="X51" s="372"/>
      <c r="Z51" s="340"/>
      <c r="AA51" s="340"/>
      <c r="AB51" s="340"/>
      <c r="AC51" s="340"/>
      <c r="AD51" s="340"/>
      <c r="AE51" s="340"/>
      <c r="AF51" s="340"/>
      <c r="AG51" s="340"/>
    </row>
    <row r="52" ht="15.75" customHeight="1">
      <c r="A52" s="340"/>
      <c r="B52" s="340"/>
      <c r="C52" s="379" t="str">
        <f>'Studies (Monthly) RAW'!A45</f>
        <v/>
      </c>
      <c r="D52" s="380" t="str">
        <f>'Studies (Monthly) RAW'!B45</f>
        <v/>
      </c>
      <c r="E52" s="381" t="str">
        <f>'Studies (Monthly) RAW'!C45</f>
        <v/>
      </c>
      <c r="F52" s="381"/>
      <c r="G52" s="381"/>
      <c r="H52" s="384" t="str">
        <f>'Studies (Monthly) RAW'!E45</f>
        <v/>
      </c>
      <c r="I52" s="385" t="str">
        <f>IF(EQ('Studies (Monthly) RAW'!F45,""),"", (IF(('Studies (Monthly) RAW'!F45/$H52)&lt;$C$4, 0, 1)))</f>
        <v/>
      </c>
      <c r="J52" s="385" t="str">
        <f>IF(EQ('Studies (Monthly) RAW'!G45, ""),"", (IF(('Studies (Monthly) RAW'!G45/$H52)&lt;$C$4, 0, 1)))</f>
        <v/>
      </c>
      <c r="K52" s="385" t="str">
        <f>IF(EQ('Studies (Monthly) RAW'!H45,""),"", (IF(('Studies (Monthly) RAW'!H45/$H52)&lt;$C$4, 0, 1)))</f>
        <v/>
      </c>
      <c r="L52" s="385" t="str">
        <f>IF(EQ('Studies (Monthly) RAW'!I45, ""),"", (IF(('Studies (Monthly) RAW'!I45/$H52)&lt;$C$4, 0, 1)))</f>
        <v/>
      </c>
      <c r="M52" s="385" t="str">
        <f>IF(EQ('Studies (Monthly) RAW'!J45,""),"", (IF(('Studies (Monthly) RAW'!J45/$H52)&lt;$C$4, 0, 1)))</f>
        <v/>
      </c>
      <c r="N52" s="385" t="str">
        <f>IF(EQ('Studies (Monthly) RAW'!K45, ""),"", (IF(('Studies (Monthly) RAW'!K45/$H52)&lt;$C$4, 0, 1)))</f>
        <v/>
      </c>
      <c r="O52" s="385" t="str">
        <f>IF(EQ('Studies (Monthly) RAW'!L45,""),"", (IF(('Studies (Monthly) RAW'!L45/$H52)&lt;$C$4, 0, 1)))</f>
        <v/>
      </c>
      <c r="P52" s="385" t="str">
        <f>IF(EQ('Studies (Monthly) RAW'!M45, ""),"", (IF(('Studies (Monthly) RAW'!M45/$H52)&lt;$C$4, 0, 1)))</f>
        <v/>
      </c>
      <c r="Q52" s="385" t="str">
        <f>IF(EQ('Studies (Monthly) RAW'!N45,""),"", (IF(('Studies (Monthly) RAW'!N45/$H52)&lt;$C$4, 0, 1)))</f>
        <v/>
      </c>
      <c r="R52" s="385" t="str">
        <f>IF(EQ('Studies (Monthly) RAW'!O45, ""),"", (IF(('Studies (Monthly) RAW'!O45/$H52)&lt;$C$4, 0, 1)))</f>
        <v/>
      </c>
      <c r="S52" s="385" t="str">
        <f>IF(EQ('Studies (Monthly) RAW'!P45,""),"", (IF(('Studies (Monthly) RAW'!P45/$H52)&lt;$C$4, 0, 1)))</f>
        <v/>
      </c>
      <c r="T52" s="385" t="str">
        <f>IF(EQ('Studies (Monthly) RAW'!Q45, ""),"", (IF(('Studies (Monthly) RAW'!Q45/$H52)&lt;$C$4, 0, 1)))</f>
        <v/>
      </c>
      <c r="U52" s="385"/>
      <c r="V52" s="385"/>
      <c r="W52" s="385"/>
      <c r="X52" s="372"/>
      <c r="Z52" s="340"/>
      <c r="AA52" s="340"/>
      <c r="AB52" s="340"/>
      <c r="AC52" s="340"/>
      <c r="AD52" s="340"/>
      <c r="AE52" s="340"/>
      <c r="AF52" s="340"/>
      <c r="AG52" s="340"/>
    </row>
    <row r="53" ht="15.75" customHeight="1">
      <c r="A53" s="340"/>
      <c r="B53" s="340"/>
      <c r="C53" s="379" t="str">
        <f>'Studies (Monthly) RAW'!A46</f>
        <v/>
      </c>
      <c r="D53" s="380" t="str">
        <f>'Studies (Monthly) RAW'!B46</f>
        <v/>
      </c>
      <c r="E53" s="381" t="str">
        <f>'Studies (Monthly) RAW'!C46</f>
        <v/>
      </c>
      <c r="F53" s="381"/>
      <c r="G53" s="381" t="str">
        <f>'Studies (Monthly) RAW'!D46</f>
        <v/>
      </c>
      <c r="H53" s="384" t="str">
        <f>'Studies (Monthly) RAW'!E46</f>
        <v/>
      </c>
      <c r="I53" s="385" t="str">
        <f>IF(EQ('Studies (Monthly) RAW'!F46,""),"", (IF(('Studies (Monthly) RAW'!F46/$H53)&lt;$C$4, 0, 1)))</f>
        <v/>
      </c>
      <c r="J53" s="385" t="str">
        <f>IF(EQ('Studies (Monthly) RAW'!G46, ""),"", (IF(('Studies (Monthly) RAW'!G46/$H53)&lt;$C$4, 0, 1)))</f>
        <v/>
      </c>
      <c r="K53" s="385" t="str">
        <f>IF(EQ('Studies (Monthly) RAW'!H46,""),"", (IF(('Studies (Monthly) RAW'!H46/$H53)&lt;$C$4, 0, 1)))</f>
        <v/>
      </c>
      <c r="L53" s="385" t="str">
        <f>IF(EQ('Studies (Monthly) RAW'!I46, ""),"", (IF(('Studies (Monthly) RAW'!I46/$H53)&lt;$C$4, 0, 1)))</f>
        <v/>
      </c>
      <c r="M53" s="385" t="str">
        <f>IF(EQ('Studies (Monthly) RAW'!J46,""),"", (IF(('Studies (Monthly) RAW'!J46/$H53)&lt;$C$4, 0, 1)))</f>
        <v/>
      </c>
      <c r="N53" s="385" t="str">
        <f>IF(EQ('Studies (Monthly) RAW'!K46, ""),"", (IF(('Studies (Monthly) RAW'!K46/$H53)&lt;$C$4, 0, 1)))</f>
        <v/>
      </c>
      <c r="O53" s="385" t="str">
        <f>IF(EQ('Studies (Monthly) RAW'!L46,""),"", (IF(('Studies (Monthly) RAW'!L46/$H53)&lt;$C$4, 0, 1)))</f>
        <v/>
      </c>
      <c r="P53" s="385" t="str">
        <f>IF(EQ('Studies (Monthly) RAW'!M46, ""),"", (IF(('Studies (Monthly) RAW'!M46/$H53)&lt;$C$4, 0, 1)))</f>
        <v/>
      </c>
      <c r="Q53" s="385" t="str">
        <f>IF(EQ('Studies (Monthly) RAW'!N46,""),"", (IF(('Studies (Monthly) RAW'!N46/$H53)&lt;$C$4, 0, 1)))</f>
        <v/>
      </c>
      <c r="R53" s="385" t="str">
        <f>IF(EQ('Studies (Monthly) RAW'!O46, ""),"", (IF(('Studies (Monthly) RAW'!O46/$H53)&lt;$C$4, 0, 1)))</f>
        <v/>
      </c>
      <c r="S53" s="385" t="str">
        <f>IF(EQ('Studies (Monthly) RAW'!P46,""),"", (IF(('Studies (Monthly) RAW'!P46/$H53)&lt;$C$4, 0, 1)))</f>
        <v/>
      </c>
      <c r="T53" s="385" t="str">
        <f>IF(EQ('Studies (Monthly) RAW'!Q46, ""),"", (IF(('Studies (Monthly) RAW'!Q46/$H53)&lt;$C$4, 0, 1)))</f>
        <v/>
      </c>
      <c r="U53" s="385"/>
      <c r="V53" s="385"/>
      <c r="W53" s="385"/>
      <c r="X53" s="372"/>
      <c r="Z53" s="340"/>
      <c r="AA53" s="340"/>
      <c r="AB53" s="340"/>
      <c r="AC53" s="340"/>
      <c r="AD53" s="340"/>
      <c r="AE53" s="340"/>
      <c r="AF53" s="340"/>
      <c r="AG53" s="340"/>
    </row>
    <row r="54" ht="15.75" customHeight="1">
      <c r="A54" s="340"/>
      <c r="B54" s="340"/>
      <c r="C54" s="379" t="str">
        <f>'Studies (Monthly) RAW'!A47</f>
        <v/>
      </c>
      <c r="D54" s="380" t="str">
        <f>'Studies (Monthly) RAW'!B47</f>
        <v/>
      </c>
      <c r="E54" s="381" t="str">
        <f>'Studies (Monthly) RAW'!C47</f>
        <v/>
      </c>
      <c r="F54" s="381"/>
      <c r="G54" s="381" t="str">
        <f>'Studies (Monthly) RAW'!D47</f>
        <v/>
      </c>
      <c r="H54" s="384" t="str">
        <f>'Studies (Monthly) RAW'!E47</f>
        <v/>
      </c>
      <c r="I54" s="385" t="str">
        <f>IF(EQ('Studies (Monthly) RAW'!F47,""),"", (IF(('Studies (Monthly) RAW'!F47/$H54)&lt;$C$4, 0, 1)))</f>
        <v/>
      </c>
      <c r="J54" s="385" t="str">
        <f>IF(EQ('Studies (Monthly) RAW'!G47, ""),"", (IF(('Studies (Monthly) RAW'!G47/$H54)&lt;$C$4, 0, 1)))</f>
        <v/>
      </c>
      <c r="K54" s="385" t="str">
        <f>IF(EQ('Studies (Monthly) RAW'!H47,""),"", (IF(('Studies (Monthly) RAW'!H47/$H54)&lt;$C$4, 0, 1)))</f>
        <v/>
      </c>
      <c r="L54" s="385" t="str">
        <f>IF(EQ('Studies (Monthly) RAW'!I47, ""),"", (IF(('Studies (Monthly) RAW'!I47/$H54)&lt;$C$4, 0, 1)))</f>
        <v/>
      </c>
      <c r="M54" s="385" t="str">
        <f>IF(EQ('Studies (Monthly) RAW'!J47,""),"", (IF(('Studies (Monthly) RAW'!J47/$H54)&lt;$C$4, 0, 1)))</f>
        <v/>
      </c>
      <c r="N54" s="385" t="str">
        <f>IF(EQ('Studies (Monthly) RAW'!K47, ""),"", (IF(('Studies (Monthly) RAW'!K47/$H54)&lt;$C$4, 0, 1)))</f>
        <v/>
      </c>
      <c r="O54" s="385" t="str">
        <f>IF(EQ('Studies (Monthly) RAW'!L47,""),"", (IF(('Studies (Monthly) RAW'!L47/$H54)&lt;$C$4, 0, 1)))</f>
        <v/>
      </c>
      <c r="P54" s="385" t="str">
        <f>IF(EQ('Studies (Monthly) RAW'!M47, ""),"", (IF(('Studies (Monthly) RAW'!M47/$H54)&lt;$C$4, 0, 1)))</f>
        <v/>
      </c>
      <c r="Q54" s="385" t="str">
        <f>IF(EQ('Studies (Monthly) RAW'!N47,""),"", (IF(('Studies (Monthly) RAW'!N47/$H54)&lt;$C$4, 0, 1)))</f>
        <v/>
      </c>
      <c r="R54" s="385" t="str">
        <f>IF(EQ('Studies (Monthly) RAW'!O47, ""),"", (IF(('Studies (Monthly) RAW'!O47/$H54)&lt;$C$4, 0, 1)))</f>
        <v/>
      </c>
      <c r="S54" s="385" t="str">
        <f>IF(EQ('Studies (Monthly) RAW'!P47,""),"", (IF(('Studies (Monthly) RAW'!P47/$H54)&lt;$C$4, 0, 1)))</f>
        <v/>
      </c>
      <c r="T54" s="385" t="str">
        <f>IF(EQ('Studies (Monthly) RAW'!Q47, ""),"", (IF(('Studies (Monthly) RAW'!Q47/$H54)&lt;$C$4, 0, 1)))</f>
        <v/>
      </c>
      <c r="U54" s="385"/>
      <c r="V54" s="385"/>
      <c r="W54" s="385"/>
      <c r="X54" s="372"/>
      <c r="Z54" s="340"/>
      <c r="AA54" s="340"/>
      <c r="AB54" s="340"/>
      <c r="AC54" s="340"/>
      <c r="AD54" s="340"/>
      <c r="AE54" s="340"/>
      <c r="AF54" s="340"/>
      <c r="AG54" s="340"/>
    </row>
    <row r="55" ht="15.75" customHeight="1">
      <c r="A55" s="340"/>
      <c r="B55" s="340"/>
      <c r="C55" s="379" t="str">
        <f>'Studies (Monthly) RAW'!A48</f>
        <v/>
      </c>
      <c r="D55" s="380" t="str">
        <f>'Studies (Monthly) RAW'!B48</f>
        <v/>
      </c>
      <c r="E55" s="381" t="str">
        <f>'Studies (Monthly) RAW'!C48</f>
        <v/>
      </c>
      <c r="F55" s="381"/>
      <c r="G55" s="381" t="str">
        <f>'Studies (Monthly) RAW'!D48</f>
        <v/>
      </c>
      <c r="H55" s="384" t="str">
        <f>'Studies (Monthly) RAW'!E48</f>
        <v/>
      </c>
      <c r="I55" s="385" t="str">
        <f>IF(EQ('Studies (Monthly) RAW'!F48,""),"", (IF(('Studies (Monthly) RAW'!F48/$H55)&lt;$C$4, 0, 1)))</f>
        <v/>
      </c>
      <c r="J55" s="385" t="str">
        <f>IF(EQ('Studies (Monthly) RAW'!G48, ""),"", (IF(('Studies (Monthly) RAW'!G48/$H55)&lt;$C$4, 0, 1)))</f>
        <v/>
      </c>
      <c r="K55" s="385" t="str">
        <f>IF(EQ('Studies (Monthly) RAW'!H48,""),"", (IF(('Studies (Monthly) RAW'!H48/$H55)&lt;$C$4, 0, 1)))</f>
        <v/>
      </c>
      <c r="L55" s="385" t="str">
        <f>IF(EQ('Studies (Monthly) RAW'!I48, ""),"", (IF(('Studies (Monthly) RAW'!I48/$H55)&lt;$C$4, 0, 1)))</f>
        <v/>
      </c>
      <c r="M55" s="385" t="str">
        <f>IF(EQ('Studies (Monthly) RAW'!J48,""),"", (IF(('Studies (Monthly) RAW'!J48/$H55)&lt;$C$4, 0, 1)))</f>
        <v/>
      </c>
      <c r="N55" s="385" t="str">
        <f>IF(EQ('Studies (Monthly) RAW'!K48, ""),"", (IF(('Studies (Monthly) RAW'!K48/$H55)&lt;$C$4, 0, 1)))</f>
        <v/>
      </c>
      <c r="O55" s="385" t="str">
        <f>IF(EQ('Studies (Monthly) RAW'!L48,""),"", (IF(('Studies (Monthly) RAW'!L48/$H55)&lt;$C$4, 0, 1)))</f>
        <v/>
      </c>
      <c r="P55" s="385" t="str">
        <f>IF(EQ('Studies (Monthly) RAW'!M48, ""),"", (IF(('Studies (Monthly) RAW'!M48/$H55)&lt;$C$4, 0, 1)))</f>
        <v/>
      </c>
      <c r="Q55" s="385" t="str">
        <f>IF(EQ('Studies (Monthly) RAW'!N48,""),"", (IF(('Studies (Monthly) RAW'!N48/$H55)&lt;$C$4, 0, 1)))</f>
        <v/>
      </c>
      <c r="R55" s="385" t="str">
        <f>IF(EQ('Studies (Monthly) RAW'!O48, ""),"", (IF(('Studies (Monthly) RAW'!O48/$H55)&lt;$C$4, 0, 1)))</f>
        <v/>
      </c>
      <c r="S55" s="385" t="str">
        <f>IF(EQ('Studies (Monthly) RAW'!P48,""),"", (IF(('Studies (Monthly) RAW'!P48/$H55)&lt;$C$4, 0, 1)))</f>
        <v/>
      </c>
      <c r="T55" s="385" t="str">
        <f>IF(EQ('Studies (Monthly) RAW'!Q48, ""),"", (IF(('Studies (Monthly) RAW'!Q48/$H55)&lt;$C$4, 0, 1)))</f>
        <v/>
      </c>
      <c r="U55" s="385"/>
      <c r="V55" s="385"/>
      <c r="W55" s="385"/>
      <c r="X55" s="372"/>
      <c r="Z55" s="340"/>
      <c r="AA55" s="340"/>
      <c r="AB55" s="340"/>
      <c r="AC55" s="340"/>
      <c r="AD55" s="340"/>
      <c r="AE55" s="340"/>
      <c r="AF55" s="340"/>
      <c r="AG55" s="340"/>
    </row>
    <row r="56" ht="15.75" customHeight="1">
      <c r="A56" s="340"/>
      <c r="B56" s="340"/>
      <c r="C56" s="379" t="str">
        <f>'Studies (Monthly) RAW'!A49</f>
        <v/>
      </c>
      <c r="D56" s="380" t="str">
        <f>'Studies (Monthly) RAW'!B49</f>
        <v/>
      </c>
      <c r="E56" s="381" t="str">
        <f>'Studies (Monthly) RAW'!C49</f>
        <v/>
      </c>
      <c r="F56" s="381"/>
      <c r="G56" s="381" t="str">
        <f>'Studies (Monthly) RAW'!D49</f>
        <v/>
      </c>
      <c r="H56" s="384" t="str">
        <f>'Studies (Monthly) RAW'!E49</f>
        <v/>
      </c>
      <c r="I56" s="385" t="str">
        <f>IF(EQ('Studies (Monthly) RAW'!F49,""),"", (IF(('Studies (Monthly) RAW'!F49/$H56)&lt;$C$4, 0, 1)))</f>
        <v/>
      </c>
      <c r="J56" s="385" t="str">
        <f>IF(EQ('Studies (Monthly) RAW'!G49, ""),"", (IF(('Studies (Monthly) RAW'!G49/$H56)&lt;$C$4, 0, 1)))</f>
        <v/>
      </c>
      <c r="K56" s="385" t="str">
        <f>IF(EQ('Studies (Monthly) RAW'!H49,""),"", (IF(('Studies (Monthly) RAW'!H49/$H56)&lt;$C$4, 0, 1)))</f>
        <v/>
      </c>
      <c r="L56" s="385" t="str">
        <f>IF(EQ('Studies (Monthly) RAW'!I49, ""),"", (IF(('Studies (Monthly) RAW'!I49/$H56)&lt;$C$4, 0, 1)))</f>
        <v/>
      </c>
      <c r="M56" s="385" t="str">
        <f>IF(EQ('Studies (Monthly) RAW'!J49,""),"", (IF(('Studies (Monthly) RAW'!J49/$H56)&lt;$C$4, 0, 1)))</f>
        <v/>
      </c>
      <c r="N56" s="385" t="str">
        <f>IF(EQ('Studies (Monthly) RAW'!K49, ""),"", (IF(('Studies (Monthly) RAW'!K49/$H56)&lt;$C$4, 0, 1)))</f>
        <v/>
      </c>
      <c r="O56" s="385" t="str">
        <f>IF(EQ('Studies (Monthly) RAW'!L49,""),"", (IF(('Studies (Monthly) RAW'!L49/$H56)&lt;$C$4, 0, 1)))</f>
        <v/>
      </c>
      <c r="P56" s="385" t="str">
        <f>IF(EQ('Studies (Monthly) RAW'!M49, ""),"", (IF(('Studies (Monthly) RAW'!M49/$H56)&lt;$C$4, 0, 1)))</f>
        <v/>
      </c>
      <c r="Q56" s="385" t="str">
        <f>IF(EQ('Studies (Monthly) RAW'!N49,""),"", (IF(('Studies (Monthly) RAW'!N49/$H56)&lt;$C$4, 0, 1)))</f>
        <v/>
      </c>
      <c r="R56" s="385" t="str">
        <f>IF(EQ('Studies (Monthly) RAW'!O49, ""),"", (IF(('Studies (Monthly) RAW'!O49/$H56)&lt;$C$4, 0, 1)))</f>
        <v/>
      </c>
      <c r="S56" s="385" t="str">
        <f>IF(EQ('Studies (Monthly) RAW'!P49,""),"", (IF(('Studies (Monthly) RAW'!P49/$H56)&lt;$C$4, 0, 1)))</f>
        <v/>
      </c>
      <c r="T56" s="385" t="str">
        <f>IF(EQ('Studies (Monthly) RAW'!Q49, ""),"", (IF(('Studies (Monthly) RAW'!Q49/$H56)&lt;$C$4, 0, 1)))</f>
        <v/>
      </c>
      <c r="U56" s="385"/>
      <c r="V56" s="385"/>
      <c r="W56" s="385"/>
      <c r="X56" s="340"/>
      <c r="Z56" s="340"/>
      <c r="AA56" s="340"/>
      <c r="AB56" s="340"/>
      <c r="AC56" s="340"/>
      <c r="AD56" s="340"/>
      <c r="AE56" s="340"/>
      <c r="AF56" s="340"/>
      <c r="AG56" s="340"/>
    </row>
    <row r="57" ht="15.75" customHeight="1">
      <c r="A57" s="340"/>
      <c r="B57" s="340"/>
      <c r="C57" s="379" t="str">
        <f>'Studies (Monthly) RAW'!A50</f>
        <v/>
      </c>
      <c r="D57" s="380" t="str">
        <f>'Studies (Monthly) RAW'!B50</f>
        <v/>
      </c>
      <c r="E57" s="381" t="str">
        <f>'Studies (Monthly) RAW'!C50</f>
        <v/>
      </c>
      <c r="F57" s="381"/>
      <c r="G57" s="381" t="str">
        <f>'Studies (Monthly) RAW'!D50</f>
        <v/>
      </c>
      <c r="H57" s="384" t="str">
        <f>'Studies (Monthly) RAW'!E50</f>
        <v/>
      </c>
      <c r="I57" s="385" t="str">
        <f>IF(EQ('Studies (Monthly) RAW'!F50,""),"", (IF(('Studies (Monthly) RAW'!F50/$H57)&lt;$C$4, 0, 1)))</f>
        <v/>
      </c>
      <c r="J57" s="385" t="str">
        <f>IF(EQ('Studies (Monthly) RAW'!G50, ""),"", (IF(('Studies (Monthly) RAW'!G50/$H57)&lt;$C$4, 0, 1)))</f>
        <v/>
      </c>
      <c r="K57" s="385" t="str">
        <f>IF(EQ('Studies (Monthly) RAW'!H50,""),"", (IF(('Studies (Monthly) RAW'!H50/$H57)&lt;$C$4, 0, 1)))</f>
        <v/>
      </c>
      <c r="L57" s="385" t="str">
        <f>IF(EQ('Studies (Monthly) RAW'!I50, ""),"", (IF(('Studies (Monthly) RAW'!I50/$H57)&lt;$C$4, 0, 1)))</f>
        <v/>
      </c>
      <c r="M57" s="385" t="str">
        <f>IF(EQ('Studies (Monthly) RAW'!J50,""),"", (IF(('Studies (Monthly) RAW'!J50/$H57)&lt;$C$4, 0, 1)))</f>
        <v/>
      </c>
      <c r="N57" s="385" t="str">
        <f>IF(EQ('Studies (Monthly) RAW'!K50, ""),"", (IF(('Studies (Monthly) RAW'!K50/$H57)&lt;$C$4, 0, 1)))</f>
        <v/>
      </c>
      <c r="O57" s="385" t="str">
        <f>IF(EQ('Studies (Monthly) RAW'!L50,""),"", (IF(('Studies (Monthly) RAW'!L50/$H57)&lt;$C$4, 0, 1)))</f>
        <v/>
      </c>
      <c r="P57" s="385" t="str">
        <f>IF(EQ('Studies (Monthly) RAW'!M50, ""),"", (IF(('Studies (Monthly) RAW'!M50/$H57)&lt;$C$4, 0, 1)))</f>
        <v/>
      </c>
      <c r="Q57" s="385" t="str">
        <f>IF(EQ('Studies (Monthly) RAW'!N50,""),"", (IF(('Studies (Monthly) RAW'!N50/$H57)&lt;$C$4, 0, 1)))</f>
        <v/>
      </c>
      <c r="R57" s="385" t="str">
        <f>IF(EQ('Studies (Monthly) RAW'!O50, ""),"", (IF(('Studies (Monthly) RAW'!O50/$H57)&lt;$C$4, 0, 1)))</f>
        <v/>
      </c>
      <c r="S57" s="385" t="str">
        <f>IF(EQ('Studies (Monthly) RAW'!P50,""),"", (IF(('Studies (Monthly) RAW'!P50/$H57)&lt;$C$4, 0, 1)))</f>
        <v/>
      </c>
      <c r="T57" s="385" t="str">
        <f>IF(EQ('Studies (Monthly) RAW'!Q50, ""),"", (IF(('Studies (Monthly) RAW'!Q50/$H57)&lt;$C$4, 0, 1)))</f>
        <v/>
      </c>
      <c r="U57" s="385"/>
      <c r="V57" s="385"/>
      <c r="W57" s="385"/>
      <c r="X57" s="340"/>
      <c r="Z57" s="340"/>
      <c r="AA57" s="340"/>
      <c r="AB57" s="340"/>
      <c r="AC57" s="340"/>
      <c r="AD57" s="340"/>
      <c r="AE57" s="340"/>
      <c r="AF57" s="340"/>
      <c r="AG57" s="340"/>
    </row>
    <row r="58" ht="15.75" customHeight="1">
      <c r="A58" s="340"/>
      <c r="B58" s="340"/>
      <c r="C58" s="379" t="str">
        <f>'Studies (Monthly) RAW'!A51</f>
        <v/>
      </c>
      <c r="D58" s="380" t="str">
        <f>'Studies (Monthly) RAW'!B51</f>
        <v/>
      </c>
      <c r="E58" s="381" t="str">
        <f>'Studies (Monthly) RAW'!C51</f>
        <v/>
      </c>
      <c r="F58" s="381"/>
      <c r="G58" s="381" t="str">
        <f>'Studies (Monthly) RAW'!D51</f>
        <v/>
      </c>
      <c r="H58" s="384" t="str">
        <f>'Studies (Monthly) RAW'!E51</f>
        <v/>
      </c>
      <c r="I58" s="385" t="str">
        <f>IF(EQ('Studies (Monthly) RAW'!F51,""),"", (IF(('Studies (Monthly) RAW'!F51/$H58)&lt;$C$4, 0, 1)))</f>
        <v/>
      </c>
      <c r="J58" s="385" t="str">
        <f>IF(EQ('Studies (Monthly) RAW'!G51, ""),"", (IF(('Studies (Monthly) RAW'!G51/$H58)&lt;$C$4, 0, 1)))</f>
        <v/>
      </c>
      <c r="K58" s="385" t="str">
        <f>IF(EQ('Studies (Monthly) RAW'!H51,""),"", (IF(('Studies (Monthly) RAW'!H51/$H58)&lt;$C$4, 0, 1)))</f>
        <v/>
      </c>
      <c r="L58" s="385" t="str">
        <f>IF(EQ('Studies (Monthly) RAW'!I51, ""),"", (IF(('Studies (Monthly) RAW'!I51/$H58)&lt;$C$4, 0, 1)))</f>
        <v/>
      </c>
      <c r="M58" s="385" t="str">
        <f>IF(EQ('Studies (Monthly) RAW'!J51,""),"", (IF(('Studies (Monthly) RAW'!J51/$H58)&lt;$C$4, 0, 1)))</f>
        <v/>
      </c>
      <c r="N58" s="385" t="str">
        <f>IF(EQ('Studies (Monthly) RAW'!K51, ""),"", (IF(('Studies (Monthly) RAW'!K51/$H58)&lt;$C$4, 0, 1)))</f>
        <v/>
      </c>
      <c r="O58" s="385" t="str">
        <f>IF(EQ('Studies (Monthly) RAW'!L51,""),"", (IF(('Studies (Monthly) RAW'!L51/$H58)&lt;$C$4, 0, 1)))</f>
        <v/>
      </c>
      <c r="P58" s="385" t="str">
        <f>IF(EQ('Studies (Monthly) RAW'!M51, ""),"", (IF(('Studies (Monthly) RAW'!M51/$H58)&lt;$C$4, 0, 1)))</f>
        <v/>
      </c>
      <c r="Q58" s="385" t="str">
        <f>IF(EQ('Studies (Monthly) RAW'!N51,""),"", (IF(('Studies (Monthly) RAW'!N51/$H58)&lt;$C$4, 0, 1)))</f>
        <v/>
      </c>
      <c r="R58" s="385" t="str">
        <f>IF(EQ('Studies (Monthly) RAW'!O51, ""),"", (IF(('Studies (Monthly) RAW'!O51/$H58)&lt;$C$4, 0, 1)))</f>
        <v/>
      </c>
      <c r="S58" s="385" t="str">
        <f>IF(EQ('Studies (Monthly) RAW'!P51,""),"", (IF(('Studies (Monthly) RAW'!P51/$H58)&lt;$C$4, 0, 1)))</f>
        <v/>
      </c>
      <c r="T58" s="385" t="str">
        <f>IF(EQ('Studies (Monthly) RAW'!Q51, ""),"", (IF(('Studies (Monthly) RAW'!Q51/$H58)&lt;$C$4, 0, 1)))</f>
        <v/>
      </c>
      <c r="U58" s="385"/>
      <c r="V58" s="385"/>
      <c r="W58" s="385"/>
      <c r="X58" s="340"/>
      <c r="Z58" s="340"/>
      <c r="AA58" s="340"/>
      <c r="AB58" s="340"/>
      <c r="AC58" s="340"/>
      <c r="AD58" s="340"/>
      <c r="AE58" s="340"/>
      <c r="AF58" s="340"/>
      <c r="AG58" s="340"/>
    </row>
    <row r="59" ht="15.75" customHeight="1">
      <c r="A59" s="340"/>
      <c r="B59" s="340"/>
      <c r="C59" s="379" t="str">
        <f>'Studies (Monthly) RAW'!A52</f>
        <v/>
      </c>
      <c r="D59" s="380" t="str">
        <f>'Studies (Monthly) RAW'!B52</f>
        <v/>
      </c>
      <c r="E59" s="381" t="str">
        <f>'Studies (Monthly) RAW'!C52</f>
        <v/>
      </c>
      <c r="F59" s="381"/>
      <c r="G59" s="381" t="str">
        <f>'Studies (Monthly) RAW'!D52</f>
        <v/>
      </c>
      <c r="H59" s="384" t="str">
        <f>'Studies (Monthly) RAW'!E52</f>
        <v/>
      </c>
      <c r="I59" s="385" t="str">
        <f>IF(EQ('Studies (Monthly) RAW'!F52,""),"", (IF(('Studies (Monthly) RAW'!F52/$H59)&lt;$C$4, 0, 1)))</f>
        <v/>
      </c>
      <c r="J59" s="385" t="str">
        <f>IF(EQ('Studies (Monthly) RAW'!G52, ""),"", (IF(('Studies (Monthly) RAW'!G52/$H59)&lt;$C$4, 0, 1)))</f>
        <v/>
      </c>
      <c r="K59" s="385" t="str">
        <f>IF(EQ('Studies (Monthly) RAW'!H52,""),"", (IF(('Studies (Monthly) RAW'!H52/$H59)&lt;$C$4, 0, 1)))</f>
        <v/>
      </c>
      <c r="L59" s="385" t="str">
        <f>IF(EQ('Studies (Monthly) RAW'!I52, ""),"", (IF(('Studies (Monthly) RAW'!I52/$H59)&lt;$C$4, 0, 1)))</f>
        <v/>
      </c>
      <c r="M59" s="385" t="str">
        <f>IF(EQ('Studies (Monthly) RAW'!J52,""),"", (IF(('Studies (Monthly) RAW'!J52/$H59)&lt;$C$4, 0, 1)))</f>
        <v/>
      </c>
      <c r="N59" s="385" t="str">
        <f>IF(EQ('Studies (Monthly) RAW'!K52, ""),"", (IF(('Studies (Monthly) RAW'!K52/$H59)&lt;$C$4, 0, 1)))</f>
        <v/>
      </c>
      <c r="O59" s="385" t="str">
        <f>IF(EQ('Studies (Monthly) RAW'!L52,""),"", (IF(('Studies (Monthly) RAW'!L52/$H59)&lt;$C$4, 0, 1)))</f>
        <v/>
      </c>
      <c r="P59" s="385" t="str">
        <f>IF(EQ('Studies (Monthly) RAW'!M52, ""),"", (IF(('Studies (Monthly) RAW'!M52/$H59)&lt;$C$4, 0, 1)))</f>
        <v/>
      </c>
      <c r="Q59" s="385" t="str">
        <f>IF(EQ('Studies (Monthly) RAW'!N52,""),"", (IF(('Studies (Monthly) RAW'!N52/$H59)&lt;$C$4, 0, 1)))</f>
        <v/>
      </c>
      <c r="R59" s="385" t="str">
        <f>IF(EQ('Studies (Monthly) RAW'!O52, ""),"", (IF(('Studies (Monthly) RAW'!O52/$H59)&lt;$C$4, 0, 1)))</f>
        <v/>
      </c>
      <c r="S59" s="385" t="str">
        <f>IF(EQ('Studies (Monthly) RAW'!P52,""),"", (IF(('Studies (Monthly) RAW'!P52/$H59)&lt;$C$4, 0, 1)))</f>
        <v/>
      </c>
      <c r="T59" s="385" t="str">
        <f>IF(EQ('Studies (Monthly) RAW'!Q52, ""),"", (IF(('Studies (Monthly) RAW'!Q52/$H59)&lt;$C$4, 0, 1)))</f>
        <v/>
      </c>
      <c r="U59" s="385"/>
      <c r="V59" s="385"/>
      <c r="W59" s="385"/>
      <c r="X59" s="340"/>
      <c r="Z59" s="340"/>
      <c r="AA59" s="340"/>
      <c r="AB59" s="340"/>
      <c r="AC59" s="340"/>
      <c r="AD59" s="340"/>
      <c r="AE59" s="340"/>
      <c r="AF59" s="340"/>
      <c r="AG59" s="340"/>
    </row>
    <row r="60" ht="15.75" customHeight="1">
      <c r="A60" s="340"/>
      <c r="B60" s="340"/>
      <c r="C60" s="379" t="str">
        <f>'Studies (Monthly) RAW'!A53</f>
        <v/>
      </c>
      <c r="D60" s="380" t="str">
        <f>'Studies (Monthly) RAW'!B53</f>
        <v/>
      </c>
      <c r="E60" s="381" t="str">
        <f>'Studies (Monthly) RAW'!C53</f>
        <v/>
      </c>
      <c r="F60" s="381"/>
      <c r="G60" s="381" t="str">
        <f>'Studies (Monthly) RAW'!D53</f>
        <v/>
      </c>
      <c r="H60" s="384" t="str">
        <f>'Studies (Monthly) RAW'!E53</f>
        <v/>
      </c>
      <c r="I60" s="385" t="str">
        <f>IF(EQ('Studies (Monthly) RAW'!F53,""),"", (IF(('Studies (Monthly) RAW'!F53/$H60)&lt;$C$4, 0, 1)))</f>
        <v/>
      </c>
      <c r="J60" s="385" t="str">
        <f>IF(EQ('Studies (Monthly) RAW'!G53, ""),"", (IF(('Studies (Monthly) RAW'!G53/$H60)&lt;$C$4, 0, 1)))</f>
        <v/>
      </c>
      <c r="K60" s="385" t="str">
        <f>IF(EQ('Studies (Monthly) RAW'!H53,""),"", (IF(('Studies (Monthly) RAW'!H53/$H60)&lt;$C$4, 0, 1)))</f>
        <v/>
      </c>
      <c r="L60" s="385" t="str">
        <f>IF(EQ('Studies (Monthly) RAW'!I53, ""),"", (IF(('Studies (Monthly) RAW'!I53/$H60)&lt;$C$4, 0, 1)))</f>
        <v/>
      </c>
      <c r="M60" s="385" t="str">
        <f>IF(EQ('Studies (Monthly) RAW'!J53,""),"", (IF(('Studies (Monthly) RAW'!J53/$H60)&lt;$C$4, 0, 1)))</f>
        <v/>
      </c>
      <c r="N60" s="385" t="str">
        <f>IF(EQ('Studies (Monthly) RAW'!K53, ""),"", (IF(('Studies (Monthly) RAW'!K53/$H60)&lt;$C$4, 0, 1)))</f>
        <v/>
      </c>
      <c r="O60" s="385" t="str">
        <f>IF(EQ('Studies (Monthly) RAW'!L53,""),"", (IF(('Studies (Monthly) RAW'!L53/$H60)&lt;$C$4, 0, 1)))</f>
        <v/>
      </c>
      <c r="P60" s="385" t="str">
        <f>IF(EQ('Studies (Monthly) RAW'!M53, ""),"", (IF(('Studies (Monthly) RAW'!M53/$H60)&lt;$C$4, 0, 1)))</f>
        <v/>
      </c>
      <c r="Q60" s="385" t="str">
        <f>IF(EQ('Studies (Monthly) RAW'!N53,""),"", (IF(('Studies (Monthly) RAW'!N53/$H60)&lt;$C$4, 0, 1)))</f>
        <v/>
      </c>
      <c r="R60" s="385" t="str">
        <f>IF(EQ('Studies (Monthly) RAW'!O53, ""),"", (IF(('Studies (Monthly) RAW'!O53/$H60)&lt;$C$4, 0, 1)))</f>
        <v/>
      </c>
      <c r="S60" s="385" t="str">
        <f>IF(EQ('Studies (Monthly) RAW'!P53,""),"", (IF(('Studies (Monthly) RAW'!P53/$H60)&lt;$C$4, 0, 1)))</f>
        <v/>
      </c>
      <c r="T60" s="385" t="str">
        <f>IF(EQ('Studies (Monthly) RAW'!Q53, ""),"", (IF(('Studies (Monthly) RAW'!Q53/$H60)&lt;$C$4, 0, 1)))</f>
        <v/>
      </c>
      <c r="U60" s="385"/>
      <c r="V60" s="385"/>
      <c r="W60" s="385"/>
      <c r="X60" s="340"/>
      <c r="Y60" s="340"/>
      <c r="Z60" s="340"/>
      <c r="AA60" s="340"/>
      <c r="AB60" s="340"/>
      <c r="AC60" s="340"/>
      <c r="AD60" s="340"/>
      <c r="AE60" s="340"/>
      <c r="AF60" s="340"/>
      <c r="AG60" s="340"/>
    </row>
    <row r="61" ht="15.75" customHeight="1">
      <c r="A61" s="340"/>
      <c r="B61" s="340"/>
      <c r="C61" s="379" t="str">
        <f>'Studies (Monthly) RAW'!A54</f>
        <v/>
      </c>
      <c r="D61" s="380" t="str">
        <f>'Studies (Monthly) RAW'!B54</f>
        <v/>
      </c>
      <c r="E61" s="381" t="str">
        <f>'Studies (Monthly) RAW'!C54</f>
        <v/>
      </c>
      <c r="F61" s="381"/>
      <c r="G61" s="381" t="str">
        <f>'Studies (Monthly) RAW'!D54</f>
        <v/>
      </c>
      <c r="H61" s="384" t="str">
        <f>'Studies (Monthly) RAW'!E54</f>
        <v/>
      </c>
      <c r="I61" s="385" t="str">
        <f>IF(EQ('Studies (Monthly) RAW'!F54,""),"", (IF(('Studies (Monthly) RAW'!F54/$H61)&lt;$C$4, 0, 1)))</f>
        <v/>
      </c>
      <c r="J61" s="385" t="str">
        <f>IF(EQ('Studies (Monthly) RAW'!G54, ""),"", (IF(('Studies (Monthly) RAW'!G54/$H61)&lt;$C$4, 0, 1)))</f>
        <v/>
      </c>
      <c r="K61" s="385" t="str">
        <f>IF(EQ('Studies (Monthly) RAW'!H54,""),"", (IF(('Studies (Monthly) RAW'!H54/$H61)&lt;$C$4, 0, 1)))</f>
        <v/>
      </c>
      <c r="L61" s="385" t="str">
        <f>IF(EQ('Studies (Monthly) RAW'!I54, ""),"", (IF(('Studies (Monthly) RAW'!I54/$H61)&lt;$C$4, 0, 1)))</f>
        <v/>
      </c>
      <c r="M61" s="385" t="str">
        <f>IF(EQ('Studies (Monthly) RAW'!J54,""),"", (IF(('Studies (Monthly) RAW'!J54/$H61)&lt;$C$4, 0, 1)))</f>
        <v/>
      </c>
      <c r="N61" s="385" t="str">
        <f>IF(EQ('Studies (Monthly) RAW'!K54, ""),"", (IF(('Studies (Monthly) RAW'!K54/$H61)&lt;$C$4, 0, 1)))</f>
        <v/>
      </c>
      <c r="O61" s="385" t="str">
        <f>IF(EQ('Studies (Monthly) RAW'!L54,""),"", (IF(('Studies (Monthly) RAW'!L54/$H61)&lt;$C$4, 0, 1)))</f>
        <v/>
      </c>
      <c r="P61" s="385" t="str">
        <f>IF(EQ('Studies (Monthly) RAW'!M54, ""),"", (IF(('Studies (Monthly) RAW'!M54/$H61)&lt;$C$4, 0, 1)))</f>
        <v/>
      </c>
      <c r="Q61" s="385" t="str">
        <f>IF(EQ('Studies (Monthly) RAW'!N54,""),"", (IF(('Studies (Monthly) RAW'!N54/$H61)&lt;$C$4, 0, 1)))</f>
        <v/>
      </c>
      <c r="R61" s="385" t="str">
        <f>IF(EQ('Studies (Monthly) RAW'!O54, ""),"", (IF(('Studies (Monthly) RAW'!O54/$H61)&lt;$C$4, 0, 1)))</f>
        <v/>
      </c>
      <c r="S61" s="385" t="str">
        <f>IF(EQ('Studies (Monthly) RAW'!P54,""),"", (IF(('Studies (Monthly) RAW'!P54/$H61)&lt;$C$4, 0, 1)))</f>
        <v/>
      </c>
      <c r="T61" s="385" t="str">
        <f>IF(EQ('Studies (Monthly) RAW'!Q54, ""),"", (IF(('Studies (Monthly) RAW'!Q54/$H61)&lt;$C$4, 0, 1)))</f>
        <v/>
      </c>
      <c r="U61" s="385"/>
      <c r="V61" s="385"/>
      <c r="W61" s="385"/>
      <c r="X61" s="340"/>
      <c r="Y61" s="340"/>
      <c r="Z61" s="340"/>
      <c r="AA61" s="340"/>
      <c r="AB61" s="340"/>
      <c r="AC61" s="340"/>
      <c r="AD61" s="340"/>
      <c r="AE61" s="340"/>
      <c r="AF61" s="340"/>
      <c r="AG61" s="340"/>
    </row>
    <row r="62" ht="15.75" customHeight="1">
      <c r="A62" s="340"/>
      <c r="B62" s="340"/>
      <c r="C62" s="379" t="str">
        <f>'Studies (Monthly) RAW'!A55</f>
        <v/>
      </c>
      <c r="D62" s="380" t="str">
        <f>'Studies (Monthly) RAW'!B55</f>
        <v/>
      </c>
      <c r="E62" s="381" t="str">
        <f>'Studies (Monthly) RAW'!C55</f>
        <v/>
      </c>
      <c r="F62" s="381"/>
      <c r="G62" s="381" t="str">
        <f>'Studies (Monthly) RAW'!D55</f>
        <v/>
      </c>
      <c r="H62" s="384" t="str">
        <f>'Studies (Monthly) RAW'!E55</f>
        <v/>
      </c>
      <c r="I62" s="385" t="str">
        <f>IF(EQ('Studies (Monthly) RAW'!F55,""),"", (IF(('Studies (Monthly) RAW'!F55/$H62)&lt;$C$4, 0, 1)))</f>
        <v/>
      </c>
      <c r="J62" s="385" t="str">
        <f>IF(EQ('Studies (Monthly) RAW'!G55, ""),"", (IF(('Studies (Monthly) RAW'!G55/$H62)&lt;$C$4, 0, 1)))</f>
        <v/>
      </c>
      <c r="K62" s="385" t="str">
        <f>IF(EQ('Studies (Monthly) RAW'!H55,""),"", (IF(('Studies (Monthly) RAW'!H55/$H62)&lt;$C$4, 0, 1)))</f>
        <v/>
      </c>
      <c r="L62" s="385" t="str">
        <f>IF(EQ('Studies (Monthly) RAW'!I55, ""),"", (IF(('Studies (Monthly) RAW'!I55/$H62)&lt;$C$4, 0, 1)))</f>
        <v/>
      </c>
      <c r="M62" s="385" t="str">
        <f>IF(EQ('Studies (Monthly) RAW'!J55,""),"", (IF(('Studies (Monthly) RAW'!J55/$H62)&lt;$C$4, 0, 1)))</f>
        <v/>
      </c>
      <c r="N62" s="385" t="str">
        <f>IF(EQ('Studies (Monthly) RAW'!K55, ""),"", (IF(('Studies (Monthly) RAW'!K55/$H62)&lt;$C$4, 0, 1)))</f>
        <v/>
      </c>
      <c r="O62" s="385" t="str">
        <f>IF(EQ('Studies (Monthly) RAW'!L55,""),"", (IF(('Studies (Monthly) RAW'!L55/$H62)&lt;$C$4, 0, 1)))</f>
        <v/>
      </c>
      <c r="P62" s="385" t="str">
        <f>IF(EQ('Studies (Monthly) RAW'!M55, ""),"", (IF(('Studies (Monthly) RAW'!M55/$H62)&lt;$C$4, 0, 1)))</f>
        <v/>
      </c>
      <c r="Q62" s="385" t="str">
        <f>IF(EQ('Studies (Monthly) RAW'!N55,""),"", (IF(('Studies (Monthly) RAW'!N55/$H62)&lt;$C$4, 0, 1)))</f>
        <v/>
      </c>
      <c r="R62" s="385" t="str">
        <f>IF(EQ('Studies (Monthly) RAW'!O55, ""),"", (IF(('Studies (Monthly) RAW'!O55/$H62)&lt;$C$4, 0, 1)))</f>
        <v/>
      </c>
      <c r="S62" s="385" t="str">
        <f>IF(EQ('Studies (Monthly) RAW'!P55,""),"", (IF(('Studies (Monthly) RAW'!P55/$H62)&lt;$C$4, 0, 1)))</f>
        <v/>
      </c>
      <c r="T62" s="385" t="str">
        <f>IF(EQ('Studies (Monthly) RAW'!Q55, ""),"", (IF(('Studies (Monthly) RAW'!Q55/$H62)&lt;$C$4, 0, 1)))</f>
        <v/>
      </c>
      <c r="U62" s="385"/>
      <c r="V62" s="385"/>
      <c r="W62" s="385"/>
      <c r="X62" s="340"/>
      <c r="Y62" s="340"/>
      <c r="Z62" s="340"/>
      <c r="AA62" s="340"/>
      <c r="AB62" s="340"/>
      <c r="AC62" s="340"/>
      <c r="AD62" s="340"/>
      <c r="AE62" s="340"/>
      <c r="AF62" s="340"/>
      <c r="AG62" s="340"/>
    </row>
    <row r="63" ht="15.75" customHeight="1">
      <c r="A63" s="340"/>
      <c r="B63" s="340"/>
      <c r="C63" s="379" t="str">
        <f>'Studies (Monthly) RAW'!A56</f>
        <v/>
      </c>
      <c r="D63" s="380" t="str">
        <f>'Studies (Monthly) RAW'!B56</f>
        <v/>
      </c>
      <c r="E63" s="381" t="str">
        <f>'Studies (Monthly) RAW'!C56</f>
        <v/>
      </c>
      <c r="F63" s="381"/>
      <c r="G63" s="381" t="str">
        <f>'Studies (Monthly) RAW'!D56</f>
        <v/>
      </c>
      <c r="H63" s="384" t="str">
        <f>'Studies (Monthly) RAW'!E56</f>
        <v/>
      </c>
      <c r="I63" s="385" t="str">
        <f>IF(EQ('Studies (Monthly) RAW'!F56,""),"", (IF(('Studies (Monthly) RAW'!F56/$H63)&lt;$C$4, 0, 1)))</f>
        <v/>
      </c>
      <c r="J63" s="385" t="str">
        <f>IF(EQ('Studies (Monthly) RAW'!G56, ""),"", (IF(('Studies (Monthly) RAW'!G56/$H63)&lt;$C$4, 0, 1)))</f>
        <v/>
      </c>
      <c r="K63" s="385" t="str">
        <f>IF(EQ('Studies (Monthly) RAW'!H56,""),"", (IF(('Studies (Monthly) RAW'!H56/$H63)&lt;$C$4, 0, 1)))</f>
        <v/>
      </c>
      <c r="L63" s="385" t="str">
        <f>IF(EQ('Studies (Monthly) RAW'!I56, ""),"", (IF(('Studies (Monthly) RAW'!I56/$H63)&lt;$C$4, 0, 1)))</f>
        <v/>
      </c>
      <c r="M63" s="385" t="str">
        <f>IF(EQ('Studies (Monthly) RAW'!J56,""),"", (IF(('Studies (Monthly) RAW'!J56/$H63)&lt;$C$4, 0, 1)))</f>
        <v/>
      </c>
      <c r="N63" s="385" t="str">
        <f>IF(EQ('Studies (Monthly) RAW'!K56, ""),"", (IF(('Studies (Monthly) RAW'!K56/$H63)&lt;$C$4, 0, 1)))</f>
        <v/>
      </c>
      <c r="O63" s="385" t="str">
        <f>IF(EQ('Studies (Monthly) RAW'!L56,""),"", (IF(('Studies (Monthly) RAW'!L56/$H63)&lt;$C$4, 0, 1)))</f>
        <v/>
      </c>
      <c r="P63" s="385" t="str">
        <f>IF(EQ('Studies (Monthly) RAW'!M56, ""),"", (IF(('Studies (Monthly) RAW'!M56/$H63)&lt;$C$4, 0, 1)))</f>
        <v/>
      </c>
      <c r="Q63" s="385" t="str">
        <f>IF(EQ('Studies (Monthly) RAW'!N56,""),"", (IF(('Studies (Monthly) RAW'!N56/$H63)&lt;$C$4, 0, 1)))</f>
        <v/>
      </c>
      <c r="R63" s="385" t="str">
        <f>IF(EQ('Studies (Monthly) RAW'!O56, ""),"", (IF(('Studies (Monthly) RAW'!O56/$H63)&lt;$C$4, 0, 1)))</f>
        <v/>
      </c>
      <c r="S63" s="385" t="str">
        <f>IF(EQ('Studies (Monthly) RAW'!P56,""),"", (IF(('Studies (Monthly) RAW'!P56/$H63)&lt;$C$4, 0, 1)))</f>
        <v/>
      </c>
      <c r="T63" s="385" t="str">
        <f>IF(EQ('Studies (Monthly) RAW'!Q56, ""),"", (IF(('Studies (Monthly) RAW'!Q56/$H63)&lt;$C$4, 0, 1)))</f>
        <v/>
      </c>
      <c r="U63" s="385"/>
      <c r="V63" s="385"/>
      <c r="W63" s="385"/>
      <c r="X63" s="340"/>
      <c r="Z63" s="340"/>
      <c r="AA63" s="340"/>
      <c r="AB63" s="340"/>
      <c r="AC63" s="340"/>
      <c r="AD63" s="340"/>
      <c r="AE63" s="340"/>
      <c r="AF63" s="340"/>
      <c r="AG63" s="340"/>
    </row>
    <row r="64" ht="15.75" customHeight="1">
      <c r="A64" s="340"/>
      <c r="B64" s="340"/>
      <c r="C64" s="379" t="str">
        <f>'Studies (Monthly) RAW'!A57</f>
        <v/>
      </c>
      <c r="D64" s="380" t="str">
        <f>'Studies (Monthly) RAW'!B57</f>
        <v/>
      </c>
      <c r="E64" s="381" t="str">
        <f>'Studies (Monthly) RAW'!C57</f>
        <v/>
      </c>
      <c r="F64" s="381"/>
      <c r="G64" s="381" t="str">
        <f>'Studies (Monthly) RAW'!D57</f>
        <v/>
      </c>
      <c r="H64" s="384" t="str">
        <f>'Studies (Monthly) RAW'!E57</f>
        <v/>
      </c>
      <c r="I64" s="385" t="str">
        <f>IF(EQ('Studies (Monthly) RAW'!F57,""),"", (IF(('Studies (Monthly) RAW'!F57/$H64)&lt;$C$4, 0, 1)))</f>
        <v/>
      </c>
      <c r="J64" s="385" t="str">
        <f>IF(EQ('Studies (Monthly) RAW'!G57, ""),"", (IF(('Studies (Monthly) RAW'!G57/$H64)&lt;$C$4, 0, 1)))</f>
        <v/>
      </c>
      <c r="K64" s="385" t="str">
        <f>IF(EQ('Studies (Monthly) RAW'!H57,""),"", (IF(('Studies (Monthly) RAW'!H57/$H64)&lt;$C$4, 0, 1)))</f>
        <v/>
      </c>
      <c r="L64" s="385" t="str">
        <f>IF(EQ('Studies (Monthly) RAW'!I57, ""),"", (IF(('Studies (Monthly) RAW'!I57/$H64)&lt;$C$4, 0, 1)))</f>
        <v/>
      </c>
      <c r="M64" s="385" t="str">
        <f>IF(EQ('Studies (Monthly) RAW'!J57,""),"", (IF(('Studies (Monthly) RAW'!J57/$H64)&lt;$C$4, 0, 1)))</f>
        <v/>
      </c>
      <c r="N64" s="385" t="str">
        <f>IF(EQ('Studies (Monthly) RAW'!K57, ""),"", (IF(('Studies (Monthly) RAW'!K57/$H64)&lt;$C$4, 0, 1)))</f>
        <v/>
      </c>
      <c r="O64" s="385" t="str">
        <f>IF(EQ('Studies (Monthly) RAW'!L57,""),"", (IF(('Studies (Monthly) RAW'!L57/$H64)&lt;$C$4, 0, 1)))</f>
        <v/>
      </c>
      <c r="P64" s="385" t="str">
        <f>IF(EQ('Studies (Monthly) RAW'!M57, ""),"", (IF(('Studies (Monthly) RAW'!M57/$H64)&lt;$C$4, 0, 1)))</f>
        <v/>
      </c>
      <c r="Q64" s="385" t="str">
        <f>IF(EQ('Studies (Monthly) RAW'!N57,""),"", (IF(('Studies (Monthly) RAW'!N57/$H64)&lt;$C$4, 0, 1)))</f>
        <v/>
      </c>
      <c r="R64" s="385" t="str">
        <f>IF(EQ('Studies (Monthly) RAW'!O57, ""),"", (IF(('Studies (Monthly) RAW'!O57/$H64)&lt;$C$4, 0, 1)))</f>
        <v/>
      </c>
      <c r="S64" s="385" t="str">
        <f>IF(EQ('Studies (Monthly) RAW'!P57,""),"", (IF(('Studies (Monthly) RAW'!P57/$H64)&lt;$C$4, 0, 1)))</f>
        <v/>
      </c>
      <c r="T64" s="385" t="str">
        <f>IF(EQ('Studies (Monthly) RAW'!Q57, ""),"", (IF(('Studies (Monthly) RAW'!Q57/$H64)&lt;$C$4, 0, 1)))</f>
        <v/>
      </c>
      <c r="U64" s="385"/>
      <c r="V64" s="385"/>
      <c r="W64" s="385"/>
      <c r="X64" s="340"/>
      <c r="Y64" s="340"/>
      <c r="Z64" s="340"/>
      <c r="AA64" s="340"/>
      <c r="AB64" s="340"/>
      <c r="AC64" s="340"/>
      <c r="AD64" s="340"/>
      <c r="AE64" s="340"/>
      <c r="AF64" s="340"/>
      <c r="AG64" s="340"/>
    </row>
    <row r="65" ht="15.75" customHeight="1">
      <c r="A65" s="340"/>
      <c r="B65" s="340"/>
      <c r="C65" s="379" t="str">
        <f>'Studies (Monthly) RAW'!A58</f>
        <v/>
      </c>
      <c r="D65" s="380" t="str">
        <f>'Studies (Monthly) RAW'!B58</f>
        <v/>
      </c>
      <c r="E65" s="381" t="str">
        <f>'Studies (Monthly) RAW'!C58</f>
        <v/>
      </c>
      <c r="F65" s="381"/>
      <c r="G65" s="381" t="str">
        <f>'Studies (Monthly) RAW'!D58</f>
        <v/>
      </c>
      <c r="H65" s="384" t="str">
        <f>'Studies (Monthly) RAW'!E58</f>
        <v/>
      </c>
      <c r="I65" s="385" t="str">
        <f>IF(EQ('Studies (Monthly) RAW'!F58,""),"", (IF(('Studies (Monthly) RAW'!F58/$H65)&lt;$C$4, 0, 1)))</f>
        <v/>
      </c>
      <c r="J65" s="385" t="str">
        <f>IF(EQ('Studies (Monthly) RAW'!G58, ""),"", (IF(('Studies (Monthly) RAW'!G58/$H65)&lt;$C$4, 0, 1)))</f>
        <v/>
      </c>
      <c r="K65" s="385" t="str">
        <f>IF(EQ('Studies (Monthly) RAW'!H58,""),"", (IF(('Studies (Monthly) RAW'!H58/$H65)&lt;$C$4, 0, 1)))</f>
        <v/>
      </c>
      <c r="L65" s="385" t="str">
        <f>IF(EQ('Studies (Monthly) RAW'!I58, ""),"", (IF(('Studies (Monthly) RAW'!I58/$H65)&lt;$C$4, 0, 1)))</f>
        <v/>
      </c>
      <c r="M65" s="385" t="str">
        <f>IF(EQ('Studies (Monthly) RAW'!J58,""),"", (IF(('Studies (Monthly) RAW'!J58/$H65)&lt;$C$4, 0, 1)))</f>
        <v/>
      </c>
      <c r="N65" s="385" t="str">
        <f>IF(EQ('Studies (Monthly) RAW'!K58, ""),"", (IF(('Studies (Monthly) RAW'!K58/$H65)&lt;$C$4, 0, 1)))</f>
        <v/>
      </c>
      <c r="O65" s="385" t="str">
        <f>IF(EQ('Studies (Monthly) RAW'!L58,""),"", (IF(('Studies (Monthly) RAW'!L58/$H65)&lt;$C$4, 0, 1)))</f>
        <v/>
      </c>
      <c r="P65" s="385" t="str">
        <f>IF(EQ('Studies (Monthly) RAW'!M58, ""),"", (IF(('Studies (Monthly) RAW'!M58/$H65)&lt;$C$4, 0, 1)))</f>
        <v/>
      </c>
      <c r="Q65" s="385" t="str">
        <f>IF(EQ('Studies (Monthly) RAW'!N58,""),"", (IF(('Studies (Monthly) RAW'!N58/$H65)&lt;$C$4, 0, 1)))</f>
        <v/>
      </c>
      <c r="R65" s="385" t="str">
        <f>IF(EQ('Studies (Monthly) RAW'!O58, ""),"", (IF(('Studies (Monthly) RAW'!O58/$H65)&lt;$C$4, 0, 1)))</f>
        <v/>
      </c>
      <c r="S65" s="385" t="str">
        <f>IF(EQ('Studies (Monthly) RAW'!P58,""),"", (IF(('Studies (Monthly) RAW'!P58/$H65)&lt;$C$4, 0, 1)))</f>
        <v/>
      </c>
      <c r="T65" s="385" t="str">
        <f>IF(EQ('Studies (Monthly) RAW'!Q58, ""),"", (IF(('Studies (Monthly) RAW'!Q58/$H65)&lt;$C$4, 0, 1)))</f>
        <v/>
      </c>
      <c r="U65" s="385"/>
      <c r="V65" s="385"/>
      <c r="W65" s="385"/>
      <c r="X65" s="340"/>
      <c r="Y65" s="340"/>
      <c r="Z65" s="340"/>
      <c r="AA65" s="340"/>
      <c r="AB65" s="340"/>
      <c r="AC65" s="340"/>
      <c r="AD65" s="340"/>
      <c r="AE65" s="340"/>
      <c r="AF65" s="340"/>
      <c r="AG65" s="340"/>
    </row>
    <row r="66" ht="15.75" customHeight="1">
      <c r="A66" s="340"/>
      <c r="B66" s="340"/>
      <c r="C66" s="379" t="str">
        <f>'Studies (Monthly) RAW'!A59</f>
        <v/>
      </c>
      <c r="D66" s="380" t="str">
        <f>'Studies (Monthly) RAW'!B59</f>
        <v/>
      </c>
      <c r="E66" s="381" t="str">
        <f>'Studies (Monthly) RAW'!C59</f>
        <v/>
      </c>
      <c r="F66" s="381"/>
      <c r="G66" s="381" t="str">
        <f>'Studies (Monthly) RAW'!D59</f>
        <v/>
      </c>
      <c r="H66" s="384" t="str">
        <f>'Studies (Monthly) RAW'!E59</f>
        <v/>
      </c>
      <c r="I66" s="385" t="str">
        <f>IF(EQ('Studies (Monthly) RAW'!F59,""),"", (IF(('Studies (Monthly) RAW'!F59/$H66)&lt;$C$4, 0, 1)))</f>
        <v/>
      </c>
      <c r="J66" s="385" t="str">
        <f>IF(EQ('Studies (Monthly) RAW'!G59, ""),"", (IF(('Studies (Monthly) RAW'!G59/$H66)&lt;$C$4, 0, 1)))</f>
        <v/>
      </c>
      <c r="K66" s="385" t="str">
        <f>IF(EQ('Studies (Monthly) RAW'!H59,""),"", (IF(('Studies (Monthly) RAW'!H59/$H66)&lt;$C$4, 0, 1)))</f>
        <v/>
      </c>
      <c r="L66" s="385" t="str">
        <f>IF(EQ('Studies (Monthly) RAW'!I59, ""),"", (IF(('Studies (Monthly) RAW'!I59/$H66)&lt;$C$4, 0, 1)))</f>
        <v/>
      </c>
      <c r="M66" s="385" t="str">
        <f>IF(EQ('Studies (Monthly) RAW'!J59,""),"", (IF(('Studies (Monthly) RAW'!J59/$H66)&lt;$C$4, 0, 1)))</f>
        <v/>
      </c>
      <c r="N66" s="385" t="str">
        <f>IF(EQ('Studies (Monthly) RAW'!K59, ""),"", (IF(('Studies (Monthly) RAW'!K59/$H66)&lt;$C$4, 0, 1)))</f>
        <v/>
      </c>
      <c r="O66" s="385" t="str">
        <f>IF(EQ('Studies (Monthly) RAW'!L59,""),"", (IF(('Studies (Monthly) RAW'!L59/$H66)&lt;$C$4, 0, 1)))</f>
        <v/>
      </c>
      <c r="P66" s="385" t="str">
        <f>IF(EQ('Studies (Monthly) RAW'!M59, ""),"", (IF(('Studies (Monthly) RAW'!M59/$H66)&lt;$C$4, 0, 1)))</f>
        <v/>
      </c>
      <c r="Q66" s="385" t="str">
        <f>IF(EQ('Studies (Monthly) RAW'!N59,""),"", (IF(('Studies (Monthly) RAW'!N59/$H66)&lt;$C$4, 0, 1)))</f>
        <v/>
      </c>
      <c r="R66" s="385" t="str">
        <f>IF(EQ('Studies (Monthly) RAW'!O59, ""),"", (IF(('Studies (Monthly) RAW'!O59/$H66)&lt;$C$4, 0, 1)))</f>
        <v/>
      </c>
      <c r="S66" s="385" t="str">
        <f>IF(EQ('Studies (Monthly) RAW'!P59,""),"", (IF(('Studies (Monthly) RAW'!P59/$H66)&lt;$C$4, 0, 1)))</f>
        <v/>
      </c>
      <c r="T66" s="385" t="str">
        <f>IF(EQ('Studies (Monthly) RAW'!Q59, ""),"", (IF(('Studies (Monthly) RAW'!Q59/$H66)&lt;$C$4, 0, 1)))</f>
        <v/>
      </c>
      <c r="U66" s="385"/>
      <c r="V66" s="385"/>
      <c r="W66" s="385"/>
      <c r="X66" s="340"/>
      <c r="Y66" s="340"/>
      <c r="Z66" s="340"/>
      <c r="AA66" s="340"/>
      <c r="AB66" s="340"/>
      <c r="AC66" s="340"/>
      <c r="AD66" s="340"/>
      <c r="AE66" s="340"/>
      <c r="AF66" s="340"/>
      <c r="AG66" s="340"/>
    </row>
    <row r="67" ht="15.75" customHeight="1">
      <c r="A67" s="340"/>
      <c r="B67" s="340"/>
      <c r="C67" s="379" t="str">
        <f>'Studies (Monthly) RAW'!A60</f>
        <v/>
      </c>
      <c r="D67" s="380" t="str">
        <f>'Studies (Monthly) RAW'!B60</f>
        <v/>
      </c>
      <c r="E67" s="381" t="str">
        <f>'Studies (Monthly) RAW'!C60</f>
        <v/>
      </c>
      <c r="F67" s="381"/>
      <c r="G67" s="381" t="str">
        <f>'Studies (Monthly) RAW'!D60</f>
        <v/>
      </c>
      <c r="H67" s="384" t="str">
        <f>'Studies (Monthly) RAW'!E60</f>
        <v/>
      </c>
      <c r="I67" s="385" t="str">
        <f>IF(EQ('Studies (Monthly) RAW'!F60,""),"", (IF(('Studies (Monthly) RAW'!F60/$H67)&lt;$C$4, 0, 1)))</f>
        <v/>
      </c>
      <c r="J67" s="385" t="str">
        <f>IF(EQ('Studies (Monthly) RAW'!G60, ""),"", (IF(('Studies (Monthly) RAW'!G60/$H67)&lt;$C$4, 0, 1)))</f>
        <v/>
      </c>
      <c r="K67" s="385" t="str">
        <f>IF(EQ('Studies (Monthly) RAW'!H60,""),"", (IF(('Studies (Monthly) RAW'!H60/$H67)&lt;$C$4, 0, 1)))</f>
        <v/>
      </c>
      <c r="L67" s="385" t="str">
        <f>IF(EQ('Studies (Monthly) RAW'!I60, ""),"", (IF(('Studies (Monthly) RAW'!I60/$H67)&lt;$C$4, 0, 1)))</f>
        <v/>
      </c>
      <c r="M67" s="385" t="str">
        <f>IF(EQ('Studies (Monthly) RAW'!J60,""),"", (IF(('Studies (Monthly) RAW'!J60/$H67)&lt;$C$4, 0, 1)))</f>
        <v/>
      </c>
      <c r="N67" s="385" t="str">
        <f>IF(EQ('Studies (Monthly) RAW'!K60, ""),"", (IF(('Studies (Monthly) RAW'!K60/$H67)&lt;$C$4, 0, 1)))</f>
        <v/>
      </c>
      <c r="O67" s="385" t="str">
        <f>IF(EQ('Studies (Monthly) RAW'!L60,""),"", (IF(('Studies (Monthly) RAW'!L60/$H67)&lt;$C$4, 0, 1)))</f>
        <v/>
      </c>
      <c r="P67" s="385" t="str">
        <f>IF(EQ('Studies (Monthly) RAW'!M60, ""),"", (IF(('Studies (Monthly) RAW'!M60/$H67)&lt;$C$4, 0, 1)))</f>
        <v/>
      </c>
      <c r="Q67" s="385" t="str">
        <f>IF(EQ('Studies (Monthly) RAW'!N60,""),"", (IF(('Studies (Monthly) RAW'!N60/$H67)&lt;$C$4, 0, 1)))</f>
        <v/>
      </c>
      <c r="R67" s="385" t="str">
        <f>IF(EQ('Studies (Monthly) RAW'!O60, ""),"", (IF(('Studies (Monthly) RAW'!O60/$H67)&lt;$C$4, 0, 1)))</f>
        <v/>
      </c>
      <c r="S67" s="385" t="str">
        <f>IF(EQ('Studies (Monthly) RAW'!P60,""),"", (IF(('Studies (Monthly) RAW'!P60/$H67)&lt;$C$4, 0, 1)))</f>
        <v/>
      </c>
      <c r="T67" s="385" t="str">
        <f>IF(EQ('Studies (Monthly) RAW'!Q60, ""),"", (IF(('Studies (Monthly) RAW'!Q60/$H67)&lt;$C$4, 0, 1)))</f>
        <v/>
      </c>
      <c r="U67" s="385"/>
      <c r="V67" s="385"/>
      <c r="W67" s="385"/>
      <c r="X67" s="340"/>
      <c r="Y67" s="340"/>
      <c r="Z67" s="340"/>
      <c r="AA67" s="340"/>
      <c r="AB67" s="340"/>
      <c r="AC67" s="340"/>
      <c r="AD67" s="340"/>
      <c r="AE67" s="340"/>
      <c r="AF67" s="340"/>
      <c r="AG67" s="340"/>
    </row>
    <row r="68" ht="15.75" customHeight="1">
      <c r="A68" s="340"/>
      <c r="B68" s="340"/>
      <c r="C68" s="379" t="str">
        <f>'Studies (Monthly) RAW'!A61</f>
        <v/>
      </c>
      <c r="D68" s="380" t="str">
        <f>'Studies (Monthly) RAW'!B61</f>
        <v/>
      </c>
      <c r="E68" s="381" t="str">
        <f>'Studies (Monthly) RAW'!C61</f>
        <v/>
      </c>
      <c r="F68" s="381"/>
      <c r="G68" s="381" t="str">
        <f>'Studies (Monthly) RAW'!D61</f>
        <v/>
      </c>
      <c r="H68" s="384" t="str">
        <f>'Studies (Monthly) RAW'!E61</f>
        <v/>
      </c>
      <c r="I68" s="385" t="str">
        <f>IF(EQ('Studies (Monthly) RAW'!F61,""),"", (IF(('Studies (Monthly) RAW'!F61/$H68)&lt;$C$4, 0, 1)))</f>
        <v/>
      </c>
      <c r="J68" s="385" t="str">
        <f>IF(EQ('Studies (Monthly) RAW'!G61, ""),"", (IF(('Studies (Monthly) RAW'!G61/$H68)&lt;$C$4, 0, 1)))</f>
        <v/>
      </c>
      <c r="K68" s="385" t="str">
        <f>IF(EQ('Studies (Monthly) RAW'!H61,""),"", (IF(('Studies (Monthly) RAW'!H61/$H68)&lt;$C$4, 0, 1)))</f>
        <v/>
      </c>
      <c r="L68" s="385" t="str">
        <f>IF(EQ('Studies (Monthly) RAW'!I61, ""),"", (IF(('Studies (Monthly) RAW'!I61/$H68)&lt;$C$4, 0, 1)))</f>
        <v/>
      </c>
      <c r="M68" s="385" t="str">
        <f>IF(EQ('Studies (Monthly) RAW'!J61,""),"", (IF(('Studies (Monthly) RAW'!J61/$H68)&lt;$C$4, 0, 1)))</f>
        <v/>
      </c>
      <c r="N68" s="385" t="str">
        <f>IF(EQ('Studies (Monthly) RAW'!K61, ""),"", (IF(('Studies (Monthly) RAW'!K61/$H68)&lt;$C$4, 0, 1)))</f>
        <v/>
      </c>
      <c r="O68" s="385" t="str">
        <f>IF(EQ('Studies (Monthly) RAW'!L61,""),"", (IF(('Studies (Monthly) RAW'!L61/$H68)&lt;$C$4, 0, 1)))</f>
        <v/>
      </c>
      <c r="P68" s="385" t="str">
        <f>IF(EQ('Studies (Monthly) RAW'!M61, ""),"", (IF(('Studies (Monthly) RAW'!M61/$H68)&lt;$C$4, 0, 1)))</f>
        <v/>
      </c>
      <c r="Q68" s="385" t="str">
        <f>IF(EQ('Studies (Monthly) RAW'!N61,""),"", (IF(('Studies (Monthly) RAW'!N61/$H68)&lt;$C$4, 0, 1)))</f>
        <v/>
      </c>
      <c r="R68" s="385" t="str">
        <f>IF(EQ('Studies (Monthly) RAW'!O61, ""),"", (IF(('Studies (Monthly) RAW'!O61/$H68)&lt;$C$4, 0, 1)))</f>
        <v/>
      </c>
      <c r="S68" s="385" t="str">
        <f>IF(EQ('Studies (Monthly) RAW'!P61,""),"", (IF(('Studies (Monthly) RAW'!P61/$H68)&lt;$C$4, 0, 1)))</f>
        <v/>
      </c>
      <c r="T68" s="385" t="str">
        <f>IF(EQ('Studies (Monthly) RAW'!Q61, ""),"", (IF(('Studies (Monthly) RAW'!Q61/$H68)&lt;$C$4, 0, 1)))</f>
        <v/>
      </c>
      <c r="U68" s="385"/>
      <c r="V68" s="385"/>
      <c r="W68" s="385"/>
      <c r="X68" s="340"/>
      <c r="Y68" s="340"/>
      <c r="Z68" s="340"/>
      <c r="AA68" s="340"/>
      <c r="AB68" s="340"/>
      <c r="AC68" s="340"/>
      <c r="AD68" s="340"/>
      <c r="AE68" s="340"/>
      <c r="AF68" s="340"/>
      <c r="AG68" s="340"/>
    </row>
    <row r="69" ht="15.75" customHeight="1">
      <c r="A69" s="340"/>
      <c r="B69" s="340"/>
      <c r="C69" s="379" t="str">
        <f>'Studies (Monthly) RAW'!A62</f>
        <v/>
      </c>
      <c r="D69" s="380" t="str">
        <f>'Studies (Monthly) RAW'!B62</f>
        <v/>
      </c>
      <c r="E69" s="381" t="str">
        <f>'Studies (Monthly) RAW'!C62</f>
        <v/>
      </c>
      <c r="F69" s="381"/>
      <c r="G69" s="381" t="str">
        <f>'Studies (Monthly) RAW'!D62</f>
        <v/>
      </c>
      <c r="H69" s="384" t="str">
        <f>'Studies (Monthly) RAW'!E62</f>
        <v/>
      </c>
      <c r="I69" s="385" t="str">
        <f>IF(EQ('Studies (Monthly) RAW'!F62,""),"", (IF(('Studies (Monthly) RAW'!F62/$H69)&lt;$C$4, 0, 1)))</f>
        <v/>
      </c>
      <c r="J69" s="385" t="str">
        <f>IF(EQ('Studies (Monthly) RAW'!G62, ""),"", (IF(('Studies (Monthly) RAW'!G62/$H69)&lt;$C$4, 0, 1)))</f>
        <v/>
      </c>
      <c r="K69" s="385" t="str">
        <f>IF(EQ('Studies (Monthly) RAW'!H62,""),"", (IF(('Studies (Monthly) RAW'!H62/$H69)&lt;$C$4, 0, 1)))</f>
        <v/>
      </c>
      <c r="L69" s="385" t="str">
        <f>IF(EQ('Studies (Monthly) RAW'!I62, ""),"", (IF(('Studies (Monthly) RAW'!I62/$H69)&lt;$C$4, 0, 1)))</f>
        <v/>
      </c>
      <c r="M69" s="385" t="str">
        <f>IF(EQ('Studies (Monthly) RAW'!J62,""),"", (IF(('Studies (Monthly) RAW'!J62/$H69)&lt;$C$4, 0, 1)))</f>
        <v/>
      </c>
      <c r="N69" s="385" t="str">
        <f>IF(EQ('Studies (Monthly) RAW'!K62, ""),"", (IF(('Studies (Monthly) RAW'!K62/$H69)&lt;$C$4, 0, 1)))</f>
        <v/>
      </c>
      <c r="O69" s="385" t="str">
        <f>IF(EQ('Studies (Monthly) RAW'!L62,""),"", (IF(('Studies (Monthly) RAW'!L62/$H69)&lt;$C$4, 0, 1)))</f>
        <v/>
      </c>
      <c r="P69" s="385" t="str">
        <f>IF(EQ('Studies (Monthly) RAW'!M62, ""),"", (IF(('Studies (Monthly) RAW'!M62/$H69)&lt;$C$4, 0, 1)))</f>
        <v/>
      </c>
      <c r="Q69" s="385" t="str">
        <f>IF(EQ('Studies (Monthly) RAW'!N62,""),"", (IF(('Studies (Monthly) RAW'!N62/$H69)&lt;$C$4, 0, 1)))</f>
        <v/>
      </c>
      <c r="R69" s="385" t="str">
        <f>IF(EQ('Studies (Monthly) RAW'!O62, ""),"", (IF(('Studies (Monthly) RAW'!O62/$H69)&lt;$C$4, 0, 1)))</f>
        <v/>
      </c>
      <c r="S69" s="385" t="str">
        <f>IF(EQ('Studies (Monthly) RAW'!P62,""),"", (IF(('Studies (Monthly) RAW'!P62/$H69)&lt;$C$4, 0, 1)))</f>
        <v/>
      </c>
      <c r="T69" s="385" t="str">
        <f>IF(EQ('Studies (Monthly) RAW'!Q62, ""),"", (IF(('Studies (Monthly) RAW'!Q62/$H69)&lt;$C$4, 0, 1)))</f>
        <v/>
      </c>
      <c r="U69" s="385"/>
      <c r="V69" s="385"/>
      <c r="W69" s="385"/>
      <c r="X69" s="340"/>
      <c r="Y69" s="340"/>
      <c r="Z69" s="340"/>
      <c r="AA69" s="340"/>
      <c r="AB69" s="340"/>
      <c r="AC69" s="340"/>
      <c r="AD69" s="340"/>
      <c r="AE69" s="340"/>
      <c r="AF69" s="340"/>
      <c r="AG69" s="340"/>
    </row>
    <row r="70" ht="15.75" customHeight="1">
      <c r="A70" s="340"/>
      <c r="B70" s="340"/>
      <c r="C70" s="379" t="str">
        <f>'Studies (Monthly) RAW'!A63</f>
        <v/>
      </c>
      <c r="D70" s="380" t="str">
        <f>'Studies (Monthly) RAW'!B63</f>
        <v/>
      </c>
      <c r="E70" s="381" t="str">
        <f>'Studies (Monthly) RAW'!C63</f>
        <v/>
      </c>
      <c r="F70" s="381"/>
      <c r="G70" s="381" t="str">
        <f>'Studies (Monthly) RAW'!D63</f>
        <v/>
      </c>
      <c r="H70" s="384" t="str">
        <f>'Studies (Monthly) RAW'!E63</f>
        <v/>
      </c>
      <c r="I70" s="385" t="str">
        <f>IF(EQ('Studies (Monthly) RAW'!F63,""),"", (IF(('Studies (Monthly) RAW'!F63/$H70)&lt;$C$4, 0, 1)))</f>
        <v/>
      </c>
      <c r="J70" s="385" t="str">
        <f>IF(EQ('Studies (Monthly) RAW'!G63, ""),"", (IF(('Studies (Monthly) RAW'!G63/$H70)&lt;$C$4, 0, 1)))</f>
        <v/>
      </c>
      <c r="K70" s="385" t="str">
        <f>IF(EQ('Studies (Monthly) RAW'!H63,""),"", (IF(('Studies (Monthly) RAW'!H63/$H70)&lt;$C$4, 0, 1)))</f>
        <v/>
      </c>
      <c r="L70" s="385" t="str">
        <f>IF(EQ('Studies (Monthly) RAW'!I63, ""),"", (IF(('Studies (Monthly) RAW'!I63/$H70)&lt;$C$4, 0, 1)))</f>
        <v/>
      </c>
      <c r="M70" s="385" t="str">
        <f>IF(EQ('Studies (Monthly) RAW'!J63,""),"", (IF(('Studies (Monthly) RAW'!J63/$H70)&lt;$C$4, 0, 1)))</f>
        <v/>
      </c>
      <c r="N70" s="385" t="str">
        <f>IF(EQ('Studies (Monthly) RAW'!K63, ""),"", (IF(('Studies (Monthly) RAW'!K63/$H70)&lt;$C$4, 0, 1)))</f>
        <v/>
      </c>
      <c r="O70" s="385" t="str">
        <f>IF(EQ('Studies (Monthly) RAW'!L63,""),"", (IF(('Studies (Monthly) RAW'!L63/$H70)&lt;$C$4, 0, 1)))</f>
        <v/>
      </c>
      <c r="P70" s="385" t="str">
        <f>IF(EQ('Studies (Monthly) RAW'!M63, ""),"", (IF(('Studies (Monthly) RAW'!M63/$H70)&lt;$C$4, 0, 1)))</f>
        <v/>
      </c>
      <c r="Q70" s="385" t="str">
        <f>IF(EQ('Studies (Monthly) RAW'!N63,""),"", (IF(('Studies (Monthly) RAW'!N63/$H70)&lt;$C$4, 0, 1)))</f>
        <v/>
      </c>
      <c r="R70" s="385" t="str">
        <f>IF(EQ('Studies (Monthly) RAW'!O63, ""),"", (IF(('Studies (Monthly) RAW'!O63/$H70)&lt;$C$4, 0, 1)))</f>
        <v/>
      </c>
      <c r="S70" s="385" t="str">
        <f>IF(EQ('Studies (Monthly) RAW'!P63,""),"", (IF(('Studies (Monthly) RAW'!P63/$H70)&lt;$C$4, 0, 1)))</f>
        <v/>
      </c>
      <c r="T70" s="385" t="str">
        <f>IF(EQ('Studies (Monthly) RAW'!Q63, ""),"", (IF(('Studies (Monthly) RAW'!Q63/$H70)&lt;$C$4, 0, 1)))</f>
        <v/>
      </c>
      <c r="U70" s="385"/>
      <c r="V70" s="385"/>
      <c r="W70" s="385"/>
      <c r="X70" s="340"/>
      <c r="Y70" s="340"/>
      <c r="Z70" s="340"/>
      <c r="AA70" s="340"/>
      <c r="AB70" s="340"/>
      <c r="AC70" s="340"/>
      <c r="AD70" s="340"/>
      <c r="AE70" s="340"/>
      <c r="AF70" s="340"/>
      <c r="AG70" s="340"/>
    </row>
    <row r="71" ht="15.75" customHeight="1">
      <c r="A71" s="340"/>
      <c r="B71" s="340"/>
      <c r="C71" s="379" t="str">
        <f>'Studies (Monthly) RAW'!A64</f>
        <v/>
      </c>
      <c r="D71" s="380" t="str">
        <f>'Studies (Monthly) RAW'!B64</f>
        <v/>
      </c>
      <c r="E71" s="381" t="str">
        <f>'Studies (Monthly) RAW'!C64</f>
        <v/>
      </c>
      <c r="F71" s="381"/>
      <c r="G71" s="381" t="str">
        <f>'Studies (Monthly) RAW'!D64</f>
        <v/>
      </c>
      <c r="H71" s="384" t="str">
        <f>'Studies (Monthly) RAW'!E64</f>
        <v/>
      </c>
      <c r="I71" s="385" t="str">
        <f>IF(EQ('Studies (Monthly) RAW'!F64,""),"", (IF(('Studies (Monthly) RAW'!F64/$H71)&lt;$C$4, 0, 1)))</f>
        <v/>
      </c>
      <c r="J71" s="385" t="str">
        <f>IF(EQ('Studies (Monthly) RAW'!G64, ""),"", (IF(('Studies (Monthly) RAW'!G64/$H71)&lt;$C$4, 0, 1)))</f>
        <v/>
      </c>
      <c r="K71" s="385" t="str">
        <f>IF(EQ('Studies (Monthly) RAW'!H64,""),"", (IF(('Studies (Monthly) RAW'!H64/$H71)&lt;$C$4, 0, 1)))</f>
        <v/>
      </c>
      <c r="L71" s="385" t="str">
        <f>IF(EQ('Studies (Monthly) RAW'!I64, ""),"", (IF(('Studies (Monthly) RAW'!I64/$H71)&lt;$C$4, 0, 1)))</f>
        <v/>
      </c>
      <c r="M71" s="385" t="str">
        <f>IF(EQ('Studies (Monthly) RAW'!J64,""),"", (IF(('Studies (Monthly) RAW'!J64/$H71)&lt;$C$4, 0, 1)))</f>
        <v/>
      </c>
      <c r="N71" s="385" t="str">
        <f>IF(EQ('Studies (Monthly) RAW'!K64, ""),"", (IF(('Studies (Monthly) RAW'!K64/$H71)&lt;$C$4, 0, 1)))</f>
        <v/>
      </c>
      <c r="O71" s="385" t="str">
        <f>IF(EQ('Studies (Monthly) RAW'!L64,""),"", (IF(('Studies (Monthly) RAW'!L64/$H71)&lt;$C$4, 0, 1)))</f>
        <v/>
      </c>
      <c r="P71" s="385" t="str">
        <f>IF(EQ('Studies (Monthly) RAW'!M64, ""),"", (IF(('Studies (Monthly) RAW'!M64/$H71)&lt;$C$4, 0, 1)))</f>
        <v/>
      </c>
      <c r="Q71" s="385" t="str">
        <f>IF(EQ('Studies (Monthly) RAW'!N64,""),"", (IF(('Studies (Monthly) RAW'!N64/$H71)&lt;$C$4, 0, 1)))</f>
        <v/>
      </c>
      <c r="R71" s="385" t="str">
        <f>IF(EQ('Studies (Monthly) RAW'!O64, ""),"", (IF(('Studies (Monthly) RAW'!O64/$H71)&lt;$C$4, 0, 1)))</f>
        <v/>
      </c>
      <c r="S71" s="385" t="str">
        <f>IF(EQ('Studies (Monthly) RAW'!P64,""),"", (IF(('Studies (Monthly) RAW'!P64/$H71)&lt;$C$4, 0, 1)))</f>
        <v/>
      </c>
      <c r="T71" s="385" t="str">
        <f>IF(EQ('Studies (Monthly) RAW'!Q64, ""),"", (IF(('Studies (Monthly) RAW'!Q64/$H71)&lt;$C$4, 0, 1)))</f>
        <v/>
      </c>
      <c r="U71" s="385"/>
      <c r="V71" s="385"/>
      <c r="W71" s="385"/>
      <c r="X71" s="340"/>
      <c r="Y71" s="340"/>
      <c r="Z71" s="340"/>
      <c r="AA71" s="340"/>
      <c r="AB71" s="340"/>
      <c r="AC71" s="340"/>
      <c r="AD71" s="340"/>
      <c r="AE71" s="340"/>
      <c r="AF71" s="340"/>
      <c r="AG71" s="340"/>
    </row>
    <row r="72" ht="15.75" customHeight="1">
      <c r="C72" s="379" t="str">
        <f>'Studies (Monthly) RAW'!A65</f>
        <v/>
      </c>
      <c r="D72" s="380" t="str">
        <f>'Studies (Monthly) RAW'!B65</f>
        <v/>
      </c>
      <c r="E72" s="381" t="str">
        <f>'Studies (Monthly) RAW'!C65</f>
        <v/>
      </c>
      <c r="F72" s="381"/>
      <c r="G72" s="381" t="str">
        <f>'Studies (Monthly) RAW'!D65</f>
        <v/>
      </c>
      <c r="H72" s="384" t="str">
        <f>'Studies (Monthly) RAW'!E65</f>
        <v/>
      </c>
      <c r="I72" s="385" t="str">
        <f>IF(EQ('Studies (Monthly) RAW'!F65,""),"", (IF(('Studies (Monthly) RAW'!F65/$H72)&lt;$C$4, 0, 1)))</f>
        <v/>
      </c>
      <c r="J72" s="385" t="str">
        <f>IF(EQ('Studies (Monthly) RAW'!G65, ""),"", (IF(('Studies (Monthly) RAW'!G65/$H72)&lt;$C$4, 0, 1)))</f>
        <v/>
      </c>
      <c r="K72" s="385" t="str">
        <f>IF(EQ('Studies (Monthly) RAW'!H65,""),"", (IF(('Studies (Monthly) RAW'!H65/$H72)&lt;$C$4, 0, 1)))</f>
        <v/>
      </c>
      <c r="L72" s="385" t="str">
        <f>IF(EQ('Studies (Monthly) RAW'!I65, ""),"", (IF(('Studies (Monthly) RAW'!I65/$H72)&lt;$C$4, 0, 1)))</f>
        <v/>
      </c>
      <c r="M72" s="385" t="str">
        <f>IF(EQ('Studies (Monthly) RAW'!J65,""),"", (IF(('Studies (Monthly) RAW'!J65/$H72)&lt;$C$4, 0, 1)))</f>
        <v/>
      </c>
      <c r="N72" s="385" t="str">
        <f>IF(EQ('Studies (Monthly) RAW'!K65, ""),"", (IF(('Studies (Monthly) RAW'!K65/$H72)&lt;$C$4, 0, 1)))</f>
        <v/>
      </c>
      <c r="O72" s="385" t="str">
        <f>IF(EQ('Studies (Monthly) RAW'!L65,""),"", (IF(('Studies (Monthly) RAW'!L65/$H72)&lt;$C$4, 0, 1)))</f>
        <v/>
      </c>
      <c r="P72" s="385" t="str">
        <f>IF(EQ('Studies (Monthly) RAW'!M65, ""),"", (IF(('Studies (Monthly) RAW'!M65/$H72)&lt;$C$4, 0, 1)))</f>
        <v/>
      </c>
      <c r="Q72" s="385" t="str">
        <f>IF(EQ('Studies (Monthly) RAW'!N65,""),"", (IF(('Studies (Monthly) RAW'!N65/$H72)&lt;$C$4, 0, 1)))</f>
        <v/>
      </c>
      <c r="R72" s="385" t="str">
        <f>IF(EQ('Studies (Monthly) RAW'!O65, ""),"", (IF(('Studies (Monthly) RAW'!O65/$H72)&lt;$C$4, 0, 1)))</f>
        <v/>
      </c>
      <c r="S72" s="385" t="str">
        <f>IF(EQ('Studies (Monthly) RAW'!P65,""),"", (IF(('Studies (Monthly) RAW'!P65/$H72)&lt;$C$4, 0, 1)))</f>
        <v/>
      </c>
      <c r="T72" s="385" t="str">
        <f>IF(EQ('Studies (Monthly) RAW'!Q65, ""),"", (IF(('Studies (Monthly) RAW'!Q65/$H72)&lt;$C$4, 0, 1)))</f>
        <v/>
      </c>
      <c r="U72" s="385"/>
      <c r="V72" s="385"/>
      <c r="W72" s="385"/>
      <c r="Y72" s="340"/>
      <c r="Z72" s="340"/>
      <c r="AA72" s="340"/>
      <c r="AB72" s="340"/>
      <c r="AC72" s="340"/>
      <c r="AD72" s="340"/>
      <c r="AE72" s="340"/>
      <c r="AF72" s="340"/>
      <c r="AG72" s="340"/>
    </row>
    <row r="73" ht="15.75" customHeight="1">
      <c r="C73" s="379" t="str">
        <f>'Studies (Monthly) RAW'!A66</f>
        <v/>
      </c>
      <c r="D73" s="380" t="str">
        <f>'Studies (Monthly) RAW'!B66</f>
        <v/>
      </c>
      <c r="E73" s="381" t="str">
        <f>'Studies (Monthly) RAW'!C66</f>
        <v/>
      </c>
      <c r="F73" s="381"/>
      <c r="G73" s="381" t="str">
        <f>'Studies (Monthly) RAW'!D66</f>
        <v/>
      </c>
      <c r="H73" s="384" t="str">
        <f>'Studies (Monthly) RAW'!E66</f>
        <v/>
      </c>
      <c r="I73" s="385" t="str">
        <f>IF(EQ('Studies (Monthly) RAW'!F66,""),"", (IF(('Studies (Monthly) RAW'!F66/$H73)&lt;$C$4, 0, 1)))</f>
        <v/>
      </c>
      <c r="J73" s="385" t="str">
        <f>IF(EQ('Studies (Monthly) RAW'!G66, ""),"", (IF(('Studies (Monthly) RAW'!G66/$H73)&lt;$C$4, 0, 1)))</f>
        <v/>
      </c>
      <c r="K73" s="385" t="str">
        <f>IF(EQ('Studies (Monthly) RAW'!H66,""),"", (IF(('Studies (Monthly) RAW'!H66/$H73)&lt;$C$4, 0, 1)))</f>
        <v/>
      </c>
      <c r="L73" s="385" t="str">
        <f>IF(EQ('Studies (Monthly) RAW'!I66, ""),"", (IF(('Studies (Monthly) RAW'!I66/$H73)&lt;$C$4, 0, 1)))</f>
        <v/>
      </c>
      <c r="M73" s="385" t="str">
        <f>IF(EQ('Studies (Monthly) RAW'!J66,""),"", (IF(('Studies (Monthly) RAW'!J66/$H73)&lt;$C$4, 0, 1)))</f>
        <v/>
      </c>
      <c r="N73" s="385" t="str">
        <f>IF(EQ('Studies (Monthly) RAW'!K66, ""),"", (IF(('Studies (Monthly) RAW'!K66/$H73)&lt;$C$4, 0, 1)))</f>
        <v/>
      </c>
      <c r="O73" s="385" t="str">
        <f>IF(EQ('Studies (Monthly) RAW'!L66,""),"", (IF(('Studies (Monthly) RAW'!L66/$H73)&lt;$C$4, 0, 1)))</f>
        <v/>
      </c>
      <c r="P73" s="385" t="str">
        <f>IF(EQ('Studies (Monthly) RAW'!M66, ""),"", (IF(('Studies (Monthly) RAW'!M66/$H73)&lt;$C$4, 0, 1)))</f>
        <v/>
      </c>
      <c r="Q73" s="385" t="str">
        <f>IF(EQ('Studies (Monthly) RAW'!N66,""),"", (IF(('Studies (Monthly) RAW'!N66/$H73)&lt;$C$4, 0, 1)))</f>
        <v/>
      </c>
      <c r="R73" s="385" t="str">
        <f>IF(EQ('Studies (Monthly) RAW'!O66, ""),"", (IF(('Studies (Monthly) RAW'!O66/$H73)&lt;$C$4, 0, 1)))</f>
        <v/>
      </c>
      <c r="S73" s="385" t="str">
        <f>IF(EQ('Studies (Monthly) RAW'!P66,""),"", (IF(('Studies (Monthly) RAW'!P66/$H73)&lt;$C$4, 0, 1)))</f>
        <v/>
      </c>
      <c r="T73" s="385" t="str">
        <f>IF(EQ('Studies (Monthly) RAW'!Q66, ""),"", (IF(('Studies (Monthly) RAW'!Q66/$H73)&lt;$C$4, 0, 1)))</f>
        <v/>
      </c>
      <c r="U73" s="385"/>
      <c r="V73" s="385"/>
      <c r="W73" s="385"/>
      <c r="Y73" s="340"/>
      <c r="Z73" s="340"/>
      <c r="AA73" s="340"/>
      <c r="AB73" s="340"/>
      <c r="AC73" s="340"/>
      <c r="AD73" s="340"/>
      <c r="AE73" s="340"/>
      <c r="AF73" s="340"/>
      <c r="AG73" s="340"/>
    </row>
    <row r="74" ht="15.75" customHeight="1">
      <c r="C74" s="379" t="str">
        <f>'Studies (Monthly) RAW'!A67</f>
        <v/>
      </c>
      <c r="D74" s="380" t="str">
        <f>'Studies (Monthly) RAW'!B67</f>
        <v/>
      </c>
      <c r="E74" s="381" t="str">
        <f>'Studies (Monthly) RAW'!C67</f>
        <v/>
      </c>
      <c r="F74" s="381"/>
      <c r="G74" s="381" t="str">
        <f>'Studies (Monthly) RAW'!D67</f>
        <v/>
      </c>
      <c r="H74" s="384" t="str">
        <f>'Studies (Monthly) RAW'!E67</f>
        <v/>
      </c>
      <c r="I74" s="385" t="str">
        <f>IF(EQ('Studies (Monthly) RAW'!F67,""),"", (IF(('Studies (Monthly) RAW'!F67/$H74)&lt;$C$4, 0, 1)))</f>
        <v/>
      </c>
      <c r="J74" s="385" t="str">
        <f>IF(EQ('Studies (Monthly) RAW'!G67, ""),"", (IF(('Studies (Monthly) RAW'!G67/$H74)&lt;$C$4, 0, 1)))</f>
        <v/>
      </c>
      <c r="K74" s="385" t="str">
        <f>IF(EQ('Studies (Monthly) RAW'!H67,""),"", (IF(('Studies (Monthly) RAW'!H67/$H74)&lt;$C$4, 0, 1)))</f>
        <v/>
      </c>
      <c r="L74" s="385" t="str">
        <f>IF(EQ('Studies (Monthly) RAW'!I67, ""),"", (IF(('Studies (Monthly) RAW'!I67/$H74)&lt;$C$4, 0, 1)))</f>
        <v/>
      </c>
      <c r="M74" s="385" t="str">
        <f>IF(EQ('Studies (Monthly) RAW'!J67,""),"", (IF(('Studies (Monthly) RAW'!J67/$H74)&lt;$C$4, 0, 1)))</f>
        <v/>
      </c>
      <c r="N74" s="385" t="str">
        <f>IF(EQ('Studies (Monthly) RAW'!K67, ""),"", (IF(('Studies (Monthly) RAW'!K67/$H74)&lt;$C$4, 0, 1)))</f>
        <v/>
      </c>
      <c r="O74" s="385" t="str">
        <f>IF(EQ('Studies (Monthly) RAW'!L67,""),"", (IF(('Studies (Monthly) RAW'!L67/$H74)&lt;$C$4, 0, 1)))</f>
        <v/>
      </c>
      <c r="P74" s="385" t="str">
        <f>IF(EQ('Studies (Monthly) RAW'!M67, ""),"", (IF(('Studies (Monthly) RAW'!M67/$H74)&lt;$C$4, 0, 1)))</f>
        <v/>
      </c>
      <c r="Q74" s="385" t="str">
        <f>IF(EQ('Studies (Monthly) RAW'!N67,""),"", (IF(('Studies (Monthly) RAW'!N67/$H74)&lt;$C$4, 0, 1)))</f>
        <v/>
      </c>
      <c r="R74" s="385" t="str">
        <f>IF(EQ('Studies (Monthly) RAW'!O67, ""),"", (IF(('Studies (Monthly) RAW'!O67/$H74)&lt;$C$4, 0, 1)))</f>
        <v/>
      </c>
      <c r="S74" s="385" t="str">
        <f>IF(EQ('Studies (Monthly) RAW'!P67,""),"", (IF(('Studies (Monthly) RAW'!P67/$H74)&lt;$C$4, 0, 1)))</f>
        <v/>
      </c>
      <c r="T74" s="385" t="str">
        <f>IF(EQ('Studies (Monthly) RAW'!Q67, ""),"", (IF(('Studies (Monthly) RAW'!Q67/$H74)&lt;$C$4, 0, 1)))</f>
        <v/>
      </c>
      <c r="U74" s="385"/>
      <c r="V74" s="385"/>
      <c r="W74" s="385"/>
      <c r="Y74" s="340"/>
      <c r="Z74" s="340"/>
      <c r="AA74" s="340"/>
      <c r="AB74" s="340"/>
      <c r="AC74" s="340"/>
      <c r="AD74" s="340"/>
      <c r="AE74" s="340"/>
      <c r="AF74" s="340"/>
      <c r="AG74" s="340"/>
    </row>
    <row r="75" ht="15.75" customHeight="1">
      <c r="C75" s="379" t="str">
        <f>'Studies (Monthly) RAW'!A68</f>
        <v/>
      </c>
      <c r="D75" s="380" t="str">
        <f>'Studies (Monthly) RAW'!B68</f>
        <v/>
      </c>
      <c r="E75" s="381" t="str">
        <f>'Studies (Monthly) RAW'!C68</f>
        <v/>
      </c>
      <c r="F75" s="381"/>
      <c r="G75" s="381" t="str">
        <f>'Studies (Monthly) RAW'!D68</f>
        <v/>
      </c>
      <c r="H75" s="384" t="str">
        <f>'Studies (Monthly) RAW'!E68</f>
        <v/>
      </c>
      <c r="I75" s="385" t="str">
        <f>IF(EQ('Studies (Monthly) RAW'!F68,""),"", (IF(('Studies (Monthly) RAW'!F68/$H75)&lt;$C$4, 0, 1)))</f>
        <v/>
      </c>
      <c r="J75" s="385" t="str">
        <f>IF(EQ('Studies (Monthly) RAW'!G68, ""),"", (IF(('Studies (Monthly) RAW'!G68/$H75)&lt;$C$4, 0, 1)))</f>
        <v/>
      </c>
      <c r="K75" s="385" t="str">
        <f>IF(EQ('Studies (Monthly) RAW'!H68,""),"", (IF(('Studies (Monthly) RAW'!H68/$H75)&lt;$C$4, 0, 1)))</f>
        <v/>
      </c>
      <c r="L75" s="385" t="str">
        <f>IF(EQ('Studies (Monthly) RAW'!I68, ""),"", (IF(('Studies (Monthly) RAW'!I68/$H75)&lt;$C$4, 0, 1)))</f>
        <v/>
      </c>
      <c r="M75" s="385" t="str">
        <f>IF(EQ('Studies (Monthly) RAW'!J68,""),"", (IF(('Studies (Monthly) RAW'!J68/$H75)&lt;$C$4, 0, 1)))</f>
        <v/>
      </c>
      <c r="N75" s="385" t="str">
        <f>IF(EQ('Studies (Monthly) RAW'!K68, ""),"", (IF(('Studies (Monthly) RAW'!K68/$H75)&lt;$C$4, 0, 1)))</f>
        <v/>
      </c>
      <c r="O75" s="385" t="str">
        <f>IF(EQ('Studies (Monthly) RAW'!L68,""),"", (IF(('Studies (Monthly) RAW'!L68/$H75)&lt;$C$4, 0, 1)))</f>
        <v/>
      </c>
      <c r="P75" s="385" t="str">
        <f>IF(EQ('Studies (Monthly) RAW'!M68, ""),"", (IF(('Studies (Monthly) RAW'!M68/$H75)&lt;$C$4, 0, 1)))</f>
        <v/>
      </c>
      <c r="Q75" s="385" t="str">
        <f>IF(EQ('Studies (Monthly) RAW'!N68,""),"", (IF(('Studies (Monthly) RAW'!N68/$H75)&lt;$C$4, 0, 1)))</f>
        <v/>
      </c>
      <c r="R75" s="385" t="str">
        <f>IF(EQ('Studies (Monthly) RAW'!O68, ""),"", (IF(('Studies (Monthly) RAW'!O68/$H75)&lt;$C$4, 0, 1)))</f>
        <v/>
      </c>
      <c r="S75" s="385" t="str">
        <f>IF(EQ('Studies (Monthly) RAW'!P68,""),"", (IF(('Studies (Monthly) RAW'!P68/$H75)&lt;$C$4, 0, 1)))</f>
        <v/>
      </c>
      <c r="T75" s="385" t="str">
        <f>IF(EQ('Studies (Monthly) RAW'!Q68, ""),"", (IF(('Studies (Monthly) RAW'!Q68/$H75)&lt;$C$4, 0, 1)))</f>
        <v/>
      </c>
      <c r="U75" s="385"/>
      <c r="V75" s="385"/>
      <c r="W75" s="385"/>
      <c r="Y75" s="340"/>
      <c r="Z75" s="340"/>
      <c r="AA75" s="340"/>
      <c r="AB75" s="340"/>
      <c r="AC75" s="340"/>
      <c r="AD75" s="340"/>
      <c r="AE75" s="340"/>
      <c r="AF75" s="340"/>
      <c r="AG75" s="340"/>
    </row>
    <row r="76" ht="15.75" customHeight="1">
      <c r="C76" s="379" t="str">
        <f>'Studies (Monthly) RAW'!A69</f>
        <v/>
      </c>
      <c r="D76" s="380" t="str">
        <f>'Studies (Monthly) RAW'!B69</f>
        <v/>
      </c>
      <c r="E76" s="381" t="str">
        <f>'Studies (Monthly) RAW'!C69</f>
        <v/>
      </c>
      <c r="F76" s="381"/>
      <c r="G76" s="381" t="str">
        <f>'Studies (Monthly) RAW'!D69</f>
        <v/>
      </c>
      <c r="H76" s="384" t="str">
        <f>'Studies (Monthly) RAW'!E69</f>
        <v/>
      </c>
      <c r="I76" s="385" t="str">
        <f>IF(EQ('Studies (Monthly) RAW'!F69,""),"", (IF(('Studies (Monthly) RAW'!F69/$H76)&lt;$C$4, 0, 1)))</f>
        <v/>
      </c>
      <c r="J76" s="385" t="str">
        <f>IF(EQ('Studies (Monthly) RAW'!G69, ""),"", (IF(('Studies (Monthly) RAW'!G69/$H76)&lt;$C$4, 0, 1)))</f>
        <v/>
      </c>
      <c r="K76" s="385" t="str">
        <f>IF(EQ('Studies (Monthly) RAW'!H69,""),"", (IF(('Studies (Monthly) RAW'!H69/$H76)&lt;$C$4, 0, 1)))</f>
        <v/>
      </c>
      <c r="L76" s="385" t="str">
        <f>IF(EQ('Studies (Monthly) RAW'!I69, ""),"", (IF(('Studies (Monthly) RAW'!I69/$H76)&lt;$C$4, 0, 1)))</f>
        <v/>
      </c>
      <c r="M76" s="385" t="str">
        <f>IF(EQ('Studies (Monthly) RAW'!J69,""),"", (IF(('Studies (Monthly) RAW'!J69/$H76)&lt;$C$4, 0, 1)))</f>
        <v/>
      </c>
      <c r="N76" s="385" t="str">
        <f>IF(EQ('Studies (Monthly) RAW'!K69, ""),"", (IF(('Studies (Monthly) RAW'!K69/$H76)&lt;$C$4, 0, 1)))</f>
        <v/>
      </c>
      <c r="O76" s="385" t="str">
        <f>IF(EQ('Studies (Monthly) RAW'!L69,""),"", (IF(('Studies (Monthly) RAW'!L69/$H76)&lt;$C$4, 0, 1)))</f>
        <v/>
      </c>
      <c r="P76" s="385" t="str">
        <f>IF(EQ('Studies (Monthly) RAW'!M69, ""),"", (IF(('Studies (Monthly) RAW'!M69/$H76)&lt;$C$4, 0, 1)))</f>
        <v/>
      </c>
      <c r="Q76" s="385" t="str">
        <f>IF(EQ('Studies (Monthly) RAW'!N69,""),"", (IF(('Studies (Monthly) RAW'!N69/$H76)&lt;$C$4, 0, 1)))</f>
        <v/>
      </c>
      <c r="R76" s="385" t="str">
        <f>IF(EQ('Studies (Monthly) RAW'!O69, ""),"", (IF(('Studies (Monthly) RAW'!O69/$H76)&lt;$C$4, 0, 1)))</f>
        <v/>
      </c>
      <c r="S76" s="385" t="str">
        <f>IF(EQ('Studies (Monthly) RAW'!P69,""),"", (IF(('Studies (Monthly) RAW'!P69/$H76)&lt;$C$4, 0, 1)))</f>
        <v/>
      </c>
      <c r="T76" s="385" t="str">
        <f>IF(EQ('Studies (Monthly) RAW'!Q69, ""),"", (IF(('Studies (Monthly) RAW'!Q69/$H76)&lt;$C$4, 0, 1)))</f>
        <v/>
      </c>
      <c r="U76" s="385"/>
      <c r="V76" s="385"/>
      <c r="W76" s="385"/>
      <c r="Y76" s="340"/>
      <c r="Z76" s="340"/>
      <c r="AA76" s="340"/>
      <c r="AB76" s="340"/>
      <c r="AC76" s="340"/>
      <c r="AD76" s="340"/>
      <c r="AE76" s="340"/>
      <c r="AF76" s="340"/>
      <c r="AG76" s="340"/>
    </row>
    <row r="77" ht="15.75" customHeight="1">
      <c r="C77" s="379" t="str">
        <f>'Studies (Monthly) RAW'!A70</f>
        <v/>
      </c>
      <c r="D77" s="380" t="str">
        <f>'Studies (Monthly) RAW'!B70</f>
        <v/>
      </c>
      <c r="E77" s="381" t="str">
        <f>'Studies (Monthly) RAW'!C70</f>
        <v/>
      </c>
      <c r="F77" s="381"/>
      <c r="G77" s="381" t="str">
        <f>'Studies (Monthly) RAW'!D70</f>
        <v/>
      </c>
      <c r="H77" s="384" t="str">
        <f>'Studies (Monthly) RAW'!E70</f>
        <v/>
      </c>
      <c r="I77" s="385" t="str">
        <f>IF(EQ('Studies (Monthly) RAW'!F70,""),"", (IF(('Studies (Monthly) RAW'!F70/$H77)&lt;$C$4, 0, 1)))</f>
        <v/>
      </c>
      <c r="J77" s="385" t="str">
        <f>IF(EQ('Studies (Monthly) RAW'!G70, ""),"", (IF(('Studies (Monthly) RAW'!G70/$H77)&lt;$C$4, 0, 1)))</f>
        <v/>
      </c>
      <c r="K77" s="385" t="str">
        <f>IF(EQ('Studies (Monthly) RAW'!H70,""),"", (IF(('Studies (Monthly) RAW'!H70/$H77)&lt;$C$4, 0, 1)))</f>
        <v/>
      </c>
      <c r="L77" s="385" t="str">
        <f>IF(EQ('Studies (Monthly) RAW'!I70, ""),"", (IF(('Studies (Monthly) RAW'!I70/$H77)&lt;$C$4, 0, 1)))</f>
        <v/>
      </c>
      <c r="M77" s="385" t="str">
        <f>IF(EQ('Studies (Monthly) RAW'!J70,""),"", (IF(('Studies (Monthly) RAW'!J70/$H77)&lt;$C$4, 0, 1)))</f>
        <v/>
      </c>
      <c r="N77" s="385" t="str">
        <f>IF(EQ('Studies (Monthly) RAW'!K70, ""),"", (IF(('Studies (Monthly) RAW'!K70/$H77)&lt;$C$4, 0, 1)))</f>
        <v/>
      </c>
      <c r="O77" s="385" t="str">
        <f>IF(EQ('Studies (Monthly) RAW'!L70,""),"", (IF(('Studies (Monthly) RAW'!L70/$H77)&lt;$C$4, 0, 1)))</f>
        <v/>
      </c>
      <c r="P77" s="385" t="str">
        <f>IF(EQ('Studies (Monthly) RAW'!M70, ""),"", (IF(('Studies (Monthly) RAW'!M70/$H77)&lt;$C$4, 0, 1)))</f>
        <v/>
      </c>
      <c r="Q77" s="385" t="str">
        <f>IF(EQ('Studies (Monthly) RAW'!N70,""),"", (IF(('Studies (Monthly) RAW'!N70/$H77)&lt;$C$4, 0, 1)))</f>
        <v/>
      </c>
      <c r="R77" s="385" t="str">
        <f>IF(EQ('Studies (Monthly) RAW'!O70, ""),"", (IF(('Studies (Monthly) RAW'!O70/$H77)&lt;$C$4, 0, 1)))</f>
        <v/>
      </c>
      <c r="S77" s="385" t="str">
        <f>IF(EQ('Studies (Monthly) RAW'!P70,""),"", (IF(('Studies (Monthly) RAW'!P70/$H77)&lt;$C$4, 0, 1)))</f>
        <v/>
      </c>
      <c r="T77" s="385" t="str">
        <f>IF(EQ('Studies (Monthly) RAW'!Q70, ""),"", (IF(('Studies (Monthly) RAW'!Q70/$H77)&lt;$C$4, 0, 1)))</f>
        <v/>
      </c>
      <c r="U77" s="385"/>
      <c r="V77" s="385"/>
      <c r="W77" s="385"/>
    </row>
    <row r="78" ht="15.75" customHeight="1">
      <c r="C78" s="379" t="str">
        <f>'Studies (Monthly) RAW'!A71</f>
        <v/>
      </c>
      <c r="D78" s="380" t="str">
        <f>'Studies (Monthly) RAW'!B71</f>
        <v/>
      </c>
      <c r="E78" s="381" t="str">
        <f>'Studies (Monthly) RAW'!C71</f>
        <v/>
      </c>
      <c r="F78" s="381"/>
      <c r="G78" s="381" t="str">
        <f>'Studies (Monthly) RAW'!D71</f>
        <v/>
      </c>
      <c r="H78" s="384" t="str">
        <f>'Studies (Monthly) RAW'!E71</f>
        <v/>
      </c>
      <c r="I78" s="385" t="str">
        <f>IF(EQ('Studies (Monthly) RAW'!F71,""),"", (IF(('Studies (Monthly) RAW'!F71/$H78)&lt;$C$4, 0, 1)))</f>
        <v/>
      </c>
      <c r="J78" s="385" t="str">
        <f>IF(EQ('Studies (Monthly) RAW'!G71, ""),"", (IF(('Studies (Monthly) RAW'!G71/$H78)&lt;$C$4, 0, 1)))</f>
        <v/>
      </c>
      <c r="K78" s="385" t="str">
        <f>IF(EQ('Studies (Monthly) RAW'!H71,""),"", (IF(('Studies (Monthly) RAW'!H71/$H78)&lt;$C$4, 0, 1)))</f>
        <v/>
      </c>
      <c r="L78" s="385" t="str">
        <f>IF(EQ('Studies (Monthly) RAW'!I71, ""),"", (IF(('Studies (Monthly) RAW'!I71/$H78)&lt;$C$4, 0, 1)))</f>
        <v/>
      </c>
      <c r="M78" s="385" t="str">
        <f>IF(EQ('Studies (Monthly) RAW'!J71,""),"", (IF(('Studies (Monthly) RAW'!J71/$H78)&lt;$C$4, 0, 1)))</f>
        <v/>
      </c>
      <c r="N78" s="385" t="str">
        <f>IF(EQ('Studies (Monthly) RAW'!K71, ""),"", (IF(('Studies (Monthly) RAW'!K71/$H78)&lt;$C$4, 0, 1)))</f>
        <v/>
      </c>
      <c r="O78" s="385" t="str">
        <f>IF(EQ('Studies (Monthly) RAW'!L71,""),"", (IF(('Studies (Monthly) RAW'!L71/$H78)&lt;$C$4, 0, 1)))</f>
        <v/>
      </c>
      <c r="P78" s="385" t="str">
        <f>IF(EQ('Studies (Monthly) RAW'!M71, ""),"", (IF(('Studies (Monthly) RAW'!M71/$H78)&lt;$C$4, 0, 1)))</f>
        <v/>
      </c>
      <c r="Q78" s="385" t="str">
        <f>IF(EQ('Studies (Monthly) RAW'!N71,""),"", (IF(('Studies (Monthly) RAW'!N71/$H78)&lt;$C$4, 0, 1)))</f>
        <v/>
      </c>
      <c r="R78" s="385" t="str">
        <f>IF(EQ('Studies (Monthly) RAW'!O71, ""),"", (IF(('Studies (Monthly) RAW'!O71/$H78)&lt;$C$4, 0, 1)))</f>
        <v/>
      </c>
      <c r="S78" s="385" t="str">
        <f>IF(EQ('Studies (Monthly) RAW'!P71,""),"", (IF(('Studies (Monthly) RAW'!P71/$H78)&lt;$C$4, 0, 1)))</f>
        <v/>
      </c>
      <c r="T78" s="385" t="str">
        <f>IF(EQ('Studies (Monthly) RAW'!Q71, ""),"", (IF(('Studies (Monthly) RAW'!Q71/$H78)&lt;$C$4, 0, 1)))</f>
        <v/>
      </c>
      <c r="U78" s="385"/>
      <c r="V78" s="385"/>
      <c r="W78" s="385"/>
    </row>
    <row r="79" ht="15.75" customHeight="1">
      <c r="C79" s="379" t="str">
        <f>'Studies (Monthly) RAW'!A72</f>
        <v/>
      </c>
      <c r="D79" s="380" t="str">
        <f>'Studies (Monthly) RAW'!B72</f>
        <v/>
      </c>
      <c r="E79" s="381" t="str">
        <f>'Studies (Monthly) RAW'!C72</f>
        <v/>
      </c>
      <c r="F79" s="381"/>
      <c r="G79" s="381" t="str">
        <f>'Studies (Monthly) RAW'!D72</f>
        <v/>
      </c>
      <c r="H79" s="384" t="str">
        <f>'Studies (Monthly) RAW'!E72</f>
        <v/>
      </c>
      <c r="I79" s="385" t="str">
        <f>IF(EQ('Studies (Monthly) RAW'!F72,""),"", (IF(('Studies (Monthly) RAW'!F72/$H79)&lt;$C$4, 0, 1)))</f>
        <v/>
      </c>
      <c r="J79" s="385" t="str">
        <f>IF(EQ('Studies (Monthly) RAW'!G72, ""),"", (IF(('Studies (Monthly) RAW'!G72/$H79)&lt;$C$4, 0, 1)))</f>
        <v/>
      </c>
      <c r="K79" s="385" t="str">
        <f>IF(EQ('Studies (Monthly) RAW'!H72,""),"", (IF(('Studies (Monthly) RAW'!H72/$H79)&lt;$C$4, 0, 1)))</f>
        <v/>
      </c>
      <c r="L79" s="385" t="str">
        <f>IF(EQ('Studies (Monthly) RAW'!I72, ""),"", (IF(('Studies (Monthly) RAW'!I72/$H79)&lt;$C$4, 0, 1)))</f>
        <v/>
      </c>
      <c r="M79" s="385" t="str">
        <f>IF(EQ('Studies (Monthly) RAW'!J72,""),"", (IF(('Studies (Monthly) RAW'!J72/$H79)&lt;$C$4, 0, 1)))</f>
        <v/>
      </c>
      <c r="N79" s="385" t="str">
        <f>IF(EQ('Studies (Monthly) RAW'!K72, ""),"", (IF(('Studies (Monthly) RAW'!K72/$H79)&lt;$C$4, 0, 1)))</f>
        <v/>
      </c>
      <c r="O79" s="385" t="str">
        <f>IF(EQ('Studies (Monthly) RAW'!L72,""),"", (IF(('Studies (Monthly) RAW'!L72/$H79)&lt;$C$4, 0, 1)))</f>
        <v/>
      </c>
      <c r="P79" s="385" t="str">
        <f>IF(EQ('Studies (Monthly) RAW'!M72, ""),"", (IF(('Studies (Monthly) RAW'!M72/$H79)&lt;$C$4, 0, 1)))</f>
        <v/>
      </c>
      <c r="Q79" s="385" t="str">
        <f>IF(EQ('Studies (Monthly) RAW'!N72,""),"", (IF(('Studies (Monthly) RAW'!N72/$H79)&lt;$C$4, 0, 1)))</f>
        <v/>
      </c>
      <c r="R79" s="385" t="str">
        <f>IF(EQ('Studies (Monthly) RAW'!O72, ""),"", (IF(('Studies (Monthly) RAW'!O72/$H79)&lt;$C$4, 0, 1)))</f>
        <v/>
      </c>
      <c r="S79" s="385" t="str">
        <f>IF(EQ('Studies (Monthly) RAW'!P72,""),"", (IF(('Studies (Monthly) RAW'!P72/$H79)&lt;$C$4, 0, 1)))</f>
        <v/>
      </c>
      <c r="T79" s="385" t="str">
        <f>IF(EQ('Studies (Monthly) RAW'!Q72, ""),"", (IF(('Studies (Monthly) RAW'!Q72/$H79)&lt;$C$4, 0, 1)))</f>
        <v/>
      </c>
      <c r="U79" s="385"/>
      <c r="V79" s="385"/>
      <c r="W79" s="385"/>
      <c r="Y79" s="340"/>
      <c r="Z79" s="340"/>
      <c r="AA79" s="340"/>
      <c r="AB79" s="340"/>
      <c r="AC79" s="340"/>
      <c r="AD79" s="340"/>
      <c r="AE79" s="340"/>
      <c r="AF79" s="340"/>
      <c r="AG79" s="340"/>
    </row>
    <row r="80" ht="15.75" customHeight="1">
      <c r="C80" s="379" t="str">
        <f>'Studies (Monthly) RAW'!A73</f>
        <v/>
      </c>
      <c r="D80" s="380" t="str">
        <f>'Studies (Monthly) RAW'!B73</f>
        <v/>
      </c>
      <c r="E80" s="381" t="str">
        <f>'Studies (Monthly) RAW'!C73</f>
        <v/>
      </c>
      <c r="F80" s="381"/>
      <c r="G80" s="381" t="str">
        <f>'Studies (Monthly) RAW'!D73</f>
        <v/>
      </c>
      <c r="H80" s="384" t="str">
        <f>'Studies (Monthly) RAW'!E73</f>
        <v/>
      </c>
      <c r="I80" s="385" t="str">
        <f>IF(EQ('Studies (Monthly) RAW'!F73,""),"", (IF(('Studies (Monthly) RAW'!F73/$H80)&lt;$C$4, 0, 1)))</f>
        <v/>
      </c>
      <c r="J80" s="385" t="str">
        <f>IF(EQ('Studies (Monthly) RAW'!G73, ""),"", (IF(('Studies (Monthly) RAW'!G73/$H80)&lt;$C$4, 0, 1)))</f>
        <v/>
      </c>
      <c r="K80" s="385" t="str">
        <f>IF(EQ('Studies (Monthly) RAW'!H73,""),"", (IF(('Studies (Monthly) RAW'!H73/$H80)&lt;$C$4, 0, 1)))</f>
        <v/>
      </c>
      <c r="L80" s="385" t="str">
        <f>IF(EQ('Studies (Monthly) RAW'!I73, ""),"", (IF(('Studies (Monthly) RAW'!I73/$H80)&lt;$C$4, 0, 1)))</f>
        <v/>
      </c>
      <c r="M80" s="385" t="str">
        <f>IF(EQ('Studies (Monthly) RAW'!J73,""),"", (IF(('Studies (Monthly) RAW'!J73/$H80)&lt;$C$4, 0, 1)))</f>
        <v/>
      </c>
      <c r="N80" s="385" t="str">
        <f>IF(EQ('Studies (Monthly) RAW'!K73, ""),"", (IF(('Studies (Monthly) RAW'!K73/$H80)&lt;$C$4, 0, 1)))</f>
        <v/>
      </c>
      <c r="O80" s="385" t="str">
        <f>IF(EQ('Studies (Monthly) RAW'!L73,""),"", (IF(('Studies (Monthly) RAW'!L73/$H80)&lt;$C$4, 0, 1)))</f>
        <v/>
      </c>
      <c r="P80" s="385" t="str">
        <f>IF(EQ('Studies (Monthly) RAW'!M73, ""),"", (IF(('Studies (Monthly) RAW'!M73/$H80)&lt;$C$4, 0, 1)))</f>
        <v/>
      </c>
      <c r="Q80" s="385" t="str">
        <f>IF(EQ('Studies (Monthly) RAW'!N73,""),"", (IF(('Studies (Monthly) RAW'!N73/$H80)&lt;$C$4, 0, 1)))</f>
        <v/>
      </c>
      <c r="R80" s="385" t="str">
        <f>IF(EQ('Studies (Monthly) RAW'!O73, ""),"", (IF(('Studies (Monthly) RAW'!O73/$H80)&lt;$C$4, 0, 1)))</f>
        <v/>
      </c>
      <c r="S80" s="385" t="str">
        <f>IF(EQ('Studies (Monthly) RAW'!P73,""),"", (IF(('Studies (Monthly) RAW'!P73/$H80)&lt;$C$4, 0, 1)))</f>
        <v/>
      </c>
      <c r="T80" s="385" t="str">
        <f>IF(EQ('Studies (Monthly) RAW'!Q73, ""),"", (IF(('Studies (Monthly) RAW'!Q73/$H80)&lt;$C$4, 0, 1)))</f>
        <v/>
      </c>
      <c r="U80" s="385"/>
      <c r="V80" s="385"/>
      <c r="W80" s="385"/>
      <c r="Y80" s="340"/>
      <c r="Z80" s="340"/>
      <c r="AA80" s="340"/>
      <c r="AB80" s="340"/>
      <c r="AC80" s="340"/>
      <c r="AD80" s="340"/>
      <c r="AE80" s="340"/>
      <c r="AF80" s="340"/>
      <c r="AG80" s="340"/>
    </row>
    <row r="81" ht="15.75" customHeight="1">
      <c r="C81" s="379" t="str">
        <f>'Studies (Monthly) RAW'!A74</f>
        <v/>
      </c>
      <c r="D81" s="380" t="str">
        <f>'Studies (Monthly) RAW'!B74</f>
        <v/>
      </c>
      <c r="E81" s="381" t="str">
        <f>'Studies (Monthly) RAW'!C74</f>
        <v/>
      </c>
      <c r="F81" s="381"/>
      <c r="G81" s="381" t="str">
        <f>'Studies (Monthly) RAW'!D74</f>
        <v/>
      </c>
      <c r="H81" s="384" t="str">
        <f>'Studies (Monthly) RAW'!E74</f>
        <v/>
      </c>
      <c r="I81" s="385" t="str">
        <f>IF(EQ('Studies (Monthly) RAW'!F74,""),"", (IF(('Studies (Monthly) RAW'!F74/$H81)&lt;$C$4, 0, 1)))</f>
        <v/>
      </c>
      <c r="J81" s="385" t="str">
        <f>IF(EQ('Studies (Monthly) RAW'!G74, ""),"", (IF(('Studies (Monthly) RAW'!G74/$H81)&lt;$C$4, 0, 1)))</f>
        <v/>
      </c>
      <c r="K81" s="385" t="str">
        <f>IF(EQ('Studies (Monthly) RAW'!H74,""),"", (IF(('Studies (Monthly) RAW'!H74/$H81)&lt;$C$4, 0, 1)))</f>
        <v/>
      </c>
      <c r="L81" s="385" t="str">
        <f>IF(EQ('Studies (Monthly) RAW'!I74, ""),"", (IF(('Studies (Monthly) RAW'!I74/$H81)&lt;$C$4, 0, 1)))</f>
        <v/>
      </c>
      <c r="M81" s="385" t="str">
        <f>IF(EQ('Studies (Monthly) RAW'!J74,""),"", (IF(('Studies (Monthly) RAW'!J74/$H81)&lt;$C$4, 0, 1)))</f>
        <v/>
      </c>
      <c r="N81" s="385" t="str">
        <f>IF(EQ('Studies (Monthly) RAW'!K74, ""),"", (IF(('Studies (Monthly) RAW'!K74/$H81)&lt;$C$4, 0, 1)))</f>
        <v/>
      </c>
      <c r="O81" s="385" t="str">
        <f>IF(EQ('Studies (Monthly) RAW'!L74,""),"", (IF(('Studies (Monthly) RAW'!L74/$H81)&lt;$C$4, 0, 1)))</f>
        <v/>
      </c>
      <c r="P81" s="385" t="str">
        <f>IF(EQ('Studies (Monthly) RAW'!M74, ""),"", (IF(('Studies (Monthly) RAW'!M74/$H81)&lt;$C$4, 0, 1)))</f>
        <v/>
      </c>
      <c r="Q81" s="385" t="str">
        <f>IF(EQ('Studies (Monthly) RAW'!N74,""),"", (IF(('Studies (Monthly) RAW'!N74/$H81)&lt;$C$4, 0, 1)))</f>
        <v/>
      </c>
      <c r="R81" s="385" t="str">
        <f>IF(EQ('Studies (Monthly) RAW'!O74, ""),"", (IF(('Studies (Monthly) RAW'!O74/$H81)&lt;$C$4, 0, 1)))</f>
        <v/>
      </c>
      <c r="S81" s="385" t="str">
        <f>IF(EQ('Studies (Monthly) RAW'!P74,""),"", (IF(('Studies (Monthly) RAW'!P74/$H81)&lt;$C$4, 0, 1)))</f>
        <v/>
      </c>
      <c r="T81" s="385" t="str">
        <f>IF(EQ('Studies (Monthly) RAW'!Q74, ""),"", (IF(('Studies (Monthly) RAW'!Q74/$H81)&lt;$C$4, 0, 1)))</f>
        <v/>
      </c>
      <c r="U81" s="385"/>
      <c r="V81" s="385"/>
      <c r="W81" s="385"/>
      <c r="Y81" s="340"/>
      <c r="Z81" s="340"/>
      <c r="AA81" s="340"/>
      <c r="AB81" s="340"/>
      <c r="AC81" s="340"/>
      <c r="AD81" s="340"/>
      <c r="AE81" s="340"/>
      <c r="AF81" s="340"/>
      <c r="AG81" s="340"/>
    </row>
    <row r="82" ht="15.75" customHeight="1">
      <c r="C82" s="379" t="str">
        <f>'Studies (Monthly) RAW'!A75</f>
        <v/>
      </c>
      <c r="D82" s="380" t="str">
        <f>'Studies (Monthly) RAW'!B75</f>
        <v/>
      </c>
      <c r="E82" s="381" t="str">
        <f>'Studies (Monthly) RAW'!C75</f>
        <v/>
      </c>
      <c r="F82" s="381"/>
      <c r="G82" s="381" t="str">
        <f>'Studies (Monthly) RAW'!D75</f>
        <v/>
      </c>
      <c r="H82" s="384" t="str">
        <f>'Studies (Monthly) RAW'!E75</f>
        <v/>
      </c>
      <c r="I82" s="385" t="str">
        <f>IF(EQ('Studies (Monthly) RAW'!F75,""),"", (IF(('Studies (Monthly) RAW'!F75/$H82)&lt;$C$4, 0, 1)))</f>
        <v/>
      </c>
      <c r="J82" s="385" t="str">
        <f>IF(EQ('Studies (Monthly) RAW'!G75, ""),"", (IF(('Studies (Monthly) RAW'!G75/$H82)&lt;$C$4, 0, 1)))</f>
        <v/>
      </c>
      <c r="K82" s="385" t="str">
        <f>IF(EQ('Studies (Monthly) RAW'!H75,""),"", (IF(('Studies (Monthly) RAW'!H75/$H82)&lt;$C$4, 0, 1)))</f>
        <v/>
      </c>
      <c r="L82" s="385" t="str">
        <f>IF(EQ('Studies (Monthly) RAW'!I75, ""),"", (IF(('Studies (Monthly) RAW'!I75/$H82)&lt;$C$4, 0, 1)))</f>
        <v/>
      </c>
      <c r="M82" s="385" t="str">
        <f>IF(EQ('Studies (Monthly) RAW'!J75,""),"", (IF(('Studies (Monthly) RAW'!J75/$H82)&lt;$C$4, 0, 1)))</f>
        <v/>
      </c>
      <c r="N82" s="385" t="str">
        <f>IF(EQ('Studies (Monthly) RAW'!K75, ""),"", (IF(('Studies (Monthly) RAW'!K75/$H82)&lt;$C$4, 0, 1)))</f>
        <v/>
      </c>
      <c r="O82" s="385" t="str">
        <f>IF(EQ('Studies (Monthly) RAW'!L75,""),"", (IF(('Studies (Monthly) RAW'!L75/$H82)&lt;$C$4, 0, 1)))</f>
        <v/>
      </c>
      <c r="P82" s="385" t="str">
        <f>IF(EQ('Studies (Monthly) RAW'!M75, ""),"", (IF(('Studies (Monthly) RAW'!M75/$H82)&lt;$C$4, 0, 1)))</f>
        <v/>
      </c>
      <c r="Q82" s="385" t="str">
        <f>IF(EQ('Studies (Monthly) RAW'!N75,""),"", (IF(('Studies (Monthly) RAW'!N75/$H82)&lt;$C$4, 0, 1)))</f>
        <v/>
      </c>
      <c r="R82" s="385" t="str">
        <f>IF(EQ('Studies (Monthly) RAW'!O75, ""),"", (IF(('Studies (Monthly) RAW'!O75/$H82)&lt;$C$4, 0, 1)))</f>
        <v/>
      </c>
      <c r="S82" s="385" t="str">
        <f>IF(EQ('Studies (Monthly) RAW'!P75,""),"", (IF(('Studies (Monthly) RAW'!P75/$H82)&lt;$C$4, 0, 1)))</f>
        <v/>
      </c>
      <c r="T82" s="385" t="str">
        <f>IF(EQ('Studies (Monthly) RAW'!Q75, ""),"", (IF(('Studies (Monthly) RAW'!Q75/$H82)&lt;$C$4, 0, 1)))</f>
        <v/>
      </c>
      <c r="U82" s="385"/>
      <c r="V82" s="385"/>
      <c r="W82" s="385"/>
      <c r="Y82" s="340"/>
      <c r="Z82" s="340"/>
      <c r="AA82" s="340"/>
      <c r="AB82" s="340"/>
      <c r="AC82" s="340"/>
      <c r="AD82" s="340"/>
      <c r="AE82" s="340"/>
      <c r="AF82" s="340"/>
      <c r="AG82" s="340"/>
    </row>
    <row r="83" ht="15.75" customHeight="1">
      <c r="C83" s="379" t="str">
        <f>'Studies (Monthly) RAW'!A76</f>
        <v/>
      </c>
      <c r="D83" s="380" t="str">
        <f>'Studies (Monthly) RAW'!B76</f>
        <v/>
      </c>
      <c r="E83" s="381" t="str">
        <f>'Studies (Monthly) RAW'!C76</f>
        <v/>
      </c>
      <c r="F83" s="381"/>
      <c r="G83" s="381" t="str">
        <f>'Studies (Monthly) RAW'!D76</f>
        <v/>
      </c>
      <c r="H83" s="384" t="str">
        <f>'Studies (Monthly) RAW'!E76</f>
        <v/>
      </c>
      <c r="I83" s="385" t="str">
        <f>IF(EQ('Studies (Monthly) RAW'!F76,""),"", (IF(('Studies (Monthly) RAW'!F76/$H83)&lt;$C$4, 0, 1)))</f>
        <v/>
      </c>
      <c r="J83" s="385" t="str">
        <f>IF(EQ('Studies (Monthly) RAW'!G76, ""),"", (IF(('Studies (Monthly) RAW'!G76/$H83)&lt;$C$4, 0, 1)))</f>
        <v/>
      </c>
      <c r="K83" s="385" t="str">
        <f>IF(EQ('Studies (Monthly) RAW'!H76,""),"", (IF(('Studies (Monthly) RAW'!H76/$H83)&lt;$C$4, 0, 1)))</f>
        <v/>
      </c>
      <c r="L83" s="385" t="str">
        <f>IF(EQ('Studies (Monthly) RAW'!I76, ""),"", (IF(('Studies (Monthly) RAW'!I76/$H83)&lt;$C$4, 0, 1)))</f>
        <v/>
      </c>
      <c r="M83" s="385" t="str">
        <f>IF(EQ('Studies (Monthly) RAW'!J76,""),"", (IF(('Studies (Monthly) RAW'!J76/$H83)&lt;$C$4, 0, 1)))</f>
        <v/>
      </c>
      <c r="N83" s="385" t="str">
        <f>IF(EQ('Studies (Monthly) RAW'!K76, ""),"", (IF(('Studies (Monthly) RAW'!K76/$H83)&lt;$C$4, 0, 1)))</f>
        <v/>
      </c>
      <c r="O83" s="385" t="str">
        <f>IF(EQ('Studies (Monthly) RAW'!L76,""),"", (IF(('Studies (Monthly) RAW'!L76/$H83)&lt;$C$4, 0, 1)))</f>
        <v/>
      </c>
      <c r="P83" s="385" t="str">
        <f>IF(EQ('Studies (Monthly) RAW'!M76, ""),"", (IF(('Studies (Monthly) RAW'!M76/$H83)&lt;$C$4, 0, 1)))</f>
        <v/>
      </c>
      <c r="Q83" s="385" t="str">
        <f>IF(EQ('Studies (Monthly) RAW'!N76,""),"", (IF(('Studies (Monthly) RAW'!N76/$H83)&lt;$C$4, 0, 1)))</f>
        <v/>
      </c>
      <c r="R83" s="385" t="str">
        <f>IF(EQ('Studies (Monthly) RAW'!O76, ""),"", (IF(('Studies (Monthly) RAW'!O76/$H83)&lt;$C$4, 0, 1)))</f>
        <v/>
      </c>
      <c r="S83" s="385" t="str">
        <f>IF(EQ('Studies (Monthly) RAW'!P76,""),"", (IF(('Studies (Monthly) RAW'!P76/$H83)&lt;$C$4, 0, 1)))</f>
        <v/>
      </c>
      <c r="T83" s="385" t="str">
        <f>IF(EQ('Studies (Monthly) RAW'!Q76, ""),"", (IF(('Studies (Monthly) RAW'!Q76/$H83)&lt;$C$4, 0, 1)))</f>
        <v/>
      </c>
      <c r="U83" s="385"/>
      <c r="V83" s="385"/>
      <c r="W83" s="385"/>
      <c r="Y83" s="340"/>
      <c r="Z83" s="340"/>
      <c r="AA83" s="340"/>
      <c r="AB83" s="340"/>
      <c r="AC83" s="340"/>
      <c r="AD83" s="340"/>
      <c r="AE83" s="340"/>
      <c r="AF83" s="340"/>
      <c r="AG83" s="340"/>
    </row>
    <row r="84" ht="15.75" customHeight="1">
      <c r="C84" s="379" t="str">
        <f>'Studies (Monthly) RAW'!A77</f>
        <v/>
      </c>
      <c r="D84" s="380" t="str">
        <f>'Studies (Monthly) RAW'!B77</f>
        <v/>
      </c>
      <c r="E84" s="381" t="str">
        <f>'Studies (Monthly) RAW'!C77</f>
        <v/>
      </c>
      <c r="F84" s="381"/>
      <c r="G84" s="381" t="str">
        <f>'Studies (Monthly) RAW'!D77</f>
        <v/>
      </c>
      <c r="H84" s="384" t="str">
        <f>'Studies (Monthly) RAW'!E77</f>
        <v/>
      </c>
      <c r="I84" s="385" t="str">
        <f>IF(EQ('Studies (Monthly) RAW'!F77,""),"", (IF(('Studies (Monthly) RAW'!F77/$H84)&lt;$C$4, 0, 1)))</f>
        <v/>
      </c>
      <c r="J84" s="385" t="str">
        <f>IF(EQ('Studies (Monthly) RAW'!G77, ""),"", (IF(('Studies (Monthly) RAW'!G77/$H84)&lt;$C$4, 0, 1)))</f>
        <v/>
      </c>
      <c r="K84" s="385" t="str">
        <f>IF(EQ('Studies (Monthly) RAW'!H77,""),"", (IF(('Studies (Monthly) RAW'!H77/$H84)&lt;$C$4, 0, 1)))</f>
        <v/>
      </c>
      <c r="L84" s="385" t="str">
        <f>IF(EQ('Studies (Monthly) RAW'!I77, ""),"", (IF(('Studies (Monthly) RAW'!I77/$H84)&lt;$C$4, 0, 1)))</f>
        <v/>
      </c>
      <c r="M84" s="385" t="str">
        <f>IF(EQ('Studies (Monthly) RAW'!J77,""),"", (IF(('Studies (Monthly) RAW'!J77/$H84)&lt;$C$4, 0, 1)))</f>
        <v/>
      </c>
      <c r="N84" s="385" t="str">
        <f>IF(EQ('Studies (Monthly) RAW'!K77, ""),"", (IF(('Studies (Monthly) RAW'!K77/$H84)&lt;$C$4, 0, 1)))</f>
        <v/>
      </c>
      <c r="O84" s="385" t="str">
        <f>IF(EQ('Studies (Monthly) RAW'!L77,""),"", (IF(('Studies (Monthly) RAW'!L77/$H84)&lt;$C$4, 0, 1)))</f>
        <v/>
      </c>
      <c r="P84" s="385" t="str">
        <f>IF(EQ('Studies (Monthly) RAW'!M77, ""),"", (IF(('Studies (Monthly) RAW'!M77/$H84)&lt;$C$4, 0, 1)))</f>
        <v/>
      </c>
      <c r="Q84" s="385" t="str">
        <f>IF(EQ('Studies (Monthly) RAW'!N77,""),"", (IF(('Studies (Monthly) RAW'!N77/$H84)&lt;$C$4, 0, 1)))</f>
        <v/>
      </c>
      <c r="R84" s="385" t="str">
        <f>IF(EQ('Studies (Monthly) RAW'!O77, ""),"", (IF(('Studies (Monthly) RAW'!O77/$H84)&lt;$C$4, 0, 1)))</f>
        <v/>
      </c>
      <c r="S84" s="385" t="str">
        <f>IF(EQ('Studies (Monthly) RAW'!P77,""),"", (IF(('Studies (Monthly) RAW'!P77/$H84)&lt;$C$4, 0, 1)))</f>
        <v/>
      </c>
      <c r="T84" s="385" t="str">
        <f>IF(EQ('Studies (Monthly) RAW'!Q77, ""),"", (IF(('Studies (Monthly) RAW'!Q77/$H84)&lt;$C$4, 0, 1)))</f>
        <v/>
      </c>
      <c r="U84" s="385"/>
      <c r="V84" s="385"/>
      <c r="W84" s="385"/>
      <c r="Y84" s="340"/>
      <c r="Z84" s="340"/>
      <c r="AA84" s="340"/>
      <c r="AB84" s="340"/>
      <c r="AC84" s="340"/>
      <c r="AD84" s="340"/>
      <c r="AE84" s="340"/>
      <c r="AF84" s="340"/>
      <c r="AG84" s="340"/>
    </row>
    <row r="85" ht="15.75" customHeight="1">
      <c r="C85" s="379" t="str">
        <f>'Studies (Monthly) RAW'!A78</f>
        <v/>
      </c>
      <c r="D85" s="380" t="str">
        <f>'Studies (Monthly) RAW'!B78</f>
        <v/>
      </c>
      <c r="E85" s="381" t="str">
        <f>'Studies (Monthly) RAW'!C78</f>
        <v/>
      </c>
      <c r="F85" s="381"/>
      <c r="G85" s="381" t="str">
        <f>'Studies (Monthly) RAW'!D78</f>
        <v/>
      </c>
      <c r="H85" s="384" t="str">
        <f>'Studies (Monthly) RAW'!E78</f>
        <v/>
      </c>
      <c r="I85" s="385" t="str">
        <f>IF(EQ('Studies (Monthly) RAW'!F78,""),"", (IF(('Studies (Monthly) RAW'!F78/$H85)&lt;$C$4, 0, 1)))</f>
        <v/>
      </c>
      <c r="J85" s="385" t="str">
        <f>IF(EQ('Studies (Monthly) RAW'!G78, ""),"", (IF(('Studies (Monthly) RAW'!G78/$H85)&lt;$C$4, 0, 1)))</f>
        <v/>
      </c>
      <c r="K85" s="385" t="str">
        <f>IF(EQ('Studies (Monthly) RAW'!H78,""),"", (IF(('Studies (Monthly) RAW'!H78/$H85)&lt;$C$4, 0, 1)))</f>
        <v/>
      </c>
      <c r="L85" s="385" t="str">
        <f>IF(EQ('Studies (Monthly) RAW'!I78, ""),"", (IF(('Studies (Monthly) RAW'!I78/$H85)&lt;$C$4, 0, 1)))</f>
        <v/>
      </c>
      <c r="M85" s="385" t="str">
        <f>IF(EQ('Studies (Monthly) RAW'!J78,""),"", (IF(('Studies (Monthly) RAW'!J78/$H85)&lt;$C$4, 0, 1)))</f>
        <v/>
      </c>
      <c r="N85" s="385" t="str">
        <f>IF(EQ('Studies (Monthly) RAW'!K78, ""),"", (IF(('Studies (Monthly) RAW'!K78/$H85)&lt;$C$4, 0, 1)))</f>
        <v/>
      </c>
      <c r="O85" s="385" t="str">
        <f>IF(EQ('Studies (Monthly) RAW'!L78,""),"", (IF(('Studies (Monthly) RAW'!L78/$H85)&lt;$C$4, 0, 1)))</f>
        <v/>
      </c>
      <c r="P85" s="385" t="str">
        <f>IF(EQ('Studies (Monthly) RAW'!M78, ""),"", (IF(('Studies (Monthly) RAW'!M78/$H85)&lt;$C$4, 0, 1)))</f>
        <v/>
      </c>
      <c r="Q85" s="385" t="str">
        <f>IF(EQ('Studies (Monthly) RAW'!N78,""),"", (IF(('Studies (Monthly) RAW'!N78/$H85)&lt;$C$4, 0, 1)))</f>
        <v/>
      </c>
      <c r="R85" s="385" t="str">
        <f>IF(EQ('Studies (Monthly) RAW'!O78, ""),"", (IF(('Studies (Monthly) RAW'!O78/$H85)&lt;$C$4, 0, 1)))</f>
        <v/>
      </c>
      <c r="S85" s="385" t="str">
        <f>IF(EQ('Studies (Monthly) RAW'!P78,""),"", (IF(('Studies (Monthly) RAW'!P78/$H85)&lt;$C$4, 0, 1)))</f>
        <v/>
      </c>
      <c r="T85" s="385" t="str">
        <f>IF(EQ('Studies (Monthly) RAW'!Q78, ""),"", (IF(('Studies (Monthly) RAW'!Q78/$H85)&lt;$C$4, 0, 1)))</f>
        <v/>
      </c>
      <c r="U85" s="385"/>
      <c r="V85" s="385"/>
      <c r="W85" s="385"/>
      <c r="Y85" s="340"/>
      <c r="Z85" s="340"/>
      <c r="AA85" s="340"/>
      <c r="AB85" s="340"/>
      <c r="AC85" s="340"/>
      <c r="AD85" s="340"/>
      <c r="AE85" s="340"/>
      <c r="AF85" s="340"/>
      <c r="AG85" s="340"/>
    </row>
    <row r="86" ht="15.75" customHeight="1">
      <c r="C86" s="379" t="str">
        <f>'Studies (Monthly) RAW'!A79</f>
        <v/>
      </c>
      <c r="D86" s="380" t="str">
        <f>'Studies (Monthly) RAW'!B79</f>
        <v/>
      </c>
      <c r="E86" s="381" t="str">
        <f>'Studies (Monthly) RAW'!C79</f>
        <v/>
      </c>
      <c r="F86" s="381"/>
      <c r="G86" s="381" t="str">
        <f>'Studies (Monthly) RAW'!D79</f>
        <v/>
      </c>
      <c r="H86" s="384" t="str">
        <f>'Studies (Monthly) RAW'!E79</f>
        <v/>
      </c>
      <c r="I86" s="385" t="str">
        <f>IF(EQ('Studies (Monthly) RAW'!F79,""),"", (IF(('Studies (Monthly) RAW'!F79/$H86)&lt;$C$4, 0, 1)))</f>
        <v/>
      </c>
      <c r="J86" s="385" t="str">
        <f>IF(EQ('Studies (Monthly) RAW'!G79, ""),"", (IF(('Studies (Monthly) RAW'!G79/$H86)&lt;$C$4, 0, 1)))</f>
        <v/>
      </c>
      <c r="K86" s="385" t="str">
        <f>IF(EQ('Studies (Monthly) RAW'!H79,""),"", (IF(('Studies (Monthly) RAW'!H79/$H86)&lt;$C$4, 0, 1)))</f>
        <v/>
      </c>
      <c r="L86" s="385" t="str">
        <f>IF(EQ('Studies (Monthly) RAW'!I79, ""),"", (IF(('Studies (Monthly) RAW'!I79/$H86)&lt;$C$4, 0, 1)))</f>
        <v/>
      </c>
      <c r="M86" s="385" t="str">
        <f>IF(EQ('Studies (Monthly) RAW'!J79,""),"", (IF(('Studies (Monthly) RAW'!J79/$H86)&lt;$C$4, 0, 1)))</f>
        <v/>
      </c>
      <c r="N86" s="385" t="str">
        <f>IF(EQ('Studies (Monthly) RAW'!K79, ""),"", (IF(('Studies (Monthly) RAW'!K79/$H86)&lt;$C$4, 0, 1)))</f>
        <v/>
      </c>
      <c r="O86" s="385" t="str">
        <f>IF(EQ('Studies (Monthly) RAW'!L79,""),"", (IF(('Studies (Monthly) RAW'!L79/$H86)&lt;$C$4, 0, 1)))</f>
        <v/>
      </c>
      <c r="P86" s="385" t="str">
        <f>IF(EQ('Studies (Monthly) RAW'!M79, ""),"", (IF(('Studies (Monthly) RAW'!M79/$H86)&lt;$C$4, 0, 1)))</f>
        <v/>
      </c>
      <c r="Q86" s="385" t="str">
        <f>IF(EQ('Studies (Monthly) RAW'!N79,""),"", (IF(('Studies (Monthly) RAW'!N79/$H86)&lt;$C$4, 0, 1)))</f>
        <v/>
      </c>
      <c r="R86" s="385" t="str">
        <f>IF(EQ('Studies (Monthly) RAW'!O79, ""),"", (IF(('Studies (Monthly) RAW'!O79/$H86)&lt;$C$4, 0, 1)))</f>
        <v/>
      </c>
      <c r="S86" s="385" t="str">
        <f>IF(EQ('Studies (Monthly) RAW'!P79,""),"", (IF(('Studies (Monthly) RAW'!P79/$H86)&lt;$C$4, 0, 1)))</f>
        <v/>
      </c>
      <c r="T86" s="385" t="str">
        <f>IF(EQ('Studies (Monthly) RAW'!Q79, ""),"", (IF(('Studies (Monthly) RAW'!Q79/$H86)&lt;$C$4, 0, 1)))</f>
        <v/>
      </c>
      <c r="U86" s="385"/>
      <c r="V86" s="385"/>
      <c r="W86" s="385"/>
      <c r="Y86" s="340"/>
      <c r="Z86" s="340"/>
      <c r="AA86" s="340"/>
      <c r="AB86" s="340"/>
      <c r="AC86" s="340"/>
      <c r="AD86" s="340"/>
      <c r="AE86" s="340"/>
      <c r="AF86" s="340"/>
      <c r="AG86" s="340"/>
    </row>
    <row r="87" ht="15.75" customHeight="1">
      <c r="C87" s="379" t="str">
        <f>'Studies (Monthly) RAW'!A80</f>
        <v/>
      </c>
      <c r="D87" s="380" t="str">
        <f>'Studies (Monthly) RAW'!B80</f>
        <v/>
      </c>
      <c r="E87" s="381" t="str">
        <f>'Studies (Monthly) RAW'!C80</f>
        <v/>
      </c>
      <c r="F87" s="381"/>
      <c r="G87" s="381" t="str">
        <f>'Studies (Monthly) RAW'!D80</f>
        <v/>
      </c>
      <c r="H87" s="384" t="str">
        <f>'Studies (Monthly) RAW'!E80</f>
        <v/>
      </c>
      <c r="I87" s="385" t="str">
        <f>IF(EQ('Studies (Monthly) RAW'!F80,""),"", (IF(('Studies (Monthly) RAW'!F80/$H87)&lt;$C$4, 0, 1)))</f>
        <v/>
      </c>
      <c r="J87" s="385" t="str">
        <f>IF(EQ('Studies (Monthly) RAW'!G80, ""),"", (IF(('Studies (Monthly) RAW'!G80/$H87)&lt;$C$4, 0, 1)))</f>
        <v/>
      </c>
      <c r="K87" s="385" t="str">
        <f>IF(EQ('Studies (Monthly) RAW'!H80,""),"", (IF(('Studies (Monthly) RAW'!H80/$H87)&lt;$C$4, 0, 1)))</f>
        <v/>
      </c>
      <c r="L87" s="385" t="str">
        <f>IF(EQ('Studies (Monthly) RAW'!I80, ""),"", (IF(('Studies (Monthly) RAW'!I80/$H87)&lt;$C$4, 0, 1)))</f>
        <v/>
      </c>
      <c r="M87" s="385" t="str">
        <f>IF(EQ('Studies (Monthly) RAW'!J80,""),"", (IF(('Studies (Monthly) RAW'!J80/$H87)&lt;$C$4, 0, 1)))</f>
        <v/>
      </c>
      <c r="N87" s="385" t="str">
        <f>IF(EQ('Studies (Monthly) RAW'!K80, ""),"", (IF(('Studies (Monthly) RAW'!K80/$H87)&lt;$C$4, 0, 1)))</f>
        <v/>
      </c>
      <c r="O87" s="385" t="str">
        <f>IF(EQ('Studies (Monthly) RAW'!L80,""),"", (IF(('Studies (Monthly) RAW'!L80/$H87)&lt;$C$4, 0, 1)))</f>
        <v/>
      </c>
      <c r="P87" s="385" t="str">
        <f>IF(EQ('Studies (Monthly) RAW'!M80, ""),"", (IF(('Studies (Monthly) RAW'!M80/$H87)&lt;$C$4, 0, 1)))</f>
        <v/>
      </c>
      <c r="Q87" s="385" t="str">
        <f>IF(EQ('Studies (Monthly) RAW'!N80,""),"", (IF(('Studies (Monthly) RAW'!N80/$H87)&lt;$C$4, 0, 1)))</f>
        <v/>
      </c>
      <c r="R87" s="385" t="str">
        <f>IF(EQ('Studies (Monthly) RAW'!O80, ""),"", (IF(('Studies (Monthly) RAW'!O80/$H87)&lt;$C$4, 0, 1)))</f>
        <v/>
      </c>
      <c r="S87" s="385" t="str">
        <f>IF(EQ('Studies (Monthly) RAW'!P80,""),"", (IF(('Studies (Monthly) RAW'!P80/$H87)&lt;$C$4, 0, 1)))</f>
        <v/>
      </c>
      <c r="T87" s="385" t="str">
        <f>IF(EQ('Studies (Monthly) RAW'!Q80, ""),"", (IF(('Studies (Monthly) RAW'!Q80/$H87)&lt;$C$4, 0, 1)))</f>
        <v/>
      </c>
      <c r="U87" s="385"/>
      <c r="V87" s="385"/>
      <c r="W87" s="385"/>
      <c r="Y87" s="340"/>
      <c r="Z87" s="340"/>
      <c r="AA87" s="340"/>
      <c r="AB87" s="340"/>
      <c r="AC87" s="340"/>
      <c r="AD87" s="340"/>
      <c r="AE87" s="340"/>
      <c r="AF87" s="340"/>
      <c r="AG87" s="340"/>
    </row>
    <row r="88" ht="15.75" customHeight="1">
      <c r="C88" s="379" t="str">
        <f>'Studies (Monthly) RAW'!A81</f>
        <v/>
      </c>
      <c r="D88" s="380" t="str">
        <f>'Studies (Monthly) RAW'!B81</f>
        <v/>
      </c>
      <c r="E88" s="381" t="str">
        <f>'Studies (Monthly) RAW'!C81</f>
        <v/>
      </c>
      <c r="F88" s="381"/>
      <c r="G88" s="381" t="str">
        <f>'Studies (Monthly) RAW'!D81</f>
        <v/>
      </c>
      <c r="H88" s="384" t="str">
        <f>'Studies (Monthly) RAW'!E81</f>
        <v/>
      </c>
      <c r="I88" s="385" t="str">
        <f>IF(EQ('Studies (Monthly) RAW'!F81,""),"", (IF(('Studies (Monthly) RAW'!F81/$H88)&lt;$C$4, 0, 1)))</f>
        <v/>
      </c>
      <c r="J88" s="385" t="str">
        <f>IF(EQ('Studies (Monthly) RAW'!G81, ""),"", (IF(('Studies (Monthly) RAW'!G81/$H88)&lt;$C$4, 0, 1)))</f>
        <v/>
      </c>
      <c r="K88" s="385" t="str">
        <f>IF(EQ('Studies (Monthly) RAW'!H81,""),"", (IF(('Studies (Monthly) RAW'!H81/$H88)&lt;$C$4, 0, 1)))</f>
        <v/>
      </c>
      <c r="L88" s="385" t="str">
        <f>IF(EQ('Studies (Monthly) RAW'!I81, ""),"", (IF(('Studies (Monthly) RAW'!I81/$H88)&lt;$C$4, 0, 1)))</f>
        <v/>
      </c>
      <c r="M88" s="385" t="str">
        <f>IF(EQ('Studies (Monthly) RAW'!J81,""),"", (IF(('Studies (Monthly) RAW'!J81/$H88)&lt;$C$4, 0, 1)))</f>
        <v/>
      </c>
      <c r="N88" s="385" t="str">
        <f>IF(EQ('Studies (Monthly) RAW'!K81, ""),"", (IF(('Studies (Monthly) RAW'!K81/$H88)&lt;$C$4, 0, 1)))</f>
        <v/>
      </c>
      <c r="O88" s="385" t="str">
        <f>IF(EQ('Studies (Monthly) RAW'!L81,""),"", (IF(('Studies (Monthly) RAW'!L81/$H88)&lt;$C$4, 0, 1)))</f>
        <v/>
      </c>
      <c r="P88" s="385" t="str">
        <f>IF(EQ('Studies (Monthly) RAW'!M81, ""),"", (IF(('Studies (Monthly) RAW'!M81/$H88)&lt;$C$4, 0, 1)))</f>
        <v/>
      </c>
      <c r="Q88" s="385" t="str">
        <f>IF(EQ('Studies (Monthly) RAW'!N81,""),"", (IF(('Studies (Monthly) RAW'!N81/$H88)&lt;$C$4, 0, 1)))</f>
        <v/>
      </c>
      <c r="R88" s="385" t="str">
        <f>IF(EQ('Studies (Monthly) RAW'!O81, ""),"", (IF(('Studies (Monthly) RAW'!O81/$H88)&lt;$C$4, 0, 1)))</f>
        <v/>
      </c>
      <c r="S88" s="385" t="str">
        <f>IF(EQ('Studies (Monthly) RAW'!P81,""),"", (IF(('Studies (Monthly) RAW'!P81/$H88)&lt;$C$4, 0, 1)))</f>
        <v/>
      </c>
      <c r="T88" s="385" t="str">
        <f>IF(EQ('Studies (Monthly) RAW'!Q81, ""),"", (IF(('Studies (Monthly) RAW'!Q81/$H88)&lt;$C$4, 0, 1)))</f>
        <v/>
      </c>
      <c r="U88" s="385"/>
      <c r="V88" s="385"/>
      <c r="W88" s="385"/>
      <c r="Y88" s="340"/>
      <c r="Z88" s="340"/>
      <c r="AA88" s="340"/>
      <c r="AB88" s="340"/>
      <c r="AC88" s="340"/>
      <c r="AD88" s="340"/>
      <c r="AE88" s="340"/>
      <c r="AF88" s="340"/>
      <c r="AG88" s="340"/>
    </row>
    <row r="89" ht="15.75" customHeight="1">
      <c r="C89" s="379" t="str">
        <f>'Studies (Monthly) RAW'!A82</f>
        <v/>
      </c>
      <c r="D89" s="380" t="str">
        <f>'Studies (Monthly) RAW'!B82</f>
        <v/>
      </c>
      <c r="E89" s="381" t="str">
        <f>'Studies (Monthly) RAW'!C82</f>
        <v/>
      </c>
      <c r="F89" s="381"/>
      <c r="G89" s="381" t="str">
        <f>'Studies (Monthly) RAW'!D82</f>
        <v/>
      </c>
      <c r="H89" s="384" t="str">
        <f>'Studies (Monthly) RAW'!E82</f>
        <v/>
      </c>
      <c r="I89" s="385" t="str">
        <f>IF(EQ('Studies (Monthly) RAW'!F82,""),"", (IF(('Studies (Monthly) RAW'!F82/$H89)&lt;$C$4, 0, 1)))</f>
        <v/>
      </c>
      <c r="J89" s="385" t="str">
        <f>IF(EQ('Studies (Monthly) RAW'!G82, ""),"", (IF(('Studies (Monthly) RAW'!G82/$H89)&lt;$C$4, 0, 1)))</f>
        <v/>
      </c>
      <c r="K89" s="385" t="str">
        <f>IF(EQ('Studies (Monthly) RAW'!H82,""),"", (IF(('Studies (Monthly) RAW'!H82/$H89)&lt;$C$4, 0, 1)))</f>
        <v/>
      </c>
      <c r="L89" s="385" t="str">
        <f>IF(EQ('Studies (Monthly) RAW'!I82, ""),"", (IF(('Studies (Monthly) RAW'!I82/$H89)&lt;$C$4, 0, 1)))</f>
        <v/>
      </c>
      <c r="M89" s="385" t="str">
        <f>IF(EQ('Studies (Monthly) RAW'!J82,""),"", (IF(('Studies (Monthly) RAW'!J82/$H89)&lt;$C$4, 0, 1)))</f>
        <v/>
      </c>
      <c r="N89" s="385" t="str">
        <f>IF(EQ('Studies (Monthly) RAW'!K82, ""),"", (IF(('Studies (Monthly) RAW'!K82/$H89)&lt;$C$4, 0, 1)))</f>
        <v/>
      </c>
      <c r="O89" s="385" t="str">
        <f>IF(EQ('Studies (Monthly) RAW'!L82,""),"", (IF(('Studies (Monthly) RAW'!L82/$H89)&lt;$C$4, 0, 1)))</f>
        <v/>
      </c>
      <c r="P89" s="385" t="str">
        <f>IF(EQ('Studies (Monthly) RAW'!M82, ""),"", (IF(('Studies (Monthly) RAW'!M82/$H89)&lt;$C$4, 0, 1)))</f>
        <v/>
      </c>
      <c r="Q89" s="385" t="str">
        <f>IF(EQ('Studies (Monthly) RAW'!N82,""),"", (IF(('Studies (Monthly) RAW'!N82/$H89)&lt;$C$4, 0, 1)))</f>
        <v/>
      </c>
      <c r="R89" s="385" t="str">
        <f>IF(EQ('Studies (Monthly) RAW'!O82, ""),"", (IF(('Studies (Monthly) RAW'!O82/$H89)&lt;$C$4, 0, 1)))</f>
        <v/>
      </c>
      <c r="S89" s="385" t="str">
        <f>IF(EQ('Studies (Monthly) RAW'!P82,""),"", (IF(('Studies (Monthly) RAW'!P82/$H89)&lt;$C$4, 0, 1)))</f>
        <v/>
      </c>
      <c r="T89" s="385" t="str">
        <f>IF(EQ('Studies (Monthly) RAW'!Q82, ""),"", (IF(('Studies (Monthly) RAW'!Q82/$H89)&lt;$C$4, 0, 1)))</f>
        <v/>
      </c>
      <c r="U89" s="385"/>
      <c r="V89" s="385"/>
      <c r="W89" s="385"/>
      <c r="Y89" s="340"/>
      <c r="Z89" s="340"/>
      <c r="AA89" s="340"/>
      <c r="AB89" s="340"/>
      <c r="AC89" s="340"/>
      <c r="AD89" s="340"/>
      <c r="AE89" s="340"/>
      <c r="AF89" s="340"/>
      <c r="AG89" s="340"/>
    </row>
    <row r="90" ht="15.75" customHeight="1">
      <c r="C90" s="379" t="str">
        <f>'Studies (Monthly) RAW'!A83</f>
        <v/>
      </c>
      <c r="D90" s="380" t="str">
        <f>'Studies (Monthly) RAW'!B83</f>
        <v/>
      </c>
      <c r="E90" s="381" t="str">
        <f>'Studies (Monthly) RAW'!C83</f>
        <v/>
      </c>
      <c r="F90" s="381"/>
      <c r="G90" s="381" t="str">
        <f>'Studies (Monthly) RAW'!D83</f>
        <v/>
      </c>
      <c r="H90" s="384" t="str">
        <f>'Studies (Monthly) RAW'!E83</f>
        <v/>
      </c>
      <c r="I90" s="385" t="str">
        <f>IF(EQ('Studies (Monthly) RAW'!F83,""),"", (IF(('Studies (Monthly) RAW'!F83/$H90)&lt;$C$4, 0, 1)))</f>
        <v/>
      </c>
      <c r="J90" s="385" t="str">
        <f>IF(EQ('Studies (Monthly) RAW'!G83, ""),"", (IF(('Studies (Monthly) RAW'!G83/$H90)&lt;$C$4, 0, 1)))</f>
        <v/>
      </c>
      <c r="K90" s="385" t="str">
        <f>IF(EQ('Studies (Monthly) RAW'!H83,""),"", (IF(('Studies (Monthly) RAW'!H83/$H90)&lt;$C$4, 0, 1)))</f>
        <v/>
      </c>
      <c r="L90" s="385" t="str">
        <f>IF(EQ('Studies (Monthly) RAW'!I83, ""),"", (IF(('Studies (Monthly) RAW'!I83/$H90)&lt;$C$4, 0, 1)))</f>
        <v/>
      </c>
      <c r="M90" s="385" t="str">
        <f>IF(EQ('Studies (Monthly) RAW'!J83,""),"", (IF(('Studies (Monthly) RAW'!J83/$H90)&lt;$C$4, 0, 1)))</f>
        <v/>
      </c>
      <c r="N90" s="385" t="str">
        <f>IF(EQ('Studies (Monthly) RAW'!K83, ""),"", (IF(('Studies (Monthly) RAW'!K83/$H90)&lt;$C$4, 0, 1)))</f>
        <v/>
      </c>
      <c r="O90" s="385" t="str">
        <f>IF(EQ('Studies (Monthly) RAW'!L83,""),"", (IF(('Studies (Monthly) RAW'!L83/$H90)&lt;$C$4, 0, 1)))</f>
        <v/>
      </c>
      <c r="P90" s="385" t="str">
        <f>IF(EQ('Studies (Monthly) RAW'!M83, ""),"", (IF(('Studies (Monthly) RAW'!M83/$H90)&lt;$C$4, 0, 1)))</f>
        <v/>
      </c>
      <c r="Q90" s="385" t="str">
        <f>IF(EQ('Studies (Monthly) RAW'!N83,""),"", (IF(('Studies (Monthly) RAW'!N83/$H90)&lt;$C$4, 0, 1)))</f>
        <v/>
      </c>
      <c r="R90" s="385" t="str">
        <f>IF(EQ('Studies (Monthly) RAW'!O83, ""),"", (IF(('Studies (Monthly) RAW'!O83/$H90)&lt;$C$4, 0, 1)))</f>
        <v/>
      </c>
      <c r="S90" s="385" t="str">
        <f>IF(EQ('Studies (Monthly) RAW'!P83,""),"", (IF(('Studies (Monthly) RAW'!P83/$H90)&lt;$C$4, 0, 1)))</f>
        <v/>
      </c>
      <c r="T90" s="385" t="str">
        <f>IF(EQ('Studies (Monthly) RAW'!Q83, ""),"", (IF(('Studies (Monthly) RAW'!Q83/$H90)&lt;$C$4, 0, 1)))</f>
        <v/>
      </c>
      <c r="U90" s="385"/>
      <c r="V90" s="385"/>
      <c r="W90" s="385"/>
      <c r="Y90" s="340"/>
      <c r="Z90" s="340"/>
      <c r="AA90" s="340"/>
      <c r="AB90" s="340"/>
      <c r="AC90" s="340"/>
      <c r="AD90" s="340"/>
      <c r="AE90" s="340"/>
      <c r="AF90" s="340"/>
      <c r="AG90" s="340"/>
    </row>
    <row r="91" ht="15.75" customHeight="1">
      <c r="C91" s="379" t="str">
        <f>'Studies (Monthly) RAW'!A84</f>
        <v/>
      </c>
      <c r="D91" s="380" t="str">
        <f>'Studies (Monthly) RAW'!B84</f>
        <v/>
      </c>
      <c r="E91" s="381" t="str">
        <f>'Studies (Monthly) RAW'!C84</f>
        <v/>
      </c>
      <c r="F91" s="381"/>
      <c r="G91" s="381" t="str">
        <f>'Studies (Monthly) RAW'!D84</f>
        <v/>
      </c>
      <c r="H91" s="384" t="str">
        <f>'Studies (Monthly) RAW'!E84</f>
        <v/>
      </c>
      <c r="I91" s="385" t="str">
        <f>IF(EQ('Studies (Monthly) RAW'!F84,""),"", (IF(('Studies (Monthly) RAW'!F84/$H91)&lt;$C$4, 0, 1)))</f>
        <v/>
      </c>
      <c r="J91" s="385" t="str">
        <f>IF(EQ('Studies (Monthly) RAW'!G84, ""),"", (IF(('Studies (Monthly) RAW'!G84/$H91)&lt;$C$4, 0, 1)))</f>
        <v/>
      </c>
      <c r="K91" s="385" t="str">
        <f>IF(EQ('Studies (Monthly) RAW'!H84,""),"", (IF(('Studies (Monthly) RAW'!H84/$H91)&lt;$C$4, 0, 1)))</f>
        <v/>
      </c>
      <c r="L91" s="385" t="str">
        <f>IF(EQ('Studies (Monthly) RAW'!I84, ""),"", (IF(('Studies (Monthly) RAW'!I84/$H91)&lt;$C$4, 0, 1)))</f>
        <v/>
      </c>
      <c r="M91" s="385" t="str">
        <f>IF(EQ('Studies (Monthly) RAW'!J84,""),"", (IF(('Studies (Monthly) RAW'!J84/$H91)&lt;$C$4, 0, 1)))</f>
        <v/>
      </c>
      <c r="N91" s="385" t="str">
        <f>IF(EQ('Studies (Monthly) RAW'!K84, ""),"", (IF(('Studies (Monthly) RAW'!K84/$H91)&lt;$C$4, 0, 1)))</f>
        <v/>
      </c>
      <c r="O91" s="385" t="str">
        <f>IF(EQ('Studies (Monthly) RAW'!L84,""),"", (IF(('Studies (Monthly) RAW'!L84/$H91)&lt;$C$4, 0, 1)))</f>
        <v/>
      </c>
      <c r="P91" s="385" t="str">
        <f>IF(EQ('Studies (Monthly) RAW'!M84, ""),"", (IF(('Studies (Monthly) RAW'!M84/$H91)&lt;$C$4, 0, 1)))</f>
        <v/>
      </c>
      <c r="Q91" s="385" t="str">
        <f>IF(EQ('Studies (Monthly) RAW'!N84,""),"", (IF(('Studies (Monthly) RAW'!N84/$H91)&lt;$C$4, 0, 1)))</f>
        <v/>
      </c>
      <c r="R91" s="385" t="str">
        <f>IF(EQ('Studies (Monthly) RAW'!O84, ""),"", (IF(('Studies (Monthly) RAW'!O84/$H91)&lt;$C$4, 0, 1)))</f>
        <v/>
      </c>
      <c r="S91" s="385" t="str">
        <f>IF(EQ('Studies (Monthly) RAW'!P84,""),"", (IF(('Studies (Monthly) RAW'!P84/$H91)&lt;$C$4, 0, 1)))</f>
        <v/>
      </c>
      <c r="T91" s="385" t="str">
        <f>IF(EQ('Studies (Monthly) RAW'!Q84, ""),"", (IF(('Studies (Monthly) RAW'!Q84/$H91)&lt;$C$4, 0, 1)))</f>
        <v/>
      </c>
      <c r="U91" s="385"/>
      <c r="V91" s="385"/>
      <c r="W91" s="385"/>
      <c r="Y91" s="340"/>
      <c r="Z91" s="340"/>
      <c r="AA91" s="340"/>
      <c r="AB91" s="340"/>
      <c r="AC91" s="340"/>
      <c r="AD91" s="340"/>
      <c r="AE91" s="340"/>
      <c r="AF91" s="340"/>
      <c r="AG91" s="340"/>
    </row>
    <row r="92" ht="15.75" customHeight="1">
      <c r="C92" s="379" t="str">
        <f>'Studies (Monthly) RAW'!A85</f>
        <v/>
      </c>
      <c r="D92" s="380" t="str">
        <f>'Studies (Monthly) RAW'!B85</f>
        <v/>
      </c>
      <c r="E92" s="381" t="str">
        <f>'Studies (Monthly) RAW'!C85</f>
        <v/>
      </c>
      <c r="F92" s="381"/>
      <c r="G92" s="381" t="str">
        <f>'Studies (Monthly) RAW'!D85</f>
        <v/>
      </c>
      <c r="H92" s="384" t="str">
        <f>'Studies (Monthly) RAW'!E85</f>
        <v/>
      </c>
      <c r="I92" s="385" t="str">
        <f>IF(EQ('Studies (Monthly) RAW'!F85,""),"", (IF(('Studies (Monthly) RAW'!F85/$H92)&lt;$C$4, 0, 1)))</f>
        <v/>
      </c>
      <c r="J92" s="385" t="str">
        <f>IF(EQ('Studies (Monthly) RAW'!G85, ""),"", (IF(('Studies (Monthly) RAW'!G85/$H92)&lt;$C$4, 0, 1)))</f>
        <v/>
      </c>
      <c r="K92" s="385" t="str">
        <f>IF(EQ('Studies (Monthly) RAW'!H85,""),"", (IF(('Studies (Monthly) RAW'!H85/$H92)&lt;$C$4, 0, 1)))</f>
        <v/>
      </c>
      <c r="L92" s="385" t="str">
        <f>IF(EQ('Studies (Monthly) RAW'!I85, ""),"", (IF(('Studies (Monthly) RAW'!I85/$H92)&lt;$C$4, 0, 1)))</f>
        <v/>
      </c>
      <c r="M92" s="385" t="str">
        <f>IF(EQ('Studies (Monthly) RAW'!J85,""),"", (IF(('Studies (Monthly) RAW'!J85/$H92)&lt;$C$4, 0, 1)))</f>
        <v/>
      </c>
      <c r="N92" s="385" t="str">
        <f>IF(EQ('Studies (Monthly) RAW'!K85, ""),"", (IF(('Studies (Monthly) RAW'!K85/$H92)&lt;$C$4, 0, 1)))</f>
        <v/>
      </c>
      <c r="O92" s="385" t="str">
        <f>IF(EQ('Studies (Monthly) RAW'!L85,""),"", (IF(('Studies (Monthly) RAW'!L85/$H92)&lt;$C$4, 0, 1)))</f>
        <v/>
      </c>
      <c r="P92" s="385" t="str">
        <f>IF(EQ('Studies (Monthly) RAW'!M85, ""),"", (IF(('Studies (Monthly) RAW'!M85/$H92)&lt;$C$4, 0, 1)))</f>
        <v/>
      </c>
      <c r="Q92" s="385" t="str">
        <f>IF(EQ('Studies (Monthly) RAW'!N85,""),"", (IF(('Studies (Monthly) RAW'!N85/$H92)&lt;$C$4, 0, 1)))</f>
        <v/>
      </c>
      <c r="R92" s="385" t="str">
        <f>IF(EQ('Studies (Monthly) RAW'!O85, ""),"", (IF(('Studies (Monthly) RAW'!O85/$H92)&lt;$C$4, 0, 1)))</f>
        <v/>
      </c>
      <c r="S92" s="385" t="str">
        <f>IF(EQ('Studies (Monthly) RAW'!P85,""),"", (IF(('Studies (Monthly) RAW'!P85/$H92)&lt;$C$4, 0, 1)))</f>
        <v/>
      </c>
      <c r="T92" s="385" t="str">
        <f>IF(EQ('Studies (Monthly) RAW'!Q85, ""),"", (IF(('Studies (Monthly) RAW'!Q85/$H92)&lt;$C$4, 0, 1)))</f>
        <v/>
      </c>
      <c r="U92" s="385"/>
      <c r="V92" s="385"/>
      <c r="W92" s="385"/>
      <c r="Y92" s="340"/>
      <c r="Z92" s="340"/>
      <c r="AA92" s="340"/>
      <c r="AB92" s="340"/>
      <c r="AC92" s="340"/>
      <c r="AD92" s="340"/>
      <c r="AE92" s="340"/>
      <c r="AF92" s="340"/>
      <c r="AG92" s="340"/>
    </row>
    <row r="93" ht="15.75" customHeight="1">
      <c r="C93" s="379" t="str">
        <f>'Studies (Monthly) RAW'!A86</f>
        <v/>
      </c>
      <c r="D93" s="380" t="str">
        <f>'Studies (Monthly) RAW'!B86</f>
        <v/>
      </c>
      <c r="E93" s="381" t="str">
        <f>'Studies (Monthly) RAW'!C86</f>
        <v/>
      </c>
      <c r="F93" s="381"/>
      <c r="G93" s="381" t="str">
        <f>'Studies (Monthly) RAW'!D86</f>
        <v/>
      </c>
      <c r="H93" s="384" t="str">
        <f>'Studies (Monthly) RAW'!E86</f>
        <v/>
      </c>
      <c r="I93" s="385" t="str">
        <f>IF(EQ('Studies (Monthly) RAW'!F86,""),"", (IF(('Studies (Monthly) RAW'!F86/$H93)&lt;$C$4, 0, 1)))</f>
        <v/>
      </c>
      <c r="J93" s="385" t="str">
        <f>IF(EQ('Studies (Monthly) RAW'!G86, ""),"", (IF(('Studies (Monthly) RAW'!G86/$H93)&lt;$C$4, 0, 1)))</f>
        <v/>
      </c>
      <c r="K93" s="385" t="str">
        <f>IF(EQ('Studies (Monthly) RAW'!H86,""),"", (IF(('Studies (Monthly) RAW'!H86/$H93)&lt;$C$4, 0, 1)))</f>
        <v/>
      </c>
      <c r="L93" s="385" t="str">
        <f>IF(EQ('Studies (Monthly) RAW'!I86, ""),"", (IF(('Studies (Monthly) RAW'!I86/$H93)&lt;$C$4, 0, 1)))</f>
        <v/>
      </c>
      <c r="M93" s="385" t="str">
        <f>IF(EQ('Studies (Monthly) RAW'!J86,""),"", (IF(('Studies (Monthly) RAW'!J86/$H93)&lt;$C$4, 0, 1)))</f>
        <v/>
      </c>
      <c r="N93" s="385" t="str">
        <f>IF(EQ('Studies (Monthly) RAW'!K86, ""),"", (IF(('Studies (Monthly) RAW'!K86/$H93)&lt;$C$4, 0, 1)))</f>
        <v/>
      </c>
      <c r="O93" s="385" t="str">
        <f>IF(EQ('Studies (Monthly) RAW'!L86,""),"", (IF(('Studies (Monthly) RAW'!L86/$H93)&lt;$C$4, 0, 1)))</f>
        <v/>
      </c>
      <c r="P93" s="385" t="str">
        <f>IF(EQ('Studies (Monthly) RAW'!M86, ""),"", (IF(('Studies (Monthly) RAW'!M86/$H93)&lt;$C$4, 0, 1)))</f>
        <v/>
      </c>
      <c r="Q93" s="385" t="str">
        <f>IF(EQ('Studies (Monthly) RAW'!N86,""),"", (IF(('Studies (Monthly) RAW'!N86/$H93)&lt;$C$4, 0, 1)))</f>
        <v/>
      </c>
      <c r="R93" s="385" t="str">
        <f>IF(EQ('Studies (Monthly) RAW'!O86, ""),"", (IF(('Studies (Monthly) RAW'!O86/$H93)&lt;$C$4, 0, 1)))</f>
        <v/>
      </c>
      <c r="S93" s="385" t="str">
        <f>IF(EQ('Studies (Monthly) RAW'!P86,""),"", (IF(('Studies (Monthly) RAW'!P86/$H93)&lt;$C$4, 0, 1)))</f>
        <v/>
      </c>
      <c r="T93" s="385" t="str">
        <f>IF(EQ('Studies (Monthly) RAW'!Q86, ""),"", (IF(('Studies (Monthly) RAW'!Q86/$H93)&lt;$C$4, 0, 1)))</f>
        <v/>
      </c>
      <c r="U93" s="385"/>
      <c r="V93" s="385"/>
      <c r="W93" s="385"/>
      <c r="Y93" s="340"/>
      <c r="Z93" s="340"/>
      <c r="AA93" s="340"/>
      <c r="AB93" s="340"/>
      <c r="AC93" s="340"/>
      <c r="AD93" s="340"/>
      <c r="AE93" s="340"/>
      <c r="AF93" s="340"/>
      <c r="AG93" s="340"/>
    </row>
    <row r="94" ht="15.75" customHeight="1">
      <c r="C94" s="379" t="str">
        <f>'Studies (Monthly) RAW'!A87</f>
        <v/>
      </c>
      <c r="D94" s="380" t="str">
        <f>'Studies (Monthly) RAW'!B87</f>
        <v/>
      </c>
      <c r="E94" s="381" t="str">
        <f>'Studies (Monthly) RAW'!C87</f>
        <v/>
      </c>
      <c r="F94" s="381"/>
      <c r="G94" s="381" t="str">
        <f>'Studies (Monthly) RAW'!D87</f>
        <v/>
      </c>
      <c r="H94" s="384" t="str">
        <f>'Studies (Monthly) RAW'!E87</f>
        <v/>
      </c>
      <c r="I94" s="385" t="str">
        <f>IF(EQ('Studies (Monthly) RAW'!F87,""),"", (IF(('Studies (Monthly) RAW'!F87/$H94)&lt;$C$4, 0, 1)))</f>
        <v/>
      </c>
      <c r="J94" s="385" t="str">
        <f>IF(EQ('Studies (Monthly) RAW'!G87, ""),"", (IF(('Studies (Monthly) RAW'!G87/$H94)&lt;$C$4, 0, 1)))</f>
        <v/>
      </c>
      <c r="K94" s="385" t="str">
        <f>IF(EQ('Studies (Monthly) RAW'!H87,""),"", (IF(('Studies (Monthly) RAW'!H87/$H94)&lt;$C$4, 0, 1)))</f>
        <v/>
      </c>
      <c r="L94" s="385" t="str">
        <f>IF(EQ('Studies (Monthly) RAW'!I87, ""),"", (IF(('Studies (Monthly) RAW'!I87/$H94)&lt;$C$4, 0, 1)))</f>
        <v/>
      </c>
      <c r="M94" s="385" t="str">
        <f>IF(EQ('Studies (Monthly) RAW'!J87,""),"", (IF(('Studies (Monthly) RAW'!J87/$H94)&lt;$C$4, 0, 1)))</f>
        <v/>
      </c>
      <c r="N94" s="385" t="str">
        <f>IF(EQ('Studies (Monthly) RAW'!K87, ""),"", (IF(('Studies (Monthly) RAW'!K87/$H94)&lt;$C$4, 0, 1)))</f>
        <v/>
      </c>
      <c r="O94" s="385" t="str">
        <f>IF(EQ('Studies (Monthly) RAW'!L87,""),"", (IF(('Studies (Monthly) RAW'!L87/$H94)&lt;$C$4, 0, 1)))</f>
        <v/>
      </c>
      <c r="P94" s="385" t="str">
        <f>IF(EQ('Studies (Monthly) RAW'!M87, ""),"", (IF(('Studies (Monthly) RAW'!M87/$H94)&lt;$C$4, 0, 1)))</f>
        <v/>
      </c>
      <c r="Q94" s="385" t="str">
        <f>IF(EQ('Studies (Monthly) RAW'!N87,""),"", (IF(('Studies (Monthly) RAW'!N87/$H94)&lt;$C$4, 0, 1)))</f>
        <v/>
      </c>
      <c r="R94" s="385" t="str">
        <f>IF(EQ('Studies (Monthly) RAW'!O87, ""),"", (IF(('Studies (Monthly) RAW'!O87/$H94)&lt;$C$4, 0, 1)))</f>
        <v/>
      </c>
      <c r="S94" s="385" t="str">
        <f>IF(EQ('Studies (Monthly) RAW'!P87,""),"", (IF(('Studies (Monthly) RAW'!P87/$H94)&lt;$C$4, 0, 1)))</f>
        <v/>
      </c>
      <c r="T94" s="385" t="str">
        <f>IF(EQ('Studies (Monthly) RAW'!Q87, ""),"", (IF(('Studies (Monthly) RAW'!Q87/$H94)&lt;$C$4, 0, 1)))</f>
        <v/>
      </c>
      <c r="U94" s="385"/>
      <c r="V94" s="385"/>
      <c r="W94" s="385"/>
      <c r="Y94" s="340"/>
      <c r="Z94" s="340"/>
      <c r="AA94" s="340"/>
      <c r="AB94" s="340"/>
      <c r="AC94" s="340"/>
      <c r="AD94" s="340"/>
      <c r="AE94" s="340"/>
      <c r="AF94" s="340"/>
      <c r="AG94" s="340"/>
    </row>
    <row r="95" ht="15.75" customHeight="1">
      <c r="C95" s="379" t="str">
        <f>'Studies (Monthly) RAW'!A88</f>
        <v/>
      </c>
      <c r="D95" s="380" t="str">
        <f>'Studies (Monthly) RAW'!B88</f>
        <v/>
      </c>
      <c r="E95" s="381" t="str">
        <f>'Studies (Monthly) RAW'!C88</f>
        <v/>
      </c>
      <c r="F95" s="381"/>
      <c r="G95" s="381" t="str">
        <f>'Studies (Monthly) RAW'!D88</f>
        <v/>
      </c>
      <c r="H95" s="384" t="str">
        <f>'Studies (Monthly) RAW'!E88</f>
        <v/>
      </c>
      <c r="I95" s="385" t="str">
        <f>IF(EQ('Studies (Monthly) RAW'!F88,""),"", (IF(('Studies (Monthly) RAW'!F88/$H95)&lt;$C$4, 0, 1)))</f>
        <v/>
      </c>
      <c r="J95" s="385" t="str">
        <f>IF(EQ('Studies (Monthly) RAW'!G88, ""),"", (IF(('Studies (Monthly) RAW'!G88/$H95)&lt;$C$4, 0, 1)))</f>
        <v/>
      </c>
      <c r="K95" s="385" t="str">
        <f>IF(EQ('Studies (Monthly) RAW'!H88,""),"", (IF(('Studies (Monthly) RAW'!H88/$H95)&lt;$C$4, 0, 1)))</f>
        <v/>
      </c>
      <c r="L95" s="385" t="str">
        <f>IF(EQ('Studies (Monthly) RAW'!I88, ""),"", (IF(('Studies (Monthly) RAW'!I88/$H95)&lt;$C$4, 0, 1)))</f>
        <v/>
      </c>
      <c r="M95" s="385" t="str">
        <f>IF(EQ('Studies (Monthly) RAW'!J88,""),"", (IF(('Studies (Monthly) RAW'!J88/$H95)&lt;$C$4, 0, 1)))</f>
        <v/>
      </c>
      <c r="N95" s="385" t="str">
        <f>IF(EQ('Studies (Monthly) RAW'!K88, ""),"", (IF(('Studies (Monthly) RAW'!K88/$H95)&lt;$C$4, 0, 1)))</f>
        <v/>
      </c>
      <c r="O95" s="385" t="str">
        <f>IF(EQ('Studies (Monthly) RAW'!L88,""),"", (IF(('Studies (Monthly) RAW'!L88/$H95)&lt;$C$4, 0, 1)))</f>
        <v/>
      </c>
      <c r="P95" s="385" t="str">
        <f>IF(EQ('Studies (Monthly) RAW'!M88, ""),"", (IF(('Studies (Monthly) RAW'!M88/$H95)&lt;$C$4, 0, 1)))</f>
        <v/>
      </c>
      <c r="Q95" s="385" t="str">
        <f>IF(EQ('Studies (Monthly) RAW'!N88,""),"", (IF(('Studies (Monthly) RAW'!N88/$H95)&lt;$C$4, 0, 1)))</f>
        <v/>
      </c>
      <c r="R95" s="385" t="str">
        <f>IF(EQ('Studies (Monthly) RAW'!O88, ""),"", (IF(('Studies (Monthly) RAW'!O88/$H95)&lt;$C$4, 0, 1)))</f>
        <v/>
      </c>
      <c r="S95" s="385" t="str">
        <f>IF(EQ('Studies (Monthly) RAW'!P88,""),"", (IF(('Studies (Monthly) RAW'!P88/$H95)&lt;$C$4, 0, 1)))</f>
        <v/>
      </c>
      <c r="T95" s="385" t="str">
        <f>IF(EQ('Studies (Monthly) RAW'!Q88, ""),"", (IF(('Studies (Monthly) RAW'!Q88/$H95)&lt;$C$4, 0, 1)))</f>
        <v/>
      </c>
      <c r="U95" s="385"/>
      <c r="V95" s="385"/>
      <c r="W95" s="385"/>
      <c r="Y95" s="340"/>
      <c r="Z95" s="340"/>
      <c r="AA95" s="340"/>
      <c r="AB95" s="340"/>
      <c r="AC95" s="340"/>
      <c r="AD95" s="340"/>
      <c r="AE95" s="340"/>
      <c r="AF95" s="340"/>
      <c r="AG95" s="340"/>
    </row>
    <row r="96" ht="15.75" customHeight="1">
      <c r="C96" s="379" t="str">
        <f>'Studies (Monthly) RAW'!A89</f>
        <v/>
      </c>
      <c r="D96" s="380" t="str">
        <f>'Studies (Monthly) RAW'!B89</f>
        <v/>
      </c>
      <c r="E96" s="381" t="str">
        <f>'Studies (Monthly) RAW'!C89</f>
        <v/>
      </c>
      <c r="F96" s="381"/>
      <c r="G96" s="381" t="str">
        <f>'Studies (Monthly) RAW'!D89</f>
        <v/>
      </c>
      <c r="H96" s="384" t="str">
        <f>'Studies (Monthly) RAW'!E89</f>
        <v/>
      </c>
      <c r="I96" s="385" t="str">
        <f>IF(EQ('Studies (Monthly) RAW'!F89,""),"", (IF(('Studies (Monthly) RAW'!F89/$H96)&lt;$C$4, 0, 1)))</f>
        <v/>
      </c>
      <c r="J96" s="385" t="str">
        <f>IF(EQ('Studies (Monthly) RAW'!G89, ""),"", (IF(('Studies (Monthly) RAW'!G89/$H96)&lt;$C$4, 0, 1)))</f>
        <v/>
      </c>
      <c r="K96" s="385" t="str">
        <f>IF(EQ('Studies (Monthly) RAW'!H89,""),"", (IF(('Studies (Monthly) RAW'!H89/$H96)&lt;$C$4, 0, 1)))</f>
        <v/>
      </c>
      <c r="L96" s="385" t="str">
        <f>IF(EQ('Studies (Monthly) RAW'!I89, ""),"", (IF(('Studies (Monthly) RAW'!I89/$H96)&lt;$C$4, 0, 1)))</f>
        <v/>
      </c>
      <c r="M96" s="385" t="str">
        <f>IF(EQ('Studies (Monthly) RAW'!J89,""),"", (IF(('Studies (Monthly) RAW'!J89/$H96)&lt;$C$4, 0, 1)))</f>
        <v/>
      </c>
      <c r="N96" s="385" t="str">
        <f>IF(EQ('Studies (Monthly) RAW'!K89, ""),"", (IF(('Studies (Monthly) RAW'!K89/$H96)&lt;$C$4, 0, 1)))</f>
        <v/>
      </c>
      <c r="O96" s="385" t="str">
        <f>IF(EQ('Studies (Monthly) RAW'!L89,""),"", (IF(('Studies (Monthly) RAW'!L89/$H96)&lt;$C$4, 0, 1)))</f>
        <v/>
      </c>
      <c r="P96" s="385" t="str">
        <f>IF(EQ('Studies (Monthly) RAW'!M89, ""),"", (IF(('Studies (Monthly) RAW'!M89/$H96)&lt;$C$4, 0, 1)))</f>
        <v/>
      </c>
      <c r="Q96" s="385" t="str">
        <f>IF(EQ('Studies (Monthly) RAW'!N89,""),"", (IF(('Studies (Monthly) RAW'!N89/$H96)&lt;$C$4, 0, 1)))</f>
        <v/>
      </c>
      <c r="R96" s="385" t="str">
        <f>IF(EQ('Studies (Monthly) RAW'!O89, ""),"", (IF(('Studies (Monthly) RAW'!O89/$H96)&lt;$C$4, 0, 1)))</f>
        <v/>
      </c>
      <c r="S96" s="385" t="str">
        <f>IF(EQ('Studies (Monthly) RAW'!P89,""),"", (IF(('Studies (Monthly) RAW'!P89/$H96)&lt;$C$4, 0, 1)))</f>
        <v/>
      </c>
      <c r="T96" s="385" t="str">
        <f>IF(EQ('Studies (Monthly) RAW'!Q89, ""),"", (IF(('Studies (Monthly) RAW'!Q89/$H96)&lt;$C$4, 0, 1)))</f>
        <v/>
      </c>
      <c r="U96" s="385"/>
      <c r="V96" s="385"/>
      <c r="W96" s="385"/>
      <c r="Y96" s="340"/>
      <c r="Z96" s="340"/>
      <c r="AA96" s="340"/>
      <c r="AB96" s="340"/>
      <c r="AC96" s="340"/>
      <c r="AD96" s="340"/>
      <c r="AE96" s="340"/>
      <c r="AF96" s="340"/>
      <c r="AG96" s="340"/>
    </row>
    <row r="97" ht="15.75" customHeight="1">
      <c r="C97" s="379" t="str">
        <f>'Studies (Monthly) RAW'!A90</f>
        <v/>
      </c>
      <c r="D97" s="380" t="str">
        <f>'Studies (Monthly) RAW'!B90</f>
        <v/>
      </c>
      <c r="E97" s="381" t="str">
        <f>'Studies (Monthly) RAW'!C90</f>
        <v/>
      </c>
      <c r="F97" s="381"/>
      <c r="G97" s="381" t="str">
        <f>'Studies (Monthly) RAW'!D90</f>
        <v/>
      </c>
      <c r="H97" s="384" t="str">
        <f>'Studies (Monthly) RAW'!E90</f>
        <v/>
      </c>
      <c r="I97" s="385" t="str">
        <f>IF(EQ('Studies (Monthly) RAW'!F90,""),"", (IF(('Studies (Monthly) RAW'!F90/$H97)&lt;$C$4, 0, 1)))</f>
        <v/>
      </c>
      <c r="J97" s="385" t="str">
        <f>IF(EQ('Studies (Monthly) RAW'!G90, ""),"", (IF(('Studies (Monthly) RAW'!G90/$H97)&lt;$C$4, 0, 1)))</f>
        <v/>
      </c>
      <c r="K97" s="385" t="str">
        <f>IF(EQ('Studies (Monthly) RAW'!H90,""),"", (IF(('Studies (Monthly) RAW'!H90/$H97)&lt;$C$4, 0, 1)))</f>
        <v/>
      </c>
      <c r="L97" s="385" t="str">
        <f>IF(EQ('Studies (Monthly) RAW'!I90, ""),"", (IF(('Studies (Monthly) RAW'!I90/$H97)&lt;$C$4, 0, 1)))</f>
        <v/>
      </c>
      <c r="M97" s="385" t="str">
        <f>IF(EQ('Studies (Monthly) RAW'!J90,""),"", (IF(('Studies (Monthly) RAW'!J90/$H97)&lt;$C$4, 0, 1)))</f>
        <v/>
      </c>
      <c r="N97" s="385" t="str">
        <f>IF(EQ('Studies (Monthly) RAW'!K90, ""),"", (IF(('Studies (Monthly) RAW'!K90/$H97)&lt;$C$4, 0, 1)))</f>
        <v/>
      </c>
      <c r="O97" s="385" t="str">
        <f>IF(EQ('Studies (Monthly) RAW'!L90,""),"", (IF(('Studies (Monthly) RAW'!L90/$H97)&lt;$C$4, 0, 1)))</f>
        <v/>
      </c>
      <c r="P97" s="385" t="str">
        <f>IF(EQ('Studies (Monthly) RAW'!M90, ""),"", (IF(('Studies (Monthly) RAW'!M90/$H97)&lt;$C$4, 0, 1)))</f>
        <v/>
      </c>
      <c r="Q97" s="385" t="str">
        <f>IF(EQ('Studies (Monthly) RAW'!N90,""),"", (IF(('Studies (Monthly) RAW'!N90/$H97)&lt;$C$4, 0, 1)))</f>
        <v/>
      </c>
      <c r="R97" s="385" t="str">
        <f>IF(EQ('Studies (Monthly) RAW'!O90, ""),"", (IF(('Studies (Monthly) RAW'!O90/$H97)&lt;$C$4, 0, 1)))</f>
        <v/>
      </c>
      <c r="S97" s="385" t="str">
        <f>IF(EQ('Studies (Monthly) RAW'!P90,""),"", (IF(('Studies (Monthly) RAW'!P90/$H97)&lt;$C$4, 0, 1)))</f>
        <v/>
      </c>
      <c r="T97" s="385" t="str">
        <f>IF(EQ('Studies (Monthly) RAW'!Q90, ""),"", (IF(('Studies (Monthly) RAW'!Q90/$H97)&lt;$C$4, 0, 1)))</f>
        <v/>
      </c>
      <c r="U97" s="385"/>
      <c r="V97" s="385"/>
      <c r="W97" s="385"/>
      <c r="Y97" s="340"/>
      <c r="Z97" s="340"/>
      <c r="AA97" s="340"/>
      <c r="AB97" s="340"/>
      <c r="AC97" s="340"/>
      <c r="AD97" s="340"/>
      <c r="AE97" s="340"/>
      <c r="AF97" s="340"/>
      <c r="AG97" s="340"/>
    </row>
    <row r="98" ht="15.75" customHeight="1">
      <c r="C98" s="379" t="str">
        <f>'Studies (Monthly) RAW'!A91</f>
        <v/>
      </c>
      <c r="D98" s="380" t="str">
        <f>'Studies (Monthly) RAW'!B91</f>
        <v/>
      </c>
      <c r="E98" s="381" t="str">
        <f>'Studies (Monthly) RAW'!C91</f>
        <v/>
      </c>
      <c r="F98" s="381"/>
      <c r="G98" s="381" t="str">
        <f>'Studies (Monthly) RAW'!D91</f>
        <v/>
      </c>
      <c r="H98" s="384" t="str">
        <f>'Studies (Monthly) RAW'!E91</f>
        <v/>
      </c>
      <c r="I98" s="385" t="str">
        <f>IF(EQ('Studies (Monthly) RAW'!F91,""),"", (IF(('Studies (Monthly) RAW'!F91/$H98)&lt;$C$4, 0, 1)))</f>
        <v/>
      </c>
      <c r="J98" s="385" t="str">
        <f>IF(EQ('Studies (Monthly) RAW'!G91, ""),"", (IF(('Studies (Monthly) RAW'!G91/$H98)&lt;$C$4, 0, 1)))</f>
        <v/>
      </c>
      <c r="K98" s="385" t="str">
        <f>IF(EQ('Studies (Monthly) RAW'!H91,""),"", (IF(('Studies (Monthly) RAW'!H91/$H98)&lt;$C$4, 0, 1)))</f>
        <v/>
      </c>
      <c r="L98" s="385" t="str">
        <f>IF(EQ('Studies (Monthly) RAW'!I91, ""),"", (IF(('Studies (Monthly) RAW'!I91/$H98)&lt;$C$4, 0, 1)))</f>
        <v/>
      </c>
      <c r="M98" s="385" t="str">
        <f>IF(EQ('Studies (Monthly) RAW'!J91,""),"", (IF(('Studies (Monthly) RAW'!J91/$H98)&lt;$C$4, 0, 1)))</f>
        <v/>
      </c>
      <c r="N98" s="385" t="str">
        <f>IF(EQ('Studies (Monthly) RAW'!K91, ""),"", (IF(('Studies (Monthly) RAW'!K91/$H98)&lt;$C$4, 0, 1)))</f>
        <v/>
      </c>
      <c r="O98" s="385" t="str">
        <f>IF(EQ('Studies (Monthly) RAW'!L91,""),"", (IF(('Studies (Monthly) RAW'!L91/$H98)&lt;$C$4, 0, 1)))</f>
        <v/>
      </c>
      <c r="P98" s="385" t="str">
        <f>IF(EQ('Studies (Monthly) RAW'!M91, ""),"", (IF(('Studies (Monthly) RAW'!M91/$H98)&lt;$C$4, 0, 1)))</f>
        <v/>
      </c>
      <c r="Q98" s="385" t="str">
        <f>IF(EQ('Studies (Monthly) RAW'!N91,""),"", (IF(('Studies (Monthly) RAW'!N91/$H98)&lt;$C$4, 0, 1)))</f>
        <v/>
      </c>
      <c r="R98" s="385" t="str">
        <f>IF(EQ('Studies (Monthly) RAW'!O91, ""),"", (IF(('Studies (Monthly) RAW'!O91/$H98)&lt;$C$4, 0, 1)))</f>
        <v/>
      </c>
      <c r="S98" s="385" t="str">
        <f>IF(EQ('Studies (Monthly) RAW'!P91,""),"", (IF(('Studies (Monthly) RAW'!P91/$H98)&lt;$C$4, 0, 1)))</f>
        <v/>
      </c>
      <c r="T98" s="385" t="str">
        <f>IF(EQ('Studies (Monthly) RAW'!Q91, ""),"", (IF(('Studies (Monthly) RAW'!Q91/$H98)&lt;$C$4, 0, 1)))</f>
        <v/>
      </c>
      <c r="U98" s="385"/>
      <c r="V98" s="385"/>
      <c r="W98" s="385"/>
      <c r="Y98" s="340"/>
      <c r="Z98" s="340"/>
      <c r="AA98" s="340"/>
      <c r="AB98" s="340"/>
      <c r="AC98" s="340"/>
      <c r="AD98" s="340"/>
      <c r="AE98" s="340"/>
      <c r="AF98" s="340"/>
      <c r="AG98" s="340"/>
    </row>
    <row r="99" ht="15.75" customHeight="1">
      <c r="C99" s="379" t="str">
        <f>'Studies (Monthly) RAW'!A92</f>
        <v/>
      </c>
      <c r="D99" s="380" t="str">
        <f>'Studies (Monthly) RAW'!B92</f>
        <v/>
      </c>
      <c r="E99" s="381" t="str">
        <f>'Studies (Monthly) RAW'!C92</f>
        <v/>
      </c>
      <c r="F99" s="381"/>
      <c r="G99" s="381" t="str">
        <f>'Studies (Monthly) RAW'!D92</f>
        <v/>
      </c>
      <c r="H99" s="384" t="str">
        <f>'Studies (Monthly) RAW'!E92</f>
        <v/>
      </c>
      <c r="I99" s="385" t="str">
        <f>IF(EQ('Studies (Monthly) RAW'!F92,""),"", (IF(('Studies (Monthly) RAW'!F92/$H99)&lt;$C$4, 0, 1)))</f>
        <v/>
      </c>
      <c r="J99" s="385" t="str">
        <f>IF(EQ('Studies (Monthly) RAW'!G92, ""),"", (IF(('Studies (Monthly) RAW'!G92/$H99)&lt;$C$4, 0, 1)))</f>
        <v/>
      </c>
      <c r="K99" s="385" t="str">
        <f>IF(EQ('Studies (Monthly) RAW'!H92,""),"", (IF(('Studies (Monthly) RAW'!H92/$H99)&lt;$C$4, 0, 1)))</f>
        <v/>
      </c>
      <c r="L99" s="385" t="str">
        <f>IF(EQ('Studies (Monthly) RAW'!I92, ""),"", (IF(('Studies (Monthly) RAW'!I92/$H99)&lt;$C$4, 0, 1)))</f>
        <v/>
      </c>
      <c r="M99" s="385" t="str">
        <f>IF(EQ('Studies (Monthly) RAW'!J92,""),"", (IF(('Studies (Monthly) RAW'!J92/$H99)&lt;$C$4, 0, 1)))</f>
        <v/>
      </c>
      <c r="N99" s="385" t="str">
        <f>IF(EQ('Studies (Monthly) RAW'!K92, ""),"", (IF(('Studies (Monthly) RAW'!K92/$H99)&lt;$C$4, 0, 1)))</f>
        <v/>
      </c>
      <c r="O99" s="385" t="str">
        <f>IF(EQ('Studies (Monthly) RAW'!L92,""),"", (IF(('Studies (Monthly) RAW'!L92/$H99)&lt;$C$4, 0, 1)))</f>
        <v/>
      </c>
      <c r="P99" s="385" t="str">
        <f>IF(EQ('Studies (Monthly) RAW'!M92, ""),"", (IF(('Studies (Monthly) RAW'!M92/$H99)&lt;$C$4, 0, 1)))</f>
        <v/>
      </c>
      <c r="Q99" s="385" t="str">
        <f>IF(EQ('Studies (Monthly) RAW'!N92,""),"", (IF(('Studies (Monthly) RAW'!N92/$H99)&lt;$C$4, 0, 1)))</f>
        <v/>
      </c>
      <c r="R99" s="385" t="str">
        <f>IF(EQ('Studies (Monthly) RAW'!O92, ""),"", (IF(('Studies (Monthly) RAW'!O92/$H99)&lt;$C$4, 0, 1)))</f>
        <v/>
      </c>
      <c r="S99" s="385" t="str">
        <f>IF(EQ('Studies (Monthly) RAW'!P92,""),"", (IF(('Studies (Monthly) RAW'!P92/$H99)&lt;$C$4, 0, 1)))</f>
        <v/>
      </c>
      <c r="T99" s="385" t="str">
        <f>IF(EQ('Studies (Monthly) RAW'!Q92, ""),"", (IF(('Studies (Monthly) RAW'!Q92/$H99)&lt;$C$4, 0, 1)))</f>
        <v/>
      </c>
      <c r="U99" s="385"/>
      <c r="V99" s="385"/>
      <c r="W99" s="385"/>
      <c r="Y99" s="340"/>
      <c r="Z99" s="340"/>
      <c r="AA99" s="340"/>
      <c r="AB99" s="340"/>
      <c r="AC99" s="340"/>
      <c r="AD99" s="340"/>
      <c r="AE99" s="340"/>
      <c r="AF99" s="340"/>
      <c r="AG99" s="340"/>
    </row>
    <row r="100" ht="15.75" customHeight="1">
      <c r="Y100" s="340"/>
      <c r="Z100" s="340"/>
      <c r="AA100" s="340"/>
      <c r="AB100" s="340"/>
      <c r="AC100" s="340"/>
      <c r="AD100" s="340"/>
      <c r="AE100" s="340"/>
      <c r="AF100" s="340"/>
      <c r="AG100" s="340"/>
    </row>
    <row r="101" ht="15.75" customHeight="1">
      <c r="Y101" s="340"/>
      <c r="Z101" s="340"/>
      <c r="AA101" s="340"/>
      <c r="AB101" s="340"/>
      <c r="AC101" s="340"/>
      <c r="AD101" s="340"/>
      <c r="AE101" s="340"/>
      <c r="AF101" s="340"/>
      <c r="AG101" s="340"/>
    </row>
    <row r="102" ht="15.75" customHeight="1">
      <c r="Y102" s="340"/>
      <c r="Z102" s="340"/>
      <c r="AA102" s="340"/>
      <c r="AB102" s="340"/>
      <c r="AC102" s="340"/>
      <c r="AD102" s="340"/>
      <c r="AE102" s="340"/>
      <c r="AF102" s="340"/>
      <c r="AG102" s="340"/>
    </row>
    <row r="103" ht="15.75" customHeight="1">
      <c r="Y103" s="340"/>
      <c r="Z103" s="340"/>
      <c r="AA103" s="340"/>
      <c r="AB103" s="340"/>
      <c r="AC103" s="340"/>
      <c r="AD103" s="340"/>
      <c r="AE103" s="340"/>
      <c r="AF103" s="340"/>
      <c r="AG103" s="340"/>
    </row>
    <row r="104" ht="15.75" customHeight="1">
      <c r="Y104" s="340"/>
      <c r="Z104" s="340"/>
      <c r="AA104" s="340"/>
      <c r="AB104" s="340"/>
      <c r="AC104" s="340"/>
      <c r="AD104" s="340"/>
      <c r="AE104" s="340"/>
      <c r="AF104" s="340"/>
      <c r="AG104" s="340"/>
    </row>
    <row r="105" ht="15.75" customHeight="1">
      <c r="Y105" s="340"/>
      <c r="Z105" s="340"/>
      <c r="AA105" s="340"/>
      <c r="AB105" s="340"/>
      <c r="AC105" s="340"/>
      <c r="AD105" s="340"/>
      <c r="AE105" s="340"/>
      <c r="AF105" s="340"/>
      <c r="AG105" s="340"/>
    </row>
    <row r="106" ht="15.75" customHeight="1">
      <c r="Y106" s="340"/>
      <c r="Z106" s="340"/>
      <c r="AA106" s="340"/>
      <c r="AB106" s="340"/>
      <c r="AC106" s="340"/>
      <c r="AD106" s="340"/>
      <c r="AE106" s="340"/>
      <c r="AF106" s="340"/>
      <c r="AG106" s="340"/>
    </row>
    <row r="107" ht="15.75" customHeight="1">
      <c r="Y107" s="340"/>
      <c r="Z107" s="340"/>
      <c r="AA107" s="340"/>
      <c r="AB107" s="340"/>
      <c r="AC107" s="340"/>
      <c r="AD107" s="340"/>
      <c r="AE107" s="340"/>
      <c r="AF107" s="340"/>
      <c r="AG107" s="340"/>
    </row>
    <row r="108" ht="15.75" customHeight="1">
      <c r="Y108" s="340"/>
      <c r="Z108" s="340"/>
      <c r="AA108" s="340"/>
      <c r="AB108" s="340"/>
      <c r="AC108" s="340"/>
      <c r="AD108" s="340"/>
      <c r="AE108" s="340"/>
      <c r="AF108" s="340"/>
      <c r="AG108" s="340"/>
    </row>
    <row r="109" ht="15.75" customHeight="1">
      <c r="Y109" s="340"/>
      <c r="Z109" s="340"/>
      <c r="AA109" s="340"/>
      <c r="AB109" s="340"/>
      <c r="AC109" s="340"/>
      <c r="AD109" s="340"/>
      <c r="AE109" s="340"/>
      <c r="AF109" s="340"/>
      <c r="AG109" s="340"/>
    </row>
    <row r="110" ht="15.75" customHeight="1">
      <c r="Y110" s="340"/>
      <c r="Z110" s="340"/>
      <c r="AA110" s="340"/>
      <c r="AB110" s="340"/>
      <c r="AC110" s="340"/>
      <c r="AD110" s="340"/>
      <c r="AE110" s="340"/>
      <c r="AF110" s="340"/>
      <c r="AG110" s="340"/>
    </row>
    <row r="111" ht="15.75" customHeight="1">
      <c r="Y111" s="340"/>
      <c r="Z111" s="340"/>
      <c r="AA111" s="340"/>
      <c r="AB111" s="340"/>
      <c r="AC111" s="340"/>
      <c r="AD111" s="340"/>
      <c r="AE111" s="340"/>
      <c r="AF111" s="340"/>
      <c r="AG111" s="340"/>
    </row>
    <row r="112" ht="15.75" customHeight="1">
      <c r="Y112" s="340"/>
      <c r="Z112" s="340"/>
      <c r="AA112" s="340"/>
      <c r="AB112" s="340"/>
      <c r="AC112" s="340"/>
      <c r="AD112" s="340"/>
      <c r="AE112" s="340"/>
      <c r="AF112" s="340"/>
      <c r="AG112" s="340"/>
    </row>
    <row r="113" ht="15.75" customHeight="1">
      <c r="Y113" s="340"/>
      <c r="Z113" s="340"/>
      <c r="AA113" s="340"/>
      <c r="AB113" s="340"/>
      <c r="AC113" s="340"/>
      <c r="AD113" s="340"/>
      <c r="AE113" s="340"/>
      <c r="AF113" s="340"/>
      <c r="AG113" s="340"/>
    </row>
    <row r="114" ht="15.75" customHeight="1">
      <c r="Y114" s="340"/>
      <c r="Z114" s="340"/>
      <c r="AA114" s="340"/>
      <c r="AB114" s="340"/>
      <c r="AC114" s="340"/>
      <c r="AD114" s="340"/>
      <c r="AE114" s="340"/>
      <c r="AF114" s="340"/>
      <c r="AG114" s="340"/>
    </row>
    <row r="115" ht="15.75" customHeight="1">
      <c r="Y115" s="340"/>
      <c r="Z115" s="340"/>
      <c r="AA115" s="340"/>
      <c r="AB115" s="340"/>
      <c r="AC115" s="340"/>
      <c r="AD115" s="340"/>
      <c r="AE115" s="340"/>
      <c r="AF115" s="340"/>
      <c r="AG115" s="340"/>
    </row>
    <row r="116" ht="15.75" customHeight="1">
      <c r="Y116" s="340"/>
      <c r="Z116" s="340"/>
      <c r="AA116" s="340"/>
      <c r="AB116" s="340"/>
      <c r="AC116" s="340"/>
      <c r="AD116" s="340"/>
      <c r="AE116" s="340"/>
      <c r="AF116" s="340"/>
      <c r="AG116" s="340"/>
    </row>
    <row r="117" ht="15.75" customHeight="1">
      <c r="Y117" s="340"/>
      <c r="Z117" s="340"/>
      <c r="AA117" s="340"/>
      <c r="AB117" s="340"/>
      <c r="AC117" s="340"/>
      <c r="AD117" s="340"/>
      <c r="AE117" s="340"/>
      <c r="AF117" s="340"/>
      <c r="AG117" s="340"/>
    </row>
    <row r="118" ht="15.75" customHeight="1">
      <c r="Y118" s="340"/>
      <c r="Z118" s="340"/>
      <c r="AA118" s="340"/>
      <c r="AB118" s="340"/>
      <c r="AC118" s="340"/>
      <c r="AD118" s="340"/>
      <c r="AE118" s="340"/>
      <c r="AF118" s="340"/>
      <c r="AG118" s="340"/>
    </row>
    <row r="119" ht="15.75" customHeight="1">
      <c r="Y119" s="340"/>
      <c r="Z119" s="340"/>
      <c r="AA119" s="340"/>
      <c r="AB119" s="340"/>
      <c r="AC119" s="340"/>
      <c r="AD119" s="340"/>
      <c r="AE119" s="340"/>
      <c r="AF119" s="340"/>
      <c r="AG119" s="340"/>
    </row>
    <row r="120" ht="15.75" customHeight="1">
      <c r="Y120" s="340"/>
      <c r="Z120" s="340"/>
      <c r="AA120" s="340"/>
      <c r="AB120" s="340"/>
      <c r="AC120" s="340"/>
      <c r="AD120" s="340"/>
      <c r="AE120" s="340"/>
      <c r="AF120" s="340"/>
      <c r="AG120" s="340"/>
    </row>
    <row r="121" ht="15.75" customHeight="1">
      <c r="Y121" s="340"/>
      <c r="Z121" s="340"/>
      <c r="AA121" s="340"/>
      <c r="AB121" s="340"/>
      <c r="AC121" s="340"/>
      <c r="AD121" s="340"/>
      <c r="AE121" s="340"/>
      <c r="AF121" s="340"/>
      <c r="AG121" s="340"/>
    </row>
    <row r="122" ht="15.75" customHeight="1">
      <c r="Y122" s="340"/>
      <c r="Z122" s="340"/>
      <c r="AA122" s="340"/>
      <c r="AB122" s="340"/>
      <c r="AC122" s="340"/>
      <c r="AD122" s="340"/>
      <c r="AE122" s="340"/>
      <c r="AF122" s="340"/>
      <c r="AG122" s="340"/>
    </row>
    <row r="123" ht="15.75" customHeight="1">
      <c r="Y123" s="340"/>
      <c r="Z123" s="340"/>
      <c r="AA123" s="340"/>
      <c r="AB123" s="340"/>
      <c r="AC123" s="340"/>
      <c r="AD123" s="340"/>
      <c r="AE123" s="340"/>
      <c r="AF123" s="340"/>
      <c r="AG123" s="340"/>
    </row>
    <row r="124" ht="15.75" customHeight="1">
      <c r="Y124" s="340"/>
      <c r="Z124" s="340"/>
      <c r="AA124" s="340"/>
      <c r="AB124" s="340"/>
      <c r="AC124" s="340"/>
      <c r="AD124" s="340"/>
      <c r="AE124" s="340"/>
      <c r="AF124" s="340"/>
      <c r="AG124" s="340"/>
    </row>
    <row r="125" ht="15.75" customHeight="1">
      <c r="Y125" s="340"/>
      <c r="Z125" s="340"/>
      <c r="AA125" s="340"/>
      <c r="AB125" s="340"/>
      <c r="AC125" s="340"/>
      <c r="AD125" s="340"/>
      <c r="AE125" s="340"/>
      <c r="AF125" s="340"/>
      <c r="AG125" s="340"/>
    </row>
    <row r="126" ht="15.75" customHeight="1">
      <c r="Y126" s="340"/>
      <c r="Z126" s="340"/>
      <c r="AA126" s="340"/>
      <c r="AB126" s="340"/>
      <c r="AC126" s="340"/>
      <c r="AD126" s="340"/>
      <c r="AE126" s="340"/>
      <c r="AF126" s="340"/>
      <c r="AG126" s="340"/>
    </row>
    <row r="127" ht="15.75" customHeight="1">
      <c r="A127" s="340"/>
      <c r="B127" s="340"/>
      <c r="C127" s="340"/>
      <c r="D127" s="340"/>
      <c r="E127" s="340"/>
      <c r="F127" s="340"/>
      <c r="G127" s="340"/>
      <c r="H127" s="340"/>
      <c r="I127" s="340"/>
      <c r="J127" s="340"/>
      <c r="K127" s="340"/>
      <c r="L127" s="340"/>
      <c r="M127" s="340"/>
      <c r="N127" s="340"/>
      <c r="O127" s="340"/>
      <c r="P127" s="340"/>
      <c r="Q127" s="340"/>
      <c r="R127" s="340"/>
      <c r="S127" s="340"/>
      <c r="T127" s="340"/>
      <c r="U127" s="340"/>
      <c r="V127" s="340"/>
      <c r="W127" s="340"/>
      <c r="X127" s="340"/>
      <c r="Y127" s="340"/>
      <c r="Z127" s="340"/>
      <c r="AA127" s="340"/>
      <c r="AB127" s="340"/>
      <c r="AC127" s="340"/>
      <c r="AD127" s="340"/>
      <c r="AE127" s="340"/>
      <c r="AF127" s="340"/>
      <c r="AG127" s="340"/>
    </row>
    <row r="128" ht="15.75" customHeight="1">
      <c r="A128" s="340"/>
      <c r="B128" s="340"/>
      <c r="C128" s="340"/>
      <c r="D128" s="340"/>
      <c r="E128" s="340"/>
      <c r="F128" s="340"/>
      <c r="G128" s="340"/>
      <c r="H128" s="340"/>
      <c r="I128" s="340"/>
      <c r="J128" s="340"/>
      <c r="K128" s="340"/>
      <c r="L128" s="340"/>
      <c r="M128" s="340"/>
      <c r="N128" s="340"/>
      <c r="O128" s="340"/>
      <c r="P128" s="340"/>
      <c r="Q128" s="340"/>
      <c r="R128" s="340"/>
      <c r="S128" s="340"/>
      <c r="T128" s="340"/>
      <c r="U128" s="340"/>
      <c r="V128" s="340"/>
      <c r="W128" s="340"/>
      <c r="X128" s="340"/>
      <c r="Y128" s="340"/>
      <c r="Z128" s="340"/>
      <c r="AA128" s="340"/>
      <c r="AB128" s="340"/>
      <c r="AC128" s="340"/>
      <c r="AD128" s="340"/>
      <c r="AE128" s="340"/>
      <c r="AF128" s="340"/>
      <c r="AG128" s="340"/>
    </row>
    <row r="129" ht="15.75" customHeight="1">
      <c r="A129" s="340"/>
      <c r="B129" s="340"/>
      <c r="C129" s="340"/>
      <c r="D129" s="340"/>
      <c r="E129" s="340"/>
      <c r="F129" s="340"/>
      <c r="G129" s="340"/>
      <c r="H129" s="340"/>
      <c r="I129" s="340"/>
      <c r="J129" s="340"/>
      <c r="K129" s="340"/>
      <c r="L129" s="340"/>
      <c r="M129" s="340"/>
      <c r="N129" s="340"/>
      <c r="O129" s="340"/>
      <c r="P129" s="340"/>
      <c r="Q129" s="340"/>
      <c r="R129" s="340"/>
      <c r="S129" s="340"/>
      <c r="T129" s="340"/>
      <c r="U129" s="340"/>
      <c r="V129" s="340"/>
      <c r="W129" s="340"/>
      <c r="X129" s="340"/>
      <c r="Y129" s="340"/>
      <c r="Z129" s="340"/>
      <c r="AA129" s="340"/>
      <c r="AB129" s="340"/>
      <c r="AC129" s="340"/>
      <c r="AD129" s="340"/>
      <c r="AE129" s="340"/>
      <c r="AF129" s="340"/>
      <c r="AG129" s="340"/>
    </row>
    <row r="130" ht="15.75" customHeight="1">
      <c r="A130" s="340"/>
      <c r="B130" s="340"/>
      <c r="C130" s="340"/>
      <c r="D130" s="340"/>
      <c r="E130" s="340"/>
      <c r="F130" s="340"/>
      <c r="G130" s="340"/>
      <c r="H130" s="340"/>
      <c r="I130" s="340"/>
      <c r="J130" s="340"/>
      <c r="K130" s="340"/>
      <c r="L130" s="340"/>
      <c r="M130" s="340"/>
      <c r="N130" s="340"/>
      <c r="O130" s="340"/>
      <c r="P130" s="340"/>
      <c r="Q130" s="340"/>
      <c r="R130" s="340"/>
      <c r="S130" s="340"/>
      <c r="T130" s="340"/>
      <c r="U130" s="340"/>
      <c r="V130" s="340"/>
      <c r="W130" s="340"/>
      <c r="X130" s="340"/>
      <c r="Y130" s="340"/>
      <c r="Z130" s="340"/>
      <c r="AA130" s="340"/>
      <c r="AB130" s="340"/>
      <c r="AC130" s="340"/>
      <c r="AD130" s="340"/>
      <c r="AE130" s="340"/>
      <c r="AF130" s="340"/>
      <c r="AG130" s="340"/>
    </row>
    <row r="131" ht="15.75" customHeight="1">
      <c r="A131" s="340"/>
      <c r="B131" s="340"/>
      <c r="C131" s="340"/>
      <c r="D131" s="340"/>
      <c r="E131" s="340"/>
      <c r="F131" s="340"/>
      <c r="G131" s="340"/>
      <c r="H131" s="340"/>
      <c r="I131" s="340"/>
      <c r="J131" s="340"/>
      <c r="K131" s="340"/>
      <c r="L131" s="340"/>
      <c r="M131" s="340"/>
      <c r="N131" s="340"/>
      <c r="O131" s="340"/>
      <c r="P131" s="340"/>
      <c r="Q131" s="340"/>
      <c r="R131" s="340"/>
      <c r="S131" s="340"/>
      <c r="T131" s="340"/>
      <c r="U131" s="340"/>
      <c r="V131" s="340"/>
      <c r="W131" s="340"/>
      <c r="X131" s="340"/>
      <c r="Y131" s="340"/>
      <c r="Z131" s="340"/>
      <c r="AA131" s="340"/>
      <c r="AB131" s="340"/>
      <c r="AC131" s="340"/>
      <c r="AD131" s="340"/>
      <c r="AE131" s="340"/>
      <c r="AF131" s="340"/>
      <c r="AG131" s="340"/>
    </row>
    <row r="132" ht="15.75" customHeight="1">
      <c r="A132" s="340"/>
      <c r="B132" s="340"/>
      <c r="C132" s="340"/>
      <c r="D132" s="340"/>
      <c r="E132" s="340"/>
      <c r="F132" s="340"/>
      <c r="G132" s="340"/>
      <c r="H132" s="340"/>
      <c r="I132" s="340"/>
      <c r="J132" s="340"/>
      <c r="K132" s="340"/>
      <c r="L132" s="340"/>
      <c r="M132" s="340"/>
      <c r="N132" s="340"/>
      <c r="O132" s="340"/>
      <c r="P132" s="340"/>
      <c r="Q132" s="340"/>
      <c r="R132" s="340"/>
      <c r="S132" s="340"/>
      <c r="T132" s="340"/>
      <c r="U132" s="340"/>
      <c r="V132" s="340"/>
      <c r="W132" s="340"/>
      <c r="X132" s="340"/>
      <c r="Y132" s="340"/>
      <c r="Z132" s="340"/>
      <c r="AA132" s="340"/>
      <c r="AB132" s="340"/>
      <c r="AC132" s="340"/>
      <c r="AD132" s="340"/>
      <c r="AE132" s="340"/>
      <c r="AF132" s="340"/>
      <c r="AG132" s="340"/>
    </row>
    <row r="133" ht="15.75" customHeight="1">
      <c r="A133" s="340"/>
      <c r="B133" s="340"/>
      <c r="C133" s="340"/>
      <c r="D133" s="340"/>
      <c r="E133" s="340"/>
      <c r="F133" s="340"/>
      <c r="G133" s="340"/>
      <c r="H133" s="340"/>
      <c r="I133" s="340"/>
      <c r="J133" s="340"/>
      <c r="K133" s="340"/>
      <c r="L133" s="340"/>
      <c r="M133" s="340"/>
      <c r="N133" s="340"/>
      <c r="O133" s="340"/>
      <c r="P133" s="340"/>
      <c r="Q133" s="340"/>
      <c r="R133" s="340"/>
      <c r="S133" s="340"/>
      <c r="T133" s="340"/>
      <c r="U133" s="340"/>
      <c r="V133" s="340"/>
      <c r="W133" s="340"/>
      <c r="X133" s="340"/>
      <c r="Y133" s="340"/>
      <c r="Z133" s="340"/>
      <c r="AA133" s="340"/>
      <c r="AB133" s="340"/>
      <c r="AC133" s="340"/>
      <c r="AD133" s="340"/>
      <c r="AE133" s="340"/>
      <c r="AF133" s="340"/>
      <c r="AG133" s="340"/>
    </row>
    <row r="134" ht="15.75" customHeight="1">
      <c r="A134" s="340"/>
      <c r="B134" s="340"/>
      <c r="C134" s="340"/>
      <c r="D134" s="340"/>
      <c r="E134" s="340"/>
      <c r="F134" s="340"/>
      <c r="G134" s="340"/>
      <c r="H134" s="340"/>
      <c r="I134" s="340"/>
      <c r="J134" s="340"/>
      <c r="K134" s="340"/>
      <c r="L134" s="340"/>
      <c r="M134" s="340"/>
      <c r="N134" s="340"/>
      <c r="O134" s="340"/>
      <c r="P134" s="340"/>
      <c r="Q134" s="340"/>
      <c r="R134" s="340"/>
      <c r="S134" s="340"/>
      <c r="T134" s="340"/>
      <c r="U134" s="340"/>
      <c r="V134" s="340"/>
      <c r="W134" s="340"/>
      <c r="X134" s="340"/>
      <c r="Y134" s="340"/>
      <c r="Z134" s="340"/>
      <c r="AA134" s="340"/>
      <c r="AB134" s="340"/>
      <c r="AC134" s="340"/>
      <c r="AD134" s="340"/>
      <c r="AE134" s="340"/>
      <c r="AF134" s="340"/>
      <c r="AG134" s="340"/>
    </row>
    <row r="135" ht="15.75" customHeight="1">
      <c r="A135" s="340"/>
      <c r="B135" s="340"/>
      <c r="C135" s="340"/>
      <c r="D135" s="340"/>
      <c r="E135" s="340"/>
      <c r="F135" s="340"/>
      <c r="G135" s="340"/>
      <c r="H135" s="340"/>
      <c r="I135" s="340"/>
      <c r="J135" s="340"/>
      <c r="K135" s="340"/>
      <c r="L135" s="340"/>
      <c r="M135" s="340"/>
      <c r="N135" s="340"/>
      <c r="O135" s="340"/>
      <c r="P135" s="340"/>
      <c r="Q135" s="340"/>
      <c r="R135" s="340"/>
      <c r="S135" s="340"/>
      <c r="T135" s="340"/>
      <c r="U135" s="340"/>
      <c r="V135" s="340"/>
      <c r="W135" s="340"/>
      <c r="X135" s="340"/>
      <c r="Y135" s="340"/>
      <c r="Z135" s="340"/>
      <c r="AA135" s="340"/>
      <c r="AB135" s="340"/>
      <c r="AC135" s="340"/>
      <c r="AD135" s="340"/>
      <c r="AE135" s="340"/>
      <c r="AF135" s="340"/>
      <c r="AG135" s="340"/>
    </row>
    <row r="136" ht="15.75" customHeight="1">
      <c r="A136" s="340"/>
      <c r="B136" s="340"/>
      <c r="C136" s="340"/>
      <c r="D136" s="340"/>
      <c r="E136" s="340"/>
      <c r="F136" s="340"/>
      <c r="G136" s="340"/>
      <c r="H136" s="340"/>
      <c r="I136" s="340"/>
      <c r="J136" s="340"/>
      <c r="K136" s="340"/>
      <c r="L136" s="340"/>
      <c r="M136" s="340"/>
      <c r="N136" s="340"/>
      <c r="O136" s="340"/>
      <c r="P136" s="340"/>
      <c r="Q136" s="340"/>
      <c r="R136" s="340"/>
      <c r="S136" s="340"/>
      <c r="T136" s="340"/>
      <c r="U136" s="340"/>
      <c r="V136" s="340"/>
      <c r="W136" s="340"/>
      <c r="X136" s="340"/>
      <c r="Y136" s="340"/>
      <c r="Z136" s="340"/>
      <c r="AA136" s="340"/>
      <c r="AB136" s="340"/>
      <c r="AC136" s="340"/>
      <c r="AD136" s="340"/>
      <c r="AE136" s="340"/>
      <c r="AF136" s="340"/>
      <c r="AG136" s="340"/>
    </row>
    <row r="137" ht="15.75" customHeight="1">
      <c r="A137" s="340"/>
      <c r="B137" s="340"/>
      <c r="C137" s="340"/>
      <c r="D137" s="340"/>
      <c r="E137" s="340"/>
      <c r="F137" s="340"/>
      <c r="G137" s="340"/>
      <c r="H137" s="340"/>
      <c r="I137" s="340"/>
      <c r="J137" s="340"/>
      <c r="K137" s="340"/>
      <c r="L137" s="340"/>
      <c r="M137" s="340"/>
      <c r="N137" s="340"/>
      <c r="O137" s="340"/>
      <c r="P137" s="340"/>
      <c r="Q137" s="340"/>
      <c r="R137" s="340"/>
      <c r="S137" s="340"/>
      <c r="T137" s="340"/>
      <c r="U137" s="340"/>
      <c r="V137" s="340"/>
      <c r="W137" s="340"/>
      <c r="X137" s="340"/>
      <c r="Y137" s="340"/>
      <c r="Z137" s="340"/>
      <c r="AA137" s="340"/>
      <c r="AB137" s="340"/>
      <c r="AC137" s="340"/>
      <c r="AD137" s="340"/>
      <c r="AE137" s="340"/>
      <c r="AF137" s="340"/>
      <c r="AG137" s="340"/>
    </row>
    <row r="138" ht="15.75" customHeight="1">
      <c r="A138" s="340"/>
      <c r="B138" s="340"/>
      <c r="C138" s="340"/>
      <c r="D138" s="340"/>
      <c r="E138" s="340"/>
      <c r="F138" s="340"/>
      <c r="G138" s="340"/>
      <c r="H138" s="340"/>
      <c r="I138" s="340"/>
      <c r="J138" s="340"/>
      <c r="K138" s="340"/>
      <c r="L138" s="340"/>
      <c r="M138" s="340"/>
      <c r="N138" s="340"/>
      <c r="O138" s="340"/>
      <c r="P138" s="340"/>
      <c r="Q138" s="340"/>
      <c r="R138" s="340"/>
      <c r="S138" s="340"/>
      <c r="T138" s="340"/>
      <c r="U138" s="340"/>
      <c r="V138" s="340"/>
      <c r="W138" s="340"/>
      <c r="X138" s="340"/>
      <c r="Y138" s="340"/>
      <c r="Z138" s="340"/>
      <c r="AA138" s="340"/>
      <c r="AB138" s="340"/>
      <c r="AC138" s="340"/>
      <c r="AD138" s="340"/>
      <c r="AE138" s="340"/>
      <c r="AF138" s="340"/>
      <c r="AG138" s="340"/>
    </row>
    <row r="139" ht="15.75" customHeight="1">
      <c r="A139" s="340"/>
      <c r="B139" s="340"/>
      <c r="C139" s="340"/>
      <c r="D139" s="340"/>
      <c r="E139" s="340"/>
      <c r="F139" s="340"/>
      <c r="G139" s="340"/>
      <c r="H139" s="340"/>
      <c r="I139" s="340"/>
      <c r="J139" s="340"/>
      <c r="K139" s="340"/>
      <c r="L139" s="340"/>
      <c r="M139" s="340"/>
      <c r="N139" s="340"/>
      <c r="O139" s="340"/>
      <c r="P139" s="340"/>
      <c r="Q139" s="340"/>
      <c r="R139" s="340"/>
      <c r="S139" s="340"/>
      <c r="T139" s="340"/>
      <c r="U139" s="340"/>
      <c r="V139" s="340"/>
      <c r="W139" s="340"/>
      <c r="X139" s="340"/>
      <c r="Y139" s="340"/>
      <c r="Z139" s="340"/>
      <c r="AA139" s="340"/>
      <c r="AB139" s="340"/>
      <c r="AC139" s="340"/>
      <c r="AD139" s="340"/>
      <c r="AE139" s="340"/>
      <c r="AF139" s="340"/>
      <c r="AG139" s="340"/>
    </row>
    <row r="140" ht="15.75" customHeight="1">
      <c r="A140" s="340"/>
      <c r="B140" s="340"/>
      <c r="C140" s="340"/>
      <c r="D140" s="340"/>
      <c r="E140" s="340"/>
      <c r="F140" s="340"/>
      <c r="G140" s="340"/>
      <c r="H140" s="340"/>
      <c r="I140" s="340"/>
      <c r="J140" s="340"/>
      <c r="K140" s="340"/>
      <c r="L140" s="340"/>
      <c r="M140" s="340"/>
      <c r="N140" s="340"/>
      <c r="O140" s="340"/>
      <c r="P140" s="340"/>
      <c r="Q140" s="340"/>
      <c r="R140" s="340"/>
      <c r="S140" s="340"/>
      <c r="T140" s="340"/>
      <c r="U140" s="340"/>
      <c r="V140" s="340"/>
      <c r="W140" s="340"/>
      <c r="X140" s="340"/>
      <c r="Y140" s="340"/>
      <c r="Z140" s="340"/>
      <c r="AA140" s="340"/>
      <c r="AB140" s="340"/>
      <c r="AC140" s="340"/>
      <c r="AD140" s="340"/>
      <c r="AE140" s="340"/>
      <c r="AF140" s="340"/>
      <c r="AG140" s="340"/>
    </row>
    <row r="141" ht="15.75" customHeight="1">
      <c r="A141" s="340"/>
      <c r="B141" s="340"/>
      <c r="C141" s="340"/>
      <c r="D141" s="340"/>
      <c r="E141" s="340"/>
      <c r="F141" s="340"/>
      <c r="G141" s="340"/>
      <c r="H141" s="340"/>
      <c r="I141" s="340"/>
      <c r="J141" s="340"/>
      <c r="K141" s="340"/>
      <c r="L141" s="340"/>
      <c r="M141" s="340"/>
      <c r="N141" s="340"/>
      <c r="O141" s="340"/>
      <c r="P141" s="340"/>
      <c r="Q141" s="340"/>
      <c r="R141" s="340"/>
      <c r="S141" s="340"/>
      <c r="T141" s="340"/>
      <c r="U141" s="340"/>
      <c r="V141" s="340"/>
      <c r="W141" s="340"/>
      <c r="X141" s="340"/>
      <c r="Y141" s="340"/>
      <c r="Z141" s="340"/>
      <c r="AA141" s="340"/>
      <c r="AB141" s="340"/>
      <c r="AC141" s="340"/>
      <c r="AD141" s="340"/>
      <c r="AE141" s="340"/>
      <c r="AF141" s="340"/>
      <c r="AG141" s="340"/>
    </row>
    <row r="142" ht="15.75" customHeight="1">
      <c r="A142" s="340"/>
      <c r="B142" s="340"/>
      <c r="C142" s="340"/>
      <c r="D142" s="340"/>
      <c r="E142" s="340"/>
      <c r="F142" s="340"/>
      <c r="G142" s="340"/>
      <c r="H142" s="340"/>
      <c r="I142" s="340"/>
      <c r="J142" s="340"/>
      <c r="K142" s="340"/>
      <c r="L142" s="340"/>
      <c r="M142" s="340"/>
      <c r="N142" s="340"/>
      <c r="O142" s="340"/>
      <c r="P142" s="340"/>
      <c r="Q142" s="340"/>
      <c r="R142" s="340"/>
      <c r="S142" s="340"/>
      <c r="T142" s="340"/>
      <c r="U142" s="340"/>
      <c r="V142" s="340"/>
      <c r="W142" s="340"/>
      <c r="X142" s="340"/>
      <c r="Y142" s="340"/>
      <c r="Z142" s="340"/>
      <c r="AA142" s="340"/>
      <c r="AB142" s="340"/>
      <c r="AC142" s="340"/>
      <c r="AD142" s="340"/>
      <c r="AE142" s="340"/>
      <c r="AF142" s="340"/>
      <c r="AG142" s="340"/>
    </row>
    <row r="143" ht="15.75" customHeight="1">
      <c r="A143" s="340"/>
      <c r="B143" s="340"/>
      <c r="C143" s="340"/>
      <c r="D143" s="340"/>
      <c r="E143" s="340"/>
      <c r="F143" s="340"/>
      <c r="G143" s="340"/>
      <c r="H143" s="340"/>
      <c r="I143" s="340"/>
      <c r="J143" s="340"/>
      <c r="K143" s="340"/>
      <c r="L143" s="340"/>
      <c r="M143" s="340"/>
      <c r="N143" s="340"/>
      <c r="O143" s="340"/>
      <c r="P143" s="340"/>
      <c r="Q143" s="340"/>
      <c r="R143" s="340"/>
      <c r="S143" s="340"/>
      <c r="T143" s="340"/>
      <c r="U143" s="340"/>
      <c r="V143" s="340"/>
      <c r="W143" s="340"/>
      <c r="X143" s="340"/>
      <c r="Y143" s="340"/>
      <c r="Z143" s="340"/>
      <c r="AA143" s="340"/>
      <c r="AB143" s="340"/>
      <c r="AC143" s="340"/>
      <c r="AD143" s="340"/>
      <c r="AE143" s="340"/>
      <c r="AF143" s="340"/>
      <c r="AG143" s="340"/>
    </row>
    <row r="144" ht="15.75" customHeight="1">
      <c r="A144" s="340"/>
      <c r="B144" s="340"/>
      <c r="C144" s="340"/>
      <c r="D144" s="340"/>
      <c r="E144" s="340"/>
      <c r="F144" s="340"/>
      <c r="G144" s="340"/>
      <c r="H144" s="340"/>
      <c r="I144" s="340"/>
      <c r="J144" s="340"/>
      <c r="K144" s="340"/>
      <c r="L144" s="340"/>
      <c r="M144" s="340"/>
      <c r="N144" s="340"/>
      <c r="O144" s="340"/>
      <c r="P144" s="340"/>
      <c r="Q144" s="340"/>
      <c r="R144" s="340"/>
      <c r="S144" s="340"/>
      <c r="T144" s="340"/>
      <c r="U144" s="340"/>
      <c r="V144" s="340"/>
      <c r="W144" s="340"/>
      <c r="X144" s="340"/>
      <c r="Y144" s="340"/>
      <c r="Z144" s="340"/>
      <c r="AA144" s="340"/>
      <c r="AB144" s="340"/>
      <c r="AC144" s="340"/>
      <c r="AD144" s="340"/>
      <c r="AE144" s="340"/>
      <c r="AF144" s="340"/>
      <c r="AG144" s="340"/>
    </row>
    <row r="145" ht="15.75" customHeight="1">
      <c r="A145" s="340"/>
      <c r="B145" s="340"/>
      <c r="C145" s="340"/>
      <c r="D145" s="340"/>
      <c r="E145" s="340"/>
      <c r="F145" s="340"/>
      <c r="G145" s="340"/>
      <c r="H145" s="340"/>
      <c r="I145" s="340"/>
      <c r="J145" s="340"/>
      <c r="K145" s="340"/>
      <c r="L145" s="340"/>
      <c r="M145" s="340"/>
      <c r="N145" s="340"/>
      <c r="O145" s="340"/>
      <c r="P145" s="340"/>
      <c r="Q145" s="340"/>
      <c r="R145" s="340"/>
      <c r="S145" s="340"/>
      <c r="T145" s="340"/>
      <c r="U145" s="340"/>
      <c r="V145" s="340"/>
      <c r="W145" s="340"/>
      <c r="X145" s="340"/>
      <c r="Y145" s="340"/>
      <c r="Z145" s="340"/>
      <c r="AA145" s="340"/>
      <c r="AB145" s="340"/>
      <c r="AC145" s="340"/>
      <c r="AD145" s="340"/>
      <c r="AE145" s="340"/>
      <c r="AF145" s="340"/>
      <c r="AG145" s="340"/>
    </row>
    <row r="146" ht="15.75" customHeight="1">
      <c r="A146" s="340"/>
      <c r="B146" s="340"/>
      <c r="C146" s="340"/>
      <c r="D146" s="340"/>
      <c r="E146" s="340"/>
      <c r="F146" s="340"/>
      <c r="G146" s="340"/>
      <c r="H146" s="340"/>
      <c r="I146" s="340"/>
      <c r="J146" s="340"/>
      <c r="K146" s="340"/>
      <c r="L146" s="340"/>
      <c r="M146" s="340"/>
      <c r="N146" s="340"/>
      <c r="O146" s="340"/>
      <c r="P146" s="340"/>
      <c r="Q146" s="340"/>
      <c r="R146" s="340"/>
      <c r="S146" s="340"/>
      <c r="T146" s="340"/>
      <c r="U146" s="340"/>
      <c r="V146" s="340"/>
      <c r="W146" s="340"/>
      <c r="X146" s="340"/>
      <c r="Y146" s="340"/>
      <c r="Z146" s="340"/>
      <c r="AA146" s="340"/>
      <c r="AB146" s="340"/>
      <c r="AC146" s="340"/>
      <c r="AD146" s="340"/>
      <c r="AE146" s="340"/>
      <c r="AF146" s="340"/>
      <c r="AG146" s="340"/>
    </row>
    <row r="147" ht="15.75" customHeight="1">
      <c r="A147" s="340"/>
      <c r="B147" s="340"/>
      <c r="C147" s="340"/>
      <c r="D147" s="340"/>
      <c r="E147" s="340"/>
      <c r="F147" s="340"/>
      <c r="G147" s="340"/>
      <c r="H147" s="340"/>
      <c r="I147" s="340"/>
      <c r="J147" s="340"/>
      <c r="K147" s="340"/>
      <c r="L147" s="340"/>
      <c r="M147" s="340"/>
      <c r="N147" s="340"/>
      <c r="O147" s="340"/>
      <c r="P147" s="340"/>
      <c r="Q147" s="340"/>
      <c r="R147" s="340"/>
      <c r="S147" s="340"/>
      <c r="T147" s="340"/>
      <c r="U147" s="340"/>
      <c r="V147" s="340"/>
      <c r="W147" s="340"/>
      <c r="X147" s="340"/>
      <c r="Y147" s="340"/>
      <c r="Z147" s="340"/>
      <c r="AA147" s="340"/>
      <c r="AB147" s="340"/>
      <c r="AC147" s="340"/>
      <c r="AD147" s="340"/>
      <c r="AE147" s="340"/>
      <c r="AF147" s="340"/>
      <c r="AG147" s="340"/>
    </row>
    <row r="148" ht="15.75" customHeight="1">
      <c r="A148" s="340"/>
      <c r="B148" s="340"/>
      <c r="C148" s="340"/>
      <c r="D148" s="340"/>
      <c r="E148" s="340"/>
      <c r="F148" s="340"/>
      <c r="G148" s="340"/>
      <c r="H148" s="340"/>
      <c r="I148" s="340"/>
      <c r="J148" s="340"/>
      <c r="K148" s="340"/>
      <c r="L148" s="340"/>
      <c r="M148" s="340"/>
      <c r="N148" s="340"/>
      <c r="O148" s="340"/>
      <c r="P148" s="340"/>
      <c r="Q148" s="340"/>
      <c r="R148" s="340"/>
      <c r="S148" s="340"/>
      <c r="T148" s="340"/>
      <c r="U148" s="340"/>
      <c r="V148" s="340"/>
      <c r="W148" s="340"/>
      <c r="X148" s="340"/>
      <c r="Y148" s="340"/>
      <c r="Z148" s="340"/>
      <c r="AA148" s="340"/>
      <c r="AB148" s="340"/>
      <c r="AC148" s="340"/>
      <c r="AD148" s="340"/>
      <c r="AE148" s="340"/>
      <c r="AF148" s="340"/>
      <c r="AG148" s="340"/>
    </row>
    <row r="149" ht="15.75" customHeight="1">
      <c r="A149" s="340"/>
      <c r="B149" s="340"/>
      <c r="C149" s="340"/>
      <c r="D149" s="340"/>
      <c r="E149" s="340"/>
      <c r="F149" s="340"/>
      <c r="G149" s="340"/>
      <c r="H149" s="340"/>
      <c r="I149" s="340"/>
      <c r="J149" s="340"/>
      <c r="K149" s="340"/>
      <c r="L149" s="340"/>
      <c r="M149" s="340"/>
      <c r="N149" s="340"/>
      <c r="O149" s="340"/>
      <c r="P149" s="340"/>
      <c r="Q149" s="340"/>
      <c r="R149" s="340"/>
      <c r="S149" s="340"/>
      <c r="T149" s="340"/>
      <c r="U149" s="340"/>
      <c r="V149" s="340"/>
      <c r="W149" s="340"/>
      <c r="X149" s="340"/>
      <c r="Y149" s="340"/>
      <c r="Z149" s="340"/>
      <c r="AA149" s="340"/>
      <c r="AB149" s="340"/>
      <c r="AC149" s="340"/>
      <c r="AD149" s="340"/>
      <c r="AE149" s="340"/>
      <c r="AF149" s="340"/>
      <c r="AG149" s="340"/>
    </row>
    <row r="150" ht="15.75" customHeight="1">
      <c r="A150" s="340"/>
      <c r="B150" s="340"/>
      <c r="C150" s="340"/>
      <c r="D150" s="340"/>
      <c r="E150" s="340"/>
      <c r="F150" s="340"/>
      <c r="G150" s="340"/>
      <c r="H150" s="340"/>
      <c r="I150" s="340"/>
      <c r="J150" s="340"/>
      <c r="K150" s="340"/>
      <c r="L150" s="340"/>
      <c r="M150" s="340"/>
      <c r="N150" s="340"/>
      <c r="O150" s="340"/>
      <c r="P150" s="340"/>
      <c r="Q150" s="340"/>
      <c r="R150" s="340"/>
      <c r="S150" s="340"/>
      <c r="T150" s="340"/>
      <c r="U150" s="340"/>
      <c r="V150" s="340"/>
      <c r="W150" s="340"/>
      <c r="X150" s="340"/>
      <c r="Y150" s="340"/>
      <c r="Z150" s="340"/>
      <c r="AA150" s="340"/>
      <c r="AB150" s="340"/>
      <c r="AC150" s="340"/>
      <c r="AD150" s="340"/>
      <c r="AE150" s="340"/>
      <c r="AF150" s="340"/>
      <c r="AG150" s="340"/>
    </row>
    <row r="151" ht="15.75" customHeight="1">
      <c r="A151" s="340"/>
      <c r="B151" s="340"/>
      <c r="C151" s="340"/>
      <c r="D151" s="340"/>
      <c r="E151" s="340"/>
      <c r="F151" s="340"/>
      <c r="G151" s="340"/>
      <c r="H151" s="340"/>
      <c r="I151" s="340"/>
      <c r="J151" s="340"/>
      <c r="K151" s="340"/>
      <c r="L151" s="340"/>
      <c r="M151" s="340"/>
      <c r="N151" s="340"/>
      <c r="O151" s="340"/>
      <c r="P151" s="340"/>
      <c r="Q151" s="340"/>
      <c r="R151" s="340"/>
      <c r="S151" s="340"/>
      <c r="T151" s="340"/>
      <c r="U151" s="340"/>
      <c r="V151" s="340"/>
      <c r="W151" s="340"/>
      <c r="X151" s="340"/>
      <c r="Y151" s="340"/>
      <c r="Z151" s="340"/>
      <c r="AA151" s="340"/>
      <c r="AB151" s="340"/>
      <c r="AC151" s="340"/>
      <c r="AD151" s="340"/>
      <c r="AE151" s="340"/>
      <c r="AF151" s="340"/>
      <c r="AG151" s="340"/>
    </row>
    <row r="152" ht="15.75" customHeight="1">
      <c r="A152" s="340"/>
      <c r="B152" s="340"/>
      <c r="C152" s="340"/>
      <c r="D152" s="340"/>
      <c r="E152" s="340"/>
      <c r="F152" s="340"/>
      <c r="G152" s="340"/>
      <c r="H152" s="340"/>
      <c r="I152" s="340"/>
      <c r="J152" s="340"/>
      <c r="K152" s="340"/>
      <c r="L152" s="340"/>
      <c r="M152" s="340"/>
      <c r="N152" s="340"/>
      <c r="O152" s="340"/>
      <c r="P152" s="340"/>
      <c r="Q152" s="340"/>
      <c r="R152" s="340"/>
      <c r="S152" s="340"/>
      <c r="T152" s="340"/>
      <c r="U152" s="340"/>
      <c r="V152" s="340"/>
      <c r="W152" s="340"/>
      <c r="X152" s="340"/>
      <c r="Y152" s="340"/>
      <c r="Z152" s="340"/>
      <c r="AA152" s="340"/>
      <c r="AB152" s="340"/>
      <c r="AC152" s="340"/>
      <c r="AD152" s="340"/>
      <c r="AE152" s="340"/>
      <c r="AF152" s="340"/>
      <c r="AG152" s="340"/>
    </row>
    <row r="153" ht="15.75" customHeight="1">
      <c r="A153" s="340"/>
      <c r="B153" s="340"/>
      <c r="C153" s="340"/>
      <c r="D153" s="340"/>
      <c r="E153" s="340"/>
      <c r="F153" s="340"/>
      <c r="G153" s="340"/>
      <c r="H153" s="340"/>
      <c r="I153" s="340"/>
      <c r="J153" s="340"/>
      <c r="K153" s="340"/>
      <c r="L153" s="340"/>
      <c r="M153" s="340"/>
      <c r="N153" s="340"/>
      <c r="O153" s="340"/>
      <c r="P153" s="340"/>
      <c r="Q153" s="340"/>
      <c r="R153" s="340"/>
      <c r="S153" s="340"/>
      <c r="T153" s="340"/>
      <c r="U153" s="340"/>
      <c r="V153" s="340"/>
      <c r="W153" s="340"/>
      <c r="X153" s="340"/>
      <c r="Y153" s="340"/>
      <c r="Z153" s="340"/>
      <c r="AA153" s="340"/>
      <c r="AB153" s="340"/>
      <c r="AC153" s="340"/>
      <c r="AD153" s="340"/>
      <c r="AE153" s="340"/>
      <c r="AF153" s="340"/>
      <c r="AG153" s="340"/>
    </row>
    <row r="154" ht="15.75" customHeight="1">
      <c r="A154" s="340"/>
      <c r="B154" s="340"/>
      <c r="C154" s="340"/>
      <c r="D154" s="340"/>
      <c r="E154" s="340"/>
      <c r="F154" s="340"/>
      <c r="G154" s="340"/>
      <c r="H154" s="340"/>
      <c r="I154" s="340"/>
      <c r="J154" s="340"/>
      <c r="K154" s="340"/>
      <c r="L154" s="340"/>
      <c r="M154" s="340"/>
      <c r="N154" s="340"/>
      <c r="O154" s="340"/>
      <c r="P154" s="340"/>
      <c r="Q154" s="340"/>
      <c r="R154" s="340"/>
      <c r="S154" s="340"/>
      <c r="T154" s="340"/>
      <c r="U154" s="340"/>
      <c r="V154" s="340"/>
      <c r="W154" s="340"/>
      <c r="X154" s="340"/>
      <c r="Y154" s="340"/>
      <c r="Z154" s="340"/>
      <c r="AA154" s="340"/>
      <c r="AB154" s="340"/>
      <c r="AC154" s="340"/>
      <c r="AD154" s="340"/>
      <c r="AE154" s="340"/>
      <c r="AF154" s="340"/>
      <c r="AG154" s="340"/>
    </row>
    <row r="155" ht="15.75" customHeight="1">
      <c r="A155" s="340"/>
      <c r="B155" s="340"/>
      <c r="C155" s="340"/>
      <c r="D155" s="340"/>
      <c r="E155" s="340"/>
      <c r="F155" s="340"/>
      <c r="G155" s="340"/>
      <c r="H155" s="340"/>
      <c r="I155" s="340"/>
      <c r="J155" s="340"/>
      <c r="K155" s="340"/>
      <c r="L155" s="340"/>
      <c r="M155" s="340"/>
      <c r="N155" s="340"/>
      <c r="O155" s="340"/>
      <c r="P155" s="340"/>
      <c r="Q155" s="340"/>
      <c r="R155" s="340"/>
      <c r="S155" s="340"/>
      <c r="T155" s="340"/>
      <c r="U155" s="340"/>
      <c r="V155" s="340"/>
      <c r="W155" s="340"/>
      <c r="X155" s="340"/>
      <c r="Y155" s="340"/>
      <c r="Z155" s="340"/>
      <c r="AA155" s="340"/>
      <c r="AB155" s="340"/>
      <c r="AC155" s="340"/>
      <c r="AD155" s="340"/>
      <c r="AE155" s="340"/>
      <c r="AF155" s="340"/>
      <c r="AG155" s="340"/>
    </row>
    <row r="156" ht="15.75" customHeight="1">
      <c r="A156" s="340"/>
      <c r="B156" s="340"/>
      <c r="C156" s="340"/>
      <c r="D156" s="340"/>
      <c r="E156" s="340"/>
      <c r="F156" s="340"/>
      <c r="G156" s="340"/>
      <c r="H156" s="340"/>
      <c r="I156" s="340"/>
      <c r="J156" s="340"/>
      <c r="K156" s="340"/>
      <c r="L156" s="340"/>
      <c r="M156" s="340"/>
      <c r="N156" s="340"/>
      <c r="O156" s="340"/>
      <c r="P156" s="340"/>
      <c r="Q156" s="340"/>
      <c r="R156" s="340"/>
      <c r="S156" s="340"/>
      <c r="T156" s="340"/>
      <c r="U156" s="340"/>
      <c r="V156" s="340"/>
      <c r="W156" s="340"/>
      <c r="X156" s="340"/>
      <c r="Y156" s="340"/>
      <c r="Z156" s="340"/>
      <c r="AA156" s="340"/>
      <c r="AB156" s="340"/>
      <c r="AC156" s="340"/>
      <c r="AD156" s="340"/>
      <c r="AE156" s="340"/>
      <c r="AF156" s="340"/>
      <c r="AG156" s="340"/>
    </row>
    <row r="157" ht="15.75" customHeight="1">
      <c r="A157" s="340"/>
      <c r="B157" s="340"/>
      <c r="C157" s="340"/>
      <c r="D157" s="340"/>
      <c r="E157" s="340"/>
      <c r="F157" s="340"/>
      <c r="G157" s="340"/>
      <c r="H157" s="340"/>
      <c r="I157" s="340"/>
      <c r="J157" s="340"/>
      <c r="K157" s="340"/>
      <c r="L157" s="340"/>
      <c r="M157" s="340"/>
      <c r="N157" s="340"/>
      <c r="O157" s="340"/>
      <c r="P157" s="340"/>
      <c r="Q157" s="340"/>
      <c r="R157" s="340"/>
      <c r="S157" s="340"/>
      <c r="T157" s="340"/>
      <c r="U157" s="340"/>
      <c r="V157" s="340"/>
      <c r="W157" s="340"/>
      <c r="X157" s="340"/>
      <c r="Y157" s="340"/>
      <c r="Z157" s="340"/>
      <c r="AA157" s="340"/>
      <c r="AB157" s="340"/>
      <c r="AC157" s="340"/>
      <c r="AD157" s="340"/>
      <c r="AE157" s="340"/>
      <c r="AF157" s="340"/>
      <c r="AG157" s="340"/>
    </row>
    <row r="158" ht="15.75" customHeight="1">
      <c r="A158" s="340"/>
      <c r="B158" s="340"/>
      <c r="C158" s="340"/>
      <c r="D158" s="340"/>
      <c r="E158" s="340"/>
      <c r="F158" s="340"/>
      <c r="G158" s="340"/>
      <c r="H158" s="340"/>
      <c r="I158" s="340"/>
      <c r="J158" s="340"/>
      <c r="K158" s="340"/>
      <c r="L158" s="340"/>
      <c r="M158" s="340"/>
      <c r="N158" s="340"/>
      <c r="O158" s="340"/>
      <c r="P158" s="340"/>
      <c r="Q158" s="340"/>
      <c r="R158" s="340"/>
      <c r="S158" s="340"/>
      <c r="T158" s="340"/>
      <c r="U158" s="340"/>
      <c r="V158" s="340"/>
      <c r="W158" s="340"/>
      <c r="X158" s="340"/>
      <c r="Y158" s="340"/>
      <c r="Z158" s="340"/>
      <c r="AA158" s="340"/>
      <c r="AB158" s="340"/>
      <c r="AC158" s="340"/>
      <c r="AD158" s="340"/>
      <c r="AE158" s="340"/>
      <c r="AF158" s="340"/>
      <c r="AG158" s="340"/>
    </row>
    <row r="159" ht="15.75" customHeight="1">
      <c r="A159" s="340"/>
      <c r="B159" s="340"/>
      <c r="C159" s="340"/>
      <c r="D159" s="340"/>
      <c r="E159" s="340"/>
      <c r="F159" s="340"/>
      <c r="G159" s="340"/>
      <c r="H159" s="340"/>
      <c r="I159" s="340"/>
      <c r="J159" s="340"/>
      <c r="K159" s="340"/>
      <c r="L159" s="340"/>
      <c r="M159" s="340"/>
      <c r="N159" s="340"/>
      <c r="O159" s="340"/>
      <c r="P159" s="340"/>
      <c r="Q159" s="340"/>
      <c r="R159" s="340"/>
      <c r="S159" s="340"/>
      <c r="T159" s="340"/>
      <c r="U159" s="340"/>
      <c r="V159" s="340"/>
      <c r="W159" s="340"/>
      <c r="X159" s="340"/>
      <c r="Y159" s="340"/>
      <c r="Z159" s="340"/>
      <c r="AA159" s="340"/>
      <c r="AB159" s="340"/>
      <c r="AC159" s="340"/>
      <c r="AD159" s="340"/>
      <c r="AE159" s="340"/>
      <c r="AF159" s="340"/>
      <c r="AG159" s="340"/>
    </row>
    <row r="160" ht="15.75" customHeight="1">
      <c r="A160" s="340"/>
      <c r="B160" s="340"/>
      <c r="C160" s="340"/>
      <c r="D160" s="340"/>
      <c r="E160" s="340"/>
      <c r="F160" s="340"/>
      <c r="G160" s="340"/>
      <c r="H160" s="340"/>
      <c r="I160" s="340"/>
      <c r="J160" s="340"/>
      <c r="K160" s="340"/>
      <c r="L160" s="340"/>
      <c r="M160" s="340"/>
      <c r="N160" s="340"/>
      <c r="O160" s="340"/>
      <c r="P160" s="340"/>
      <c r="Q160" s="340"/>
      <c r="R160" s="340"/>
      <c r="S160" s="340"/>
      <c r="T160" s="340"/>
      <c r="U160" s="340"/>
      <c r="V160" s="340"/>
      <c r="W160" s="340"/>
      <c r="X160" s="340"/>
      <c r="Y160" s="340"/>
      <c r="Z160" s="340"/>
      <c r="AA160" s="340"/>
      <c r="AB160" s="340"/>
      <c r="AC160" s="340"/>
      <c r="AD160" s="340"/>
      <c r="AE160" s="340"/>
      <c r="AF160" s="340"/>
      <c r="AG160" s="340"/>
    </row>
    <row r="161" ht="15.75" customHeight="1">
      <c r="A161" s="340"/>
      <c r="B161" s="340"/>
      <c r="C161" s="340"/>
      <c r="D161" s="340"/>
      <c r="E161" s="340"/>
      <c r="F161" s="340"/>
      <c r="G161" s="340"/>
      <c r="H161" s="340"/>
      <c r="I161" s="340"/>
      <c r="J161" s="340"/>
      <c r="K161" s="340"/>
      <c r="L161" s="340"/>
      <c r="M161" s="340"/>
      <c r="N161" s="340"/>
      <c r="O161" s="340"/>
      <c r="P161" s="340"/>
      <c r="Q161" s="340"/>
      <c r="R161" s="340"/>
      <c r="S161" s="340"/>
      <c r="T161" s="340"/>
      <c r="U161" s="340"/>
      <c r="V161" s="340"/>
      <c r="W161" s="340"/>
      <c r="X161" s="340"/>
      <c r="Y161" s="340"/>
      <c r="Z161" s="340"/>
      <c r="AA161" s="340"/>
      <c r="AB161" s="340"/>
      <c r="AC161" s="340"/>
      <c r="AD161" s="340"/>
      <c r="AE161" s="340"/>
      <c r="AF161" s="340"/>
      <c r="AG161" s="340"/>
    </row>
    <row r="162" ht="15.75" customHeight="1">
      <c r="A162" s="340"/>
      <c r="B162" s="340"/>
      <c r="C162" s="340"/>
      <c r="D162" s="340"/>
      <c r="E162" s="340"/>
      <c r="F162" s="340"/>
      <c r="G162" s="340"/>
      <c r="H162" s="340"/>
      <c r="I162" s="340"/>
      <c r="J162" s="340"/>
      <c r="K162" s="340"/>
      <c r="L162" s="340"/>
      <c r="M162" s="340"/>
      <c r="N162" s="340"/>
      <c r="O162" s="340"/>
      <c r="P162" s="340"/>
      <c r="Q162" s="340"/>
      <c r="R162" s="340"/>
      <c r="S162" s="340"/>
      <c r="T162" s="340"/>
      <c r="U162" s="340"/>
      <c r="V162" s="340"/>
      <c r="W162" s="340"/>
      <c r="X162" s="340"/>
      <c r="Y162" s="340"/>
      <c r="Z162" s="340"/>
      <c r="AA162" s="340"/>
      <c r="AB162" s="340"/>
      <c r="AC162" s="340"/>
      <c r="AD162" s="340"/>
      <c r="AE162" s="340"/>
      <c r="AF162" s="340"/>
      <c r="AG162" s="340"/>
    </row>
    <row r="163" ht="15.75" customHeight="1">
      <c r="A163" s="340"/>
      <c r="B163" s="340"/>
      <c r="C163" s="340"/>
      <c r="D163" s="340"/>
      <c r="E163" s="340"/>
      <c r="F163" s="340"/>
      <c r="G163" s="340"/>
      <c r="H163" s="340"/>
      <c r="I163" s="340"/>
      <c r="J163" s="340"/>
      <c r="K163" s="340"/>
      <c r="L163" s="340"/>
      <c r="M163" s="340"/>
      <c r="N163" s="340"/>
      <c r="O163" s="340"/>
      <c r="P163" s="340"/>
      <c r="Q163" s="340"/>
      <c r="R163" s="340"/>
      <c r="S163" s="340"/>
      <c r="T163" s="340"/>
      <c r="U163" s="340"/>
      <c r="V163" s="340"/>
      <c r="W163" s="340"/>
      <c r="X163" s="340"/>
      <c r="Y163" s="340"/>
      <c r="Z163" s="340"/>
      <c r="AA163" s="340"/>
      <c r="AB163" s="340"/>
      <c r="AC163" s="340"/>
      <c r="AD163" s="340"/>
      <c r="AE163" s="340"/>
      <c r="AF163" s="340"/>
      <c r="AG163" s="340"/>
    </row>
    <row r="164" ht="15.75" customHeight="1">
      <c r="A164" s="340"/>
      <c r="B164" s="340"/>
      <c r="C164" s="340"/>
      <c r="D164" s="340"/>
      <c r="E164" s="340"/>
      <c r="F164" s="340"/>
      <c r="G164" s="340"/>
      <c r="H164" s="340"/>
      <c r="I164" s="340"/>
      <c r="J164" s="340"/>
      <c r="K164" s="340"/>
      <c r="L164" s="340"/>
      <c r="M164" s="340"/>
      <c r="N164" s="340"/>
      <c r="O164" s="340"/>
      <c r="P164" s="340"/>
      <c r="Q164" s="340"/>
      <c r="R164" s="340"/>
      <c r="S164" s="340"/>
      <c r="T164" s="340"/>
      <c r="U164" s="340"/>
      <c r="V164" s="340"/>
      <c r="W164" s="340"/>
      <c r="X164" s="340"/>
      <c r="Y164" s="340"/>
      <c r="Z164" s="340"/>
      <c r="AA164" s="340"/>
      <c r="AB164" s="340"/>
      <c r="AC164" s="340"/>
      <c r="AD164" s="340"/>
      <c r="AE164" s="340"/>
      <c r="AF164" s="340"/>
      <c r="AG164" s="340"/>
    </row>
    <row r="165" ht="15.75" customHeight="1">
      <c r="A165" s="340"/>
      <c r="B165" s="340"/>
      <c r="C165" s="340"/>
      <c r="D165" s="340"/>
      <c r="E165" s="340"/>
      <c r="F165" s="340"/>
      <c r="G165" s="340"/>
      <c r="H165" s="340"/>
      <c r="I165" s="340"/>
      <c r="J165" s="340"/>
      <c r="K165" s="340"/>
      <c r="L165" s="340"/>
      <c r="M165" s="340"/>
      <c r="N165" s="340"/>
      <c r="O165" s="340"/>
      <c r="P165" s="340"/>
      <c r="Q165" s="340"/>
      <c r="R165" s="340"/>
      <c r="S165" s="340"/>
      <c r="T165" s="340"/>
      <c r="U165" s="340"/>
      <c r="V165" s="340"/>
      <c r="W165" s="340"/>
      <c r="X165" s="340"/>
      <c r="Y165" s="340"/>
      <c r="Z165" s="340"/>
      <c r="AA165" s="340"/>
      <c r="AB165" s="340"/>
      <c r="AC165" s="340"/>
      <c r="AD165" s="340"/>
      <c r="AE165" s="340"/>
      <c r="AF165" s="340"/>
      <c r="AG165" s="340"/>
    </row>
    <row r="166" ht="15.75" customHeight="1">
      <c r="A166" s="340"/>
      <c r="B166" s="340"/>
      <c r="C166" s="340"/>
      <c r="D166" s="340"/>
      <c r="E166" s="340"/>
      <c r="F166" s="340"/>
      <c r="G166" s="340"/>
      <c r="H166" s="340"/>
      <c r="I166" s="340"/>
      <c r="J166" s="340"/>
      <c r="K166" s="340"/>
      <c r="L166" s="340"/>
      <c r="M166" s="340"/>
      <c r="N166" s="340"/>
      <c r="O166" s="340"/>
      <c r="P166" s="340"/>
      <c r="Q166" s="340"/>
      <c r="R166" s="340"/>
      <c r="S166" s="340"/>
      <c r="T166" s="340"/>
      <c r="U166" s="340"/>
      <c r="V166" s="340"/>
      <c r="W166" s="340"/>
      <c r="X166" s="340"/>
      <c r="Y166" s="340"/>
      <c r="Z166" s="340"/>
      <c r="AA166" s="340"/>
      <c r="AB166" s="340"/>
      <c r="AC166" s="340"/>
      <c r="AD166" s="340"/>
      <c r="AE166" s="340"/>
      <c r="AF166" s="340"/>
      <c r="AG166" s="340"/>
    </row>
    <row r="167" ht="15.75" customHeight="1">
      <c r="A167" s="340"/>
      <c r="B167" s="340"/>
      <c r="C167" s="340"/>
      <c r="D167" s="340"/>
      <c r="E167" s="340"/>
      <c r="F167" s="340"/>
      <c r="G167" s="340"/>
      <c r="H167" s="340"/>
      <c r="I167" s="340"/>
      <c r="J167" s="340"/>
      <c r="K167" s="340"/>
      <c r="L167" s="340"/>
      <c r="M167" s="340"/>
      <c r="N167" s="340"/>
      <c r="O167" s="340"/>
      <c r="P167" s="340"/>
      <c r="Q167" s="340"/>
      <c r="R167" s="340"/>
      <c r="S167" s="340"/>
      <c r="T167" s="340"/>
      <c r="U167" s="340"/>
      <c r="V167" s="340"/>
      <c r="W167" s="340"/>
      <c r="X167" s="340"/>
      <c r="Y167" s="340"/>
      <c r="Z167" s="340"/>
      <c r="AA167" s="340"/>
      <c r="AB167" s="340"/>
      <c r="AC167" s="340"/>
      <c r="AD167" s="340"/>
      <c r="AE167" s="340"/>
      <c r="AF167" s="340"/>
      <c r="AG167" s="340"/>
    </row>
    <row r="168" ht="15.75" customHeight="1">
      <c r="A168" s="340"/>
      <c r="B168" s="340"/>
      <c r="C168" s="340"/>
      <c r="D168" s="340"/>
      <c r="E168" s="340"/>
      <c r="F168" s="340"/>
      <c r="G168" s="340"/>
      <c r="H168" s="340"/>
      <c r="I168" s="340"/>
      <c r="J168" s="340"/>
      <c r="K168" s="340"/>
      <c r="L168" s="340"/>
      <c r="M168" s="340"/>
      <c r="N168" s="340"/>
      <c r="O168" s="340"/>
      <c r="P168" s="340"/>
      <c r="Q168" s="340"/>
      <c r="R168" s="340"/>
      <c r="S168" s="340"/>
      <c r="T168" s="340"/>
      <c r="U168" s="340"/>
      <c r="V168" s="340"/>
      <c r="W168" s="340"/>
      <c r="X168" s="340"/>
      <c r="Y168" s="340"/>
      <c r="Z168" s="340"/>
      <c r="AA168" s="340"/>
      <c r="AB168" s="340"/>
      <c r="AC168" s="340"/>
      <c r="AD168" s="340"/>
      <c r="AE168" s="340"/>
      <c r="AF168" s="340"/>
      <c r="AG168" s="340"/>
    </row>
    <row r="169" ht="15.75" customHeight="1">
      <c r="A169" s="340"/>
      <c r="B169" s="340"/>
      <c r="C169" s="340"/>
      <c r="D169" s="340"/>
      <c r="E169" s="340"/>
      <c r="F169" s="340"/>
      <c r="G169" s="340"/>
      <c r="H169" s="340"/>
      <c r="I169" s="340"/>
      <c r="J169" s="340"/>
      <c r="K169" s="340"/>
      <c r="L169" s="340"/>
      <c r="M169" s="340"/>
      <c r="N169" s="340"/>
      <c r="O169" s="340"/>
      <c r="P169" s="340"/>
      <c r="Q169" s="340"/>
      <c r="R169" s="340"/>
      <c r="S169" s="340"/>
      <c r="T169" s="340"/>
      <c r="U169" s="340"/>
      <c r="V169" s="340"/>
      <c r="W169" s="340"/>
      <c r="X169" s="340"/>
      <c r="Y169" s="340"/>
      <c r="Z169" s="340"/>
      <c r="AA169" s="340"/>
      <c r="AB169" s="340"/>
      <c r="AC169" s="340"/>
      <c r="AD169" s="340"/>
      <c r="AE169" s="340"/>
      <c r="AF169" s="340"/>
      <c r="AG169" s="340"/>
    </row>
    <row r="170" ht="15.75" customHeight="1">
      <c r="A170" s="340"/>
      <c r="B170" s="340"/>
      <c r="C170" s="340"/>
      <c r="D170" s="340"/>
      <c r="E170" s="340"/>
      <c r="F170" s="340"/>
      <c r="G170" s="340"/>
      <c r="H170" s="340"/>
      <c r="I170" s="340"/>
      <c r="J170" s="340"/>
      <c r="K170" s="340"/>
      <c r="L170" s="340"/>
      <c r="M170" s="340"/>
      <c r="N170" s="340"/>
      <c r="O170" s="340"/>
      <c r="P170" s="340"/>
      <c r="Q170" s="340"/>
      <c r="R170" s="340"/>
      <c r="S170" s="340"/>
      <c r="T170" s="340"/>
      <c r="U170" s="340"/>
      <c r="V170" s="340"/>
      <c r="W170" s="340"/>
      <c r="X170" s="340"/>
      <c r="Y170" s="340"/>
      <c r="Z170" s="340"/>
      <c r="AA170" s="340"/>
      <c r="AB170" s="340"/>
      <c r="AC170" s="340"/>
      <c r="AD170" s="340"/>
      <c r="AE170" s="340"/>
      <c r="AF170" s="340"/>
      <c r="AG170" s="340"/>
    </row>
    <row r="171" ht="15.75" customHeight="1">
      <c r="A171" s="340"/>
      <c r="B171" s="340"/>
      <c r="C171" s="340"/>
      <c r="D171" s="340"/>
      <c r="E171" s="340"/>
      <c r="F171" s="340"/>
      <c r="G171" s="340"/>
      <c r="H171" s="340"/>
      <c r="I171" s="340"/>
      <c r="J171" s="340"/>
      <c r="K171" s="340"/>
      <c r="L171" s="340"/>
      <c r="M171" s="340"/>
      <c r="N171" s="340"/>
      <c r="O171" s="340"/>
      <c r="P171" s="340"/>
      <c r="Q171" s="340"/>
      <c r="R171" s="340"/>
      <c r="S171" s="340"/>
      <c r="T171" s="340"/>
      <c r="U171" s="340"/>
      <c r="V171" s="340"/>
      <c r="W171" s="340"/>
      <c r="X171" s="340"/>
      <c r="Y171" s="340"/>
      <c r="Z171" s="340"/>
      <c r="AA171" s="340"/>
      <c r="AB171" s="340"/>
      <c r="AC171" s="340"/>
      <c r="AD171" s="340"/>
      <c r="AE171" s="340"/>
      <c r="AF171" s="340"/>
      <c r="AG171" s="340"/>
    </row>
    <row r="172" ht="15.75" customHeight="1">
      <c r="A172" s="340"/>
      <c r="B172" s="340"/>
      <c r="C172" s="340"/>
      <c r="D172" s="340"/>
      <c r="E172" s="340"/>
      <c r="F172" s="340"/>
      <c r="G172" s="340"/>
      <c r="H172" s="340"/>
      <c r="I172" s="340"/>
      <c r="J172" s="340"/>
      <c r="K172" s="340"/>
      <c r="L172" s="340"/>
      <c r="M172" s="340"/>
      <c r="N172" s="340"/>
      <c r="O172" s="340"/>
      <c r="P172" s="340"/>
      <c r="Q172" s="340"/>
      <c r="R172" s="340"/>
      <c r="S172" s="340"/>
      <c r="T172" s="340"/>
      <c r="U172" s="340"/>
      <c r="V172" s="340"/>
      <c r="W172" s="340"/>
      <c r="X172" s="340"/>
      <c r="Y172" s="340"/>
      <c r="Z172" s="340"/>
      <c r="AA172" s="340"/>
      <c r="AB172" s="340"/>
      <c r="AC172" s="340"/>
      <c r="AD172" s="340"/>
      <c r="AE172" s="340"/>
      <c r="AF172" s="340"/>
      <c r="AG172" s="340"/>
    </row>
    <row r="173" ht="15.75" customHeight="1">
      <c r="A173" s="340"/>
      <c r="B173" s="340"/>
      <c r="C173" s="340"/>
      <c r="D173" s="340"/>
      <c r="E173" s="340"/>
      <c r="F173" s="340"/>
      <c r="G173" s="340"/>
      <c r="H173" s="340"/>
      <c r="I173" s="340"/>
      <c r="J173" s="340"/>
      <c r="K173" s="340"/>
      <c r="L173" s="340"/>
      <c r="M173" s="340"/>
      <c r="N173" s="340"/>
      <c r="O173" s="340"/>
      <c r="P173" s="340"/>
      <c r="Q173" s="340"/>
      <c r="R173" s="340"/>
      <c r="S173" s="340"/>
      <c r="T173" s="340"/>
      <c r="U173" s="340"/>
      <c r="V173" s="340"/>
      <c r="W173" s="340"/>
      <c r="X173" s="340"/>
      <c r="Y173" s="340"/>
      <c r="Z173" s="340"/>
      <c r="AA173" s="340"/>
      <c r="AB173" s="340"/>
      <c r="AC173" s="340"/>
      <c r="AD173" s="340"/>
      <c r="AE173" s="340"/>
      <c r="AF173" s="340"/>
      <c r="AG173" s="340"/>
    </row>
    <row r="174" ht="15.75" customHeight="1">
      <c r="A174" s="340"/>
      <c r="B174" s="340"/>
      <c r="C174" s="340"/>
      <c r="D174" s="340"/>
      <c r="E174" s="340"/>
      <c r="F174" s="340"/>
      <c r="G174" s="340"/>
      <c r="H174" s="340"/>
      <c r="I174" s="340"/>
      <c r="J174" s="340"/>
      <c r="K174" s="340"/>
      <c r="L174" s="340"/>
      <c r="M174" s="340"/>
      <c r="N174" s="340"/>
      <c r="O174" s="340"/>
      <c r="P174" s="340"/>
      <c r="Q174" s="340"/>
      <c r="R174" s="340"/>
      <c r="S174" s="340"/>
      <c r="T174" s="340"/>
      <c r="U174" s="340"/>
      <c r="V174" s="340"/>
      <c r="W174" s="340"/>
      <c r="X174" s="340"/>
      <c r="Y174" s="340"/>
      <c r="Z174" s="340"/>
      <c r="AA174" s="340"/>
      <c r="AB174" s="340"/>
      <c r="AC174" s="340"/>
      <c r="AD174" s="340"/>
      <c r="AE174" s="340"/>
      <c r="AF174" s="340"/>
      <c r="AG174" s="340"/>
    </row>
    <row r="175" ht="15.75" customHeight="1">
      <c r="A175" s="340"/>
      <c r="B175" s="340"/>
      <c r="C175" s="340"/>
      <c r="D175" s="340"/>
      <c r="E175" s="340"/>
      <c r="F175" s="340"/>
      <c r="G175" s="340"/>
      <c r="H175" s="340"/>
      <c r="I175" s="340"/>
      <c r="J175" s="340"/>
      <c r="K175" s="340"/>
      <c r="L175" s="340"/>
      <c r="M175" s="340"/>
      <c r="N175" s="340"/>
      <c r="O175" s="340"/>
      <c r="P175" s="340"/>
      <c r="Q175" s="340"/>
      <c r="R175" s="340"/>
      <c r="S175" s="340"/>
      <c r="T175" s="340"/>
      <c r="U175" s="340"/>
      <c r="V175" s="340"/>
      <c r="W175" s="340"/>
      <c r="X175" s="340"/>
      <c r="Y175" s="340"/>
      <c r="Z175" s="340"/>
      <c r="AA175" s="340"/>
      <c r="AB175" s="340"/>
      <c r="AC175" s="340"/>
      <c r="AD175" s="340"/>
      <c r="AE175" s="340"/>
      <c r="AF175" s="340"/>
      <c r="AG175" s="340"/>
    </row>
    <row r="176" ht="15.75" customHeight="1">
      <c r="A176" s="340"/>
      <c r="B176" s="340"/>
      <c r="C176" s="340"/>
      <c r="D176" s="340"/>
      <c r="E176" s="340"/>
      <c r="F176" s="340"/>
      <c r="G176" s="340"/>
      <c r="H176" s="340"/>
      <c r="I176" s="340"/>
      <c r="J176" s="340"/>
      <c r="K176" s="340"/>
      <c r="L176" s="340"/>
      <c r="M176" s="340"/>
      <c r="N176" s="340"/>
      <c r="O176" s="340"/>
      <c r="P176" s="340"/>
      <c r="Q176" s="340"/>
      <c r="R176" s="340"/>
      <c r="S176" s="340"/>
      <c r="T176" s="340"/>
      <c r="U176" s="340"/>
      <c r="V176" s="340"/>
      <c r="W176" s="340"/>
      <c r="X176" s="340"/>
      <c r="Y176" s="340"/>
      <c r="Z176" s="340"/>
      <c r="AA176" s="340"/>
      <c r="AB176" s="340"/>
      <c r="AC176" s="340"/>
      <c r="AD176" s="340"/>
      <c r="AE176" s="340"/>
      <c r="AF176" s="340"/>
      <c r="AG176" s="340"/>
    </row>
    <row r="177" ht="15.75" customHeight="1">
      <c r="A177" s="340"/>
      <c r="B177" s="340"/>
      <c r="C177" s="340"/>
      <c r="D177" s="340"/>
      <c r="E177" s="340"/>
      <c r="F177" s="340"/>
      <c r="G177" s="340"/>
      <c r="H177" s="340"/>
      <c r="I177" s="340"/>
      <c r="J177" s="340"/>
      <c r="K177" s="340"/>
      <c r="L177" s="340"/>
      <c r="M177" s="340"/>
      <c r="N177" s="340"/>
      <c r="O177" s="340"/>
      <c r="P177" s="340"/>
      <c r="Q177" s="340"/>
      <c r="R177" s="340"/>
      <c r="S177" s="340"/>
      <c r="T177" s="340"/>
      <c r="U177" s="340"/>
      <c r="V177" s="340"/>
      <c r="W177" s="340"/>
      <c r="X177" s="340"/>
      <c r="Y177" s="340"/>
      <c r="Z177" s="340"/>
      <c r="AA177" s="340"/>
      <c r="AB177" s="340"/>
      <c r="AC177" s="340"/>
      <c r="AD177" s="340"/>
      <c r="AE177" s="340"/>
      <c r="AF177" s="340"/>
      <c r="AG177" s="340"/>
    </row>
    <row r="178" ht="15.75" customHeight="1">
      <c r="A178" s="340"/>
      <c r="B178" s="340"/>
      <c r="C178" s="340"/>
      <c r="D178" s="340"/>
      <c r="E178" s="340"/>
      <c r="F178" s="340"/>
      <c r="G178" s="340"/>
      <c r="H178" s="340"/>
      <c r="I178" s="340"/>
      <c r="J178" s="340"/>
      <c r="K178" s="340"/>
      <c r="L178" s="340"/>
      <c r="M178" s="340"/>
      <c r="N178" s="340"/>
      <c r="O178" s="340"/>
      <c r="P178" s="340"/>
      <c r="Q178" s="340"/>
      <c r="R178" s="340"/>
      <c r="S178" s="340"/>
      <c r="T178" s="340"/>
      <c r="U178" s="340"/>
      <c r="V178" s="340"/>
      <c r="W178" s="340"/>
      <c r="X178" s="340"/>
      <c r="Y178" s="340"/>
      <c r="Z178" s="340"/>
      <c r="AA178" s="340"/>
      <c r="AB178" s="340"/>
      <c r="AC178" s="340"/>
      <c r="AD178" s="340"/>
      <c r="AE178" s="340"/>
      <c r="AF178" s="340"/>
      <c r="AG178" s="340"/>
    </row>
    <row r="179" ht="15.75" customHeight="1">
      <c r="A179" s="340"/>
      <c r="B179" s="340"/>
      <c r="C179" s="340"/>
      <c r="D179" s="340"/>
      <c r="E179" s="340"/>
      <c r="F179" s="340"/>
      <c r="G179" s="340"/>
      <c r="H179" s="340"/>
      <c r="I179" s="340"/>
      <c r="J179" s="340"/>
      <c r="K179" s="340"/>
      <c r="L179" s="340"/>
      <c r="M179" s="340"/>
      <c r="N179" s="340"/>
      <c r="O179" s="340"/>
      <c r="P179" s="340"/>
      <c r="Q179" s="340"/>
      <c r="R179" s="340"/>
      <c r="S179" s="340"/>
      <c r="T179" s="340"/>
      <c r="U179" s="340"/>
      <c r="V179" s="340"/>
      <c r="W179" s="340"/>
      <c r="X179" s="340"/>
      <c r="Y179" s="340"/>
      <c r="Z179" s="340"/>
      <c r="AA179" s="340"/>
      <c r="AB179" s="340"/>
      <c r="AC179" s="340"/>
      <c r="AD179" s="340"/>
      <c r="AE179" s="340"/>
      <c r="AF179" s="340"/>
      <c r="AG179" s="340"/>
    </row>
    <row r="180" ht="15.75" customHeight="1">
      <c r="A180" s="340"/>
      <c r="B180" s="340"/>
      <c r="C180" s="340"/>
      <c r="D180" s="340"/>
      <c r="E180" s="340"/>
      <c r="F180" s="340"/>
      <c r="G180" s="340"/>
      <c r="H180" s="340"/>
      <c r="I180" s="340"/>
      <c r="J180" s="340"/>
      <c r="K180" s="340"/>
      <c r="L180" s="340"/>
      <c r="M180" s="340"/>
      <c r="N180" s="340"/>
      <c r="O180" s="340"/>
      <c r="P180" s="340"/>
      <c r="Q180" s="340"/>
      <c r="R180" s="340"/>
      <c r="S180" s="340"/>
      <c r="T180" s="340"/>
      <c r="U180" s="340"/>
      <c r="V180" s="340"/>
      <c r="W180" s="340"/>
      <c r="X180" s="340"/>
      <c r="Y180" s="340"/>
      <c r="Z180" s="340"/>
      <c r="AA180" s="340"/>
      <c r="AB180" s="340"/>
      <c r="AC180" s="340"/>
      <c r="AD180" s="340"/>
      <c r="AE180" s="340"/>
      <c r="AF180" s="340"/>
      <c r="AG180" s="340"/>
    </row>
    <row r="181" ht="15.75" customHeight="1">
      <c r="A181" s="340"/>
      <c r="B181" s="340"/>
      <c r="C181" s="340"/>
      <c r="D181" s="340"/>
      <c r="E181" s="340"/>
      <c r="F181" s="340"/>
      <c r="G181" s="340"/>
      <c r="H181" s="340"/>
      <c r="I181" s="340"/>
      <c r="J181" s="340"/>
      <c r="K181" s="340"/>
      <c r="L181" s="340"/>
      <c r="M181" s="340"/>
      <c r="N181" s="340"/>
      <c r="O181" s="340"/>
      <c r="P181" s="340"/>
      <c r="Q181" s="340"/>
      <c r="R181" s="340"/>
      <c r="S181" s="340"/>
      <c r="T181" s="340"/>
      <c r="U181" s="340"/>
      <c r="V181" s="340"/>
      <c r="W181" s="340"/>
      <c r="X181" s="340"/>
      <c r="Y181" s="340"/>
      <c r="Z181" s="340"/>
      <c r="AA181" s="340"/>
      <c r="AB181" s="340"/>
      <c r="AC181" s="340"/>
      <c r="AD181" s="340"/>
      <c r="AE181" s="340"/>
      <c r="AF181" s="340"/>
      <c r="AG181" s="340"/>
    </row>
    <row r="182" ht="15.75" customHeight="1">
      <c r="A182" s="340"/>
      <c r="B182" s="340"/>
      <c r="C182" s="340"/>
      <c r="D182" s="340"/>
      <c r="E182" s="340"/>
      <c r="F182" s="340"/>
      <c r="G182" s="340"/>
      <c r="H182" s="340"/>
      <c r="I182" s="340"/>
      <c r="J182" s="340"/>
      <c r="K182" s="340"/>
      <c r="L182" s="340"/>
      <c r="M182" s="340"/>
      <c r="N182" s="340"/>
      <c r="O182" s="340"/>
      <c r="P182" s="340"/>
      <c r="Q182" s="340"/>
      <c r="R182" s="340"/>
      <c r="S182" s="340"/>
      <c r="T182" s="340"/>
      <c r="U182" s="340"/>
      <c r="V182" s="340"/>
      <c r="W182" s="340"/>
      <c r="X182" s="340"/>
      <c r="Y182" s="340"/>
      <c r="Z182" s="340"/>
      <c r="AA182" s="340"/>
      <c r="AB182" s="340"/>
      <c r="AC182" s="340"/>
      <c r="AD182" s="340"/>
      <c r="AE182" s="340"/>
      <c r="AF182" s="340"/>
      <c r="AG182" s="340"/>
    </row>
    <row r="183" ht="15.75" customHeight="1">
      <c r="A183" s="340"/>
      <c r="B183" s="340"/>
      <c r="C183" s="340"/>
      <c r="D183" s="340"/>
      <c r="E183" s="340"/>
      <c r="F183" s="340"/>
      <c r="G183" s="340"/>
      <c r="H183" s="340"/>
      <c r="I183" s="340"/>
      <c r="J183" s="340"/>
      <c r="K183" s="340"/>
      <c r="L183" s="340"/>
      <c r="M183" s="340"/>
      <c r="N183" s="340"/>
      <c r="O183" s="340"/>
      <c r="P183" s="340"/>
      <c r="Q183" s="340"/>
      <c r="R183" s="340"/>
      <c r="S183" s="340"/>
      <c r="T183" s="340"/>
      <c r="U183" s="340"/>
      <c r="V183" s="340"/>
      <c r="W183" s="340"/>
      <c r="X183" s="340"/>
      <c r="Y183" s="340"/>
      <c r="Z183" s="340"/>
      <c r="AA183" s="340"/>
      <c r="AB183" s="340"/>
      <c r="AC183" s="340"/>
      <c r="AD183" s="340"/>
      <c r="AE183" s="340"/>
      <c r="AF183" s="340"/>
      <c r="AG183" s="340"/>
    </row>
    <row r="184" ht="15.75" customHeight="1">
      <c r="A184" s="340"/>
      <c r="B184" s="340"/>
      <c r="C184" s="340"/>
      <c r="D184" s="340"/>
      <c r="E184" s="340"/>
      <c r="F184" s="340"/>
      <c r="G184" s="340"/>
      <c r="H184" s="340"/>
      <c r="I184" s="340"/>
      <c r="J184" s="340"/>
      <c r="K184" s="340"/>
      <c r="L184" s="340"/>
      <c r="M184" s="340"/>
      <c r="N184" s="340"/>
      <c r="O184" s="340"/>
      <c r="P184" s="340"/>
      <c r="Q184" s="340"/>
      <c r="R184" s="340"/>
      <c r="S184" s="340"/>
      <c r="T184" s="340"/>
      <c r="U184" s="340"/>
      <c r="V184" s="340"/>
      <c r="W184" s="340"/>
      <c r="X184" s="340"/>
      <c r="Y184" s="340"/>
      <c r="Z184" s="340"/>
      <c r="AA184" s="340"/>
      <c r="AB184" s="340"/>
      <c r="AC184" s="340"/>
      <c r="AD184" s="340"/>
      <c r="AE184" s="340"/>
      <c r="AF184" s="340"/>
      <c r="AG184" s="340"/>
    </row>
    <row r="185" ht="15.75" customHeight="1">
      <c r="A185" s="340"/>
      <c r="B185" s="340"/>
      <c r="C185" s="340"/>
      <c r="D185" s="340"/>
      <c r="E185" s="340"/>
      <c r="F185" s="340"/>
      <c r="G185" s="340"/>
      <c r="H185" s="340"/>
      <c r="I185" s="340"/>
      <c r="J185" s="340"/>
      <c r="K185" s="340"/>
      <c r="L185" s="340"/>
      <c r="M185" s="340"/>
      <c r="N185" s="340"/>
      <c r="O185" s="340"/>
      <c r="P185" s="340"/>
      <c r="Q185" s="340"/>
      <c r="R185" s="340"/>
      <c r="S185" s="340"/>
      <c r="T185" s="340"/>
      <c r="U185" s="340"/>
      <c r="V185" s="340"/>
      <c r="W185" s="340"/>
      <c r="X185" s="340"/>
      <c r="Y185" s="340"/>
      <c r="Z185" s="340"/>
      <c r="AA185" s="340"/>
      <c r="AB185" s="340"/>
      <c r="AC185" s="340"/>
      <c r="AD185" s="340"/>
      <c r="AE185" s="340"/>
      <c r="AF185" s="340"/>
      <c r="AG185" s="340"/>
    </row>
    <row r="186" ht="15.75" customHeight="1">
      <c r="A186" s="340"/>
      <c r="B186" s="340"/>
      <c r="C186" s="340"/>
      <c r="D186" s="340"/>
      <c r="E186" s="340"/>
      <c r="F186" s="340"/>
      <c r="G186" s="340"/>
      <c r="H186" s="340"/>
      <c r="I186" s="340"/>
      <c r="J186" s="340"/>
      <c r="K186" s="340"/>
      <c r="L186" s="340"/>
      <c r="M186" s="340"/>
      <c r="N186" s="340"/>
      <c r="O186" s="340"/>
      <c r="P186" s="340"/>
      <c r="Q186" s="340"/>
      <c r="R186" s="340"/>
      <c r="S186" s="340"/>
      <c r="T186" s="340"/>
      <c r="U186" s="340"/>
      <c r="V186" s="340"/>
      <c r="W186" s="340"/>
      <c r="X186" s="340"/>
      <c r="Y186" s="340"/>
      <c r="Z186" s="340"/>
      <c r="AA186" s="340"/>
      <c r="AB186" s="340"/>
      <c r="AC186" s="340"/>
      <c r="AD186" s="340"/>
      <c r="AE186" s="340"/>
      <c r="AF186" s="340"/>
      <c r="AG186" s="340"/>
    </row>
    <row r="187" ht="15.75" customHeight="1">
      <c r="A187" s="340"/>
      <c r="B187" s="340"/>
      <c r="C187" s="340"/>
      <c r="D187" s="340"/>
      <c r="E187" s="340"/>
      <c r="F187" s="340"/>
      <c r="G187" s="340"/>
      <c r="H187" s="340"/>
      <c r="I187" s="340"/>
      <c r="J187" s="340"/>
      <c r="K187" s="340"/>
      <c r="L187" s="340"/>
      <c r="M187" s="340"/>
      <c r="N187" s="340"/>
      <c r="O187" s="340"/>
      <c r="P187" s="340"/>
      <c r="Q187" s="340"/>
      <c r="R187" s="340"/>
      <c r="S187" s="340"/>
      <c r="T187" s="340"/>
      <c r="U187" s="340"/>
      <c r="V187" s="340"/>
      <c r="W187" s="340"/>
      <c r="X187" s="340"/>
      <c r="Y187" s="340"/>
      <c r="Z187" s="340"/>
      <c r="AA187" s="340"/>
      <c r="AB187" s="340"/>
      <c r="AC187" s="340"/>
      <c r="AD187" s="340"/>
      <c r="AE187" s="340"/>
      <c r="AF187" s="340"/>
      <c r="AG187" s="340"/>
    </row>
    <row r="188" ht="15.75" customHeight="1">
      <c r="A188" s="340"/>
      <c r="B188" s="340"/>
      <c r="C188" s="340"/>
      <c r="D188" s="340"/>
      <c r="E188" s="340"/>
      <c r="F188" s="340"/>
      <c r="G188" s="340"/>
      <c r="H188" s="340"/>
      <c r="I188" s="340"/>
      <c r="J188" s="340"/>
      <c r="K188" s="340"/>
      <c r="L188" s="340"/>
      <c r="M188" s="340"/>
      <c r="N188" s="340"/>
      <c r="O188" s="340"/>
      <c r="P188" s="340"/>
      <c r="Q188" s="340"/>
      <c r="R188" s="340"/>
      <c r="S188" s="340"/>
      <c r="T188" s="340"/>
      <c r="U188" s="340"/>
      <c r="V188" s="340"/>
      <c r="W188" s="340"/>
      <c r="X188" s="340"/>
      <c r="Y188" s="340"/>
      <c r="Z188" s="340"/>
      <c r="AA188" s="340"/>
      <c r="AB188" s="340"/>
      <c r="AC188" s="340"/>
      <c r="AD188" s="340"/>
      <c r="AE188" s="340"/>
      <c r="AF188" s="340"/>
      <c r="AG188" s="340"/>
    </row>
    <row r="189" ht="15.75" customHeight="1">
      <c r="A189" s="340"/>
      <c r="B189" s="340"/>
      <c r="C189" s="340"/>
      <c r="D189" s="340"/>
      <c r="E189" s="340"/>
      <c r="F189" s="340"/>
      <c r="G189" s="340"/>
      <c r="H189" s="340"/>
      <c r="I189" s="340"/>
      <c r="J189" s="340"/>
      <c r="K189" s="340"/>
      <c r="L189" s="340"/>
      <c r="M189" s="340"/>
      <c r="N189" s="340"/>
      <c r="O189" s="340"/>
      <c r="P189" s="340"/>
      <c r="Q189" s="340"/>
      <c r="R189" s="340"/>
      <c r="S189" s="340"/>
      <c r="T189" s="340"/>
      <c r="U189" s="340"/>
      <c r="V189" s="340"/>
      <c r="W189" s="340"/>
      <c r="X189" s="340"/>
      <c r="Y189" s="340"/>
      <c r="Z189" s="340"/>
      <c r="AA189" s="340"/>
      <c r="AB189" s="340"/>
      <c r="AC189" s="340"/>
      <c r="AD189" s="340"/>
      <c r="AE189" s="340"/>
      <c r="AF189" s="340"/>
      <c r="AG189" s="340"/>
    </row>
    <row r="190" ht="15.75" customHeight="1">
      <c r="A190" s="340"/>
      <c r="B190" s="340"/>
      <c r="C190" s="340"/>
      <c r="D190" s="340"/>
      <c r="E190" s="340"/>
      <c r="F190" s="340"/>
      <c r="G190" s="340"/>
      <c r="H190" s="340"/>
      <c r="I190" s="340"/>
      <c r="J190" s="340"/>
      <c r="K190" s="340"/>
      <c r="L190" s="340"/>
      <c r="M190" s="340"/>
      <c r="N190" s="340"/>
      <c r="O190" s="340"/>
      <c r="P190" s="340"/>
      <c r="Q190" s="340"/>
      <c r="R190" s="340"/>
      <c r="S190" s="340"/>
      <c r="T190" s="340"/>
      <c r="U190" s="340"/>
      <c r="V190" s="340"/>
      <c r="W190" s="340"/>
      <c r="X190" s="340"/>
      <c r="Y190" s="340"/>
      <c r="Z190" s="340"/>
      <c r="AA190" s="340"/>
      <c r="AB190" s="340"/>
      <c r="AC190" s="340"/>
      <c r="AD190" s="340"/>
      <c r="AE190" s="340"/>
      <c r="AF190" s="340"/>
      <c r="AG190" s="340"/>
    </row>
    <row r="191" ht="15.75" customHeight="1">
      <c r="A191" s="340"/>
      <c r="B191" s="340"/>
      <c r="C191" s="340"/>
      <c r="D191" s="340"/>
      <c r="E191" s="340"/>
      <c r="F191" s="340"/>
      <c r="G191" s="340"/>
      <c r="H191" s="340"/>
      <c r="I191" s="340"/>
      <c r="J191" s="340"/>
      <c r="K191" s="340"/>
      <c r="L191" s="340"/>
      <c r="M191" s="340"/>
      <c r="N191" s="340"/>
      <c r="O191" s="340"/>
      <c r="P191" s="340"/>
      <c r="Q191" s="340"/>
      <c r="R191" s="340"/>
      <c r="S191" s="340"/>
      <c r="T191" s="340"/>
      <c r="U191" s="340"/>
      <c r="V191" s="340"/>
      <c r="W191" s="340"/>
      <c r="X191" s="340"/>
      <c r="Y191" s="340"/>
      <c r="Z191" s="340"/>
      <c r="AA191" s="340"/>
      <c r="AB191" s="340"/>
      <c r="AC191" s="340"/>
      <c r="AD191" s="340"/>
      <c r="AE191" s="340"/>
      <c r="AF191" s="340"/>
      <c r="AG191" s="340"/>
    </row>
    <row r="192" ht="15.75" customHeight="1">
      <c r="A192" s="340"/>
      <c r="B192" s="340"/>
      <c r="C192" s="340"/>
      <c r="D192" s="340"/>
      <c r="E192" s="340"/>
      <c r="F192" s="340"/>
      <c r="G192" s="340"/>
      <c r="H192" s="340"/>
      <c r="I192" s="340"/>
      <c r="J192" s="340"/>
      <c r="K192" s="340"/>
      <c r="L192" s="340"/>
      <c r="M192" s="340"/>
      <c r="N192" s="340"/>
      <c r="O192" s="340"/>
      <c r="P192" s="340"/>
      <c r="Q192" s="340"/>
      <c r="R192" s="340"/>
      <c r="S192" s="340"/>
      <c r="T192" s="340"/>
      <c r="U192" s="340"/>
      <c r="V192" s="340"/>
      <c r="W192" s="340"/>
      <c r="X192" s="340"/>
      <c r="Y192" s="340"/>
      <c r="Z192" s="340"/>
      <c r="AA192" s="340"/>
      <c r="AB192" s="340"/>
      <c r="AC192" s="340"/>
      <c r="AD192" s="340"/>
      <c r="AE192" s="340"/>
      <c r="AF192" s="340"/>
      <c r="AG192" s="340"/>
    </row>
    <row r="193" ht="15.75" customHeight="1">
      <c r="A193" s="340"/>
      <c r="B193" s="340"/>
      <c r="C193" s="340"/>
      <c r="D193" s="340"/>
      <c r="E193" s="340"/>
      <c r="F193" s="340"/>
      <c r="G193" s="340"/>
      <c r="H193" s="340"/>
      <c r="I193" s="340"/>
      <c r="J193" s="340"/>
      <c r="K193" s="340"/>
      <c r="L193" s="340"/>
      <c r="M193" s="340"/>
      <c r="N193" s="340"/>
      <c r="O193" s="340"/>
      <c r="P193" s="340"/>
      <c r="Q193" s="340"/>
      <c r="R193" s="340"/>
      <c r="S193" s="340"/>
      <c r="T193" s="340"/>
      <c r="U193" s="340"/>
      <c r="V193" s="340"/>
      <c r="W193" s="340"/>
      <c r="X193" s="340"/>
      <c r="Y193" s="340"/>
      <c r="Z193" s="340"/>
      <c r="AA193" s="340"/>
      <c r="AB193" s="340"/>
      <c r="AC193" s="340"/>
      <c r="AD193" s="340"/>
      <c r="AE193" s="340"/>
      <c r="AF193" s="340"/>
      <c r="AG193" s="340"/>
    </row>
    <row r="194" ht="15.75" customHeight="1">
      <c r="A194" s="340"/>
      <c r="B194" s="340"/>
      <c r="C194" s="340"/>
      <c r="D194" s="340"/>
      <c r="E194" s="340"/>
      <c r="F194" s="340"/>
      <c r="G194" s="340"/>
      <c r="H194" s="340"/>
      <c r="I194" s="340"/>
      <c r="J194" s="340"/>
      <c r="K194" s="340"/>
      <c r="L194" s="340"/>
      <c r="M194" s="340"/>
      <c r="N194" s="340"/>
      <c r="O194" s="340"/>
      <c r="P194" s="340"/>
      <c r="Q194" s="340"/>
      <c r="R194" s="340"/>
      <c r="S194" s="340"/>
      <c r="T194" s="340"/>
      <c r="U194" s="340"/>
      <c r="V194" s="340"/>
      <c r="W194" s="340"/>
      <c r="X194" s="340"/>
      <c r="Y194" s="340"/>
      <c r="Z194" s="340"/>
      <c r="AA194" s="340"/>
      <c r="AB194" s="340"/>
      <c r="AC194" s="340"/>
      <c r="AD194" s="340"/>
      <c r="AE194" s="340"/>
      <c r="AF194" s="340"/>
      <c r="AG194" s="340"/>
    </row>
    <row r="195" ht="15.75" customHeight="1">
      <c r="A195" s="340"/>
      <c r="B195" s="340"/>
      <c r="C195" s="340"/>
      <c r="D195" s="340"/>
      <c r="E195" s="340"/>
      <c r="F195" s="340"/>
      <c r="G195" s="340"/>
      <c r="H195" s="340"/>
      <c r="I195" s="340"/>
      <c r="J195" s="340"/>
      <c r="K195" s="340"/>
      <c r="L195" s="340"/>
      <c r="M195" s="340"/>
      <c r="N195" s="340"/>
      <c r="O195" s="340"/>
      <c r="P195" s="340"/>
      <c r="Q195" s="340"/>
      <c r="R195" s="340"/>
      <c r="S195" s="340"/>
      <c r="T195" s="340"/>
      <c r="U195" s="340"/>
      <c r="V195" s="340"/>
      <c r="W195" s="340"/>
      <c r="X195" s="340"/>
      <c r="Y195" s="340"/>
      <c r="Z195" s="340"/>
      <c r="AA195" s="340"/>
      <c r="AB195" s="340"/>
      <c r="AC195" s="340"/>
      <c r="AD195" s="340"/>
      <c r="AE195" s="340"/>
      <c r="AF195" s="340"/>
      <c r="AG195" s="340"/>
    </row>
    <row r="196" ht="15.75" customHeight="1">
      <c r="A196" s="340"/>
      <c r="B196" s="340"/>
      <c r="C196" s="340"/>
      <c r="D196" s="340"/>
      <c r="E196" s="340"/>
      <c r="F196" s="340"/>
      <c r="G196" s="340"/>
      <c r="H196" s="340"/>
      <c r="I196" s="340"/>
      <c r="J196" s="340"/>
      <c r="K196" s="340"/>
      <c r="L196" s="340"/>
      <c r="M196" s="340"/>
      <c r="N196" s="340"/>
      <c r="O196" s="340"/>
      <c r="P196" s="340"/>
      <c r="Q196" s="340"/>
      <c r="R196" s="340"/>
      <c r="S196" s="340"/>
      <c r="T196" s="340"/>
      <c r="U196" s="340"/>
      <c r="V196" s="340"/>
      <c r="W196" s="340"/>
      <c r="X196" s="340"/>
      <c r="Y196" s="340"/>
      <c r="Z196" s="340"/>
      <c r="AA196" s="340"/>
      <c r="AB196" s="340"/>
      <c r="AC196" s="340"/>
      <c r="AD196" s="340"/>
      <c r="AE196" s="340"/>
      <c r="AF196" s="340"/>
      <c r="AG196" s="340"/>
    </row>
    <row r="197" ht="15.75" customHeight="1">
      <c r="A197" s="340"/>
      <c r="B197" s="340"/>
      <c r="C197" s="340"/>
      <c r="D197" s="340"/>
      <c r="E197" s="340"/>
      <c r="F197" s="340"/>
      <c r="G197" s="340"/>
      <c r="H197" s="340"/>
      <c r="I197" s="340"/>
      <c r="J197" s="340"/>
      <c r="K197" s="340"/>
      <c r="L197" s="340"/>
      <c r="M197" s="340"/>
      <c r="N197" s="340"/>
      <c r="O197" s="340"/>
      <c r="P197" s="340"/>
      <c r="Q197" s="340"/>
      <c r="R197" s="340"/>
      <c r="S197" s="340"/>
      <c r="T197" s="340"/>
      <c r="U197" s="340"/>
      <c r="V197" s="340"/>
      <c r="W197" s="340"/>
      <c r="X197" s="340"/>
      <c r="Y197" s="340"/>
      <c r="Z197" s="340"/>
      <c r="AA197" s="340"/>
      <c r="AB197" s="340"/>
      <c r="AC197" s="340"/>
      <c r="AD197" s="340"/>
      <c r="AE197" s="340"/>
      <c r="AF197" s="340"/>
      <c r="AG197" s="340"/>
    </row>
    <row r="198" ht="15.75" customHeight="1">
      <c r="A198" s="340"/>
      <c r="B198" s="340"/>
      <c r="C198" s="340"/>
      <c r="D198" s="340"/>
      <c r="E198" s="340"/>
      <c r="F198" s="340"/>
      <c r="G198" s="340"/>
      <c r="H198" s="340"/>
      <c r="I198" s="340"/>
      <c r="J198" s="340"/>
      <c r="K198" s="340"/>
      <c r="L198" s="340"/>
      <c r="M198" s="340"/>
      <c r="N198" s="340"/>
      <c r="O198" s="340"/>
      <c r="P198" s="340"/>
      <c r="Q198" s="340"/>
      <c r="R198" s="340"/>
      <c r="S198" s="340"/>
      <c r="T198" s="340"/>
      <c r="U198" s="340"/>
      <c r="V198" s="340"/>
      <c r="W198" s="340"/>
      <c r="X198" s="340"/>
      <c r="Y198" s="340"/>
      <c r="Z198" s="340"/>
      <c r="AA198" s="340"/>
      <c r="AB198" s="340"/>
      <c r="AC198" s="340"/>
      <c r="AD198" s="340"/>
      <c r="AE198" s="340"/>
      <c r="AF198" s="340"/>
      <c r="AG198" s="340"/>
    </row>
    <row r="199" ht="15.75" customHeight="1">
      <c r="A199" s="340"/>
      <c r="B199" s="340"/>
      <c r="C199" s="340"/>
      <c r="D199" s="340"/>
      <c r="E199" s="340"/>
      <c r="F199" s="340"/>
      <c r="G199" s="340"/>
      <c r="H199" s="340"/>
      <c r="I199" s="340"/>
      <c r="J199" s="340"/>
      <c r="K199" s="340"/>
      <c r="L199" s="340"/>
      <c r="M199" s="340"/>
      <c r="N199" s="340"/>
      <c r="O199" s="340"/>
      <c r="P199" s="340"/>
      <c r="Q199" s="340"/>
      <c r="R199" s="340"/>
      <c r="S199" s="340"/>
      <c r="T199" s="340"/>
      <c r="U199" s="340"/>
      <c r="V199" s="340"/>
      <c r="W199" s="340"/>
      <c r="X199" s="340"/>
      <c r="Y199" s="340"/>
      <c r="Z199" s="340"/>
      <c r="AA199" s="340"/>
      <c r="AB199" s="340"/>
      <c r="AC199" s="340"/>
      <c r="AD199" s="340"/>
      <c r="AE199" s="340"/>
      <c r="AF199" s="340"/>
      <c r="AG199" s="340"/>
    </row>
    <row r="200" ht="15.75" customHeight="1">
      <c r="A200" s="340"/>
      <c r="B200" s="340"/>
      <c r="C200" s="340"/>
      <c r="D200" s="340"/>
      <c r="E200" s="340"/>
      <c r="F200" s="340"/>
      <c r="G200" s="340"/>
      <c r="H200" s="340"/>
      <c r="I200" s="340"/>
      <c r="J200" s="340"/>
      <c r="K200" s="340"/>
      <c r="L200" s="340"/>
      <c r="M200" s="340"/>
      <c r="N200" s="340"/>
      <c r="O200" s="340"/>
      <c r="P200" s="340"/>
      <c r="Q200" s="340"/>
      <c r="R200" s="340"/>
      <c r="S200" s="340"/>
      <c r="T200" s="340"/>
      <c r="U200" s="340"/>
      <c r="V200" s="340"/>
      <c r="W200" s="340"/>
      <c r="X200" s="340"/>
      <c r="Y200" s="340"/>
      <c r="Z200" s="340"/>
      <c r="AA200" s="340"/>
      <c r="AB200" s="340"/>
      <c r="AC200" s="340"/>
      <c r="AD200" s="340"/>
      <c r="AE200" s="340"/>
      <c r="AF200" s="340"/>
      <c r="AG200" s="340"/>
    </row>
    <row r="201" ht="15.75" customHeight="1">
      <c r="A201" s="340"/>
      <c r="B201" s="340"/>
      <c r="C201" s="340"/>
      <c r="D201" s="340"/>
      <c r="E201" s="340"/>
      <c r="F201" s="340"/>
      <c r="G201" s="340"/>
      <c r="H201" s="340"/>
      <c r="I201" s="340"/>
      <c r="J201" s="340"/>
      <c r="K201" s="340"/>
      <c r="L201" s="340"/>
      <c r="M201" s="340"/>
      <c r="N201" s="340"/>
      <c r="O201" s="340"/>
      <c r="P201" s="340"/>
      <c r="Q201" s="340"/>
      <c r="R201" s="340"/>
      <c r="S201" s="340"/>
      <c r="T201" s="340"/>
      <c r="U201" s="340"/>
      <c r="V201" s="340"/>
      <c r="W201" s="340"/>
      <c r="X201" s="340"/>
      <c r="Y201" s="340"/>
      <c r="Z201" s="340"/>
      <c r="AA201" s="340"/>
      <c r="AB201" s="340"/>
      <c r="AC201" s="340"/>
      <c r="AD201" s="340"/>
      <c r="AE201" s="340"/>
      <c r="AF201" s="340"/>
      <c r="AG201" s="340"/>
    </row>
    <row r="202" ht="15.75" customHeight="1">
      <c r="A202" s="340"/>
      <c r="B202" s="340"/>
      <c r="C202" s="340"/>
      <c r="D202" s="340"/>
      <c r="E202" s="340"/>
      <c r="F202" s="340"/>
      <c r="G202" s="340"/>
      <c r="H202" s="340"/>
      <c r="I202" s="340"/>
      <c r="J202" s="340"/>
      <c r="K202" s="340"/>
      <c r="L202" s="340"/>
      <c r="M202" s="340"/>
      <c r="N202" s="340"/>
      <c r="O202" s="340"/>
      <c r="P202" s="340"/>
      <c r="Q202" s="340"/>
      <c r="R202" s="340"/>
      <c r="S202" s="340"/>
      <c r="T202" s="340"/>
      <c r="U202" s="340"/>
      <c r="V202" s="340"/>
      <c r="W202" s="340"/>
      <c r="X202" s="340"/>
      <c r="Y202" s="340"/>
      <c r="Z202" s="340"/>
      <c r="AA202" s="340"/>
      <c r="AB202" s="340"/>
      <c r="AC202" s="340"/>
      <c r="AD202" s="340"/>
      <c r="AE202" s="340"/>
      <c r="AF202" s="340"/>
      <c r="AG202" s="340"/>
    </row>
    <row r="203" ht="15.75" customHeight="1">
      <c r="A203" s="340"/>
      <c r="B203" s="340"/>
      <c r="C203" s="340"/>
      <c r="D203" s="340"/>
      <c r="E203" s="340"/>
      <c r="F203" s="340"/>
      <c r="G203" s="340"/>
      <c r="H203" s="340"/>
      <c r="I203" s="340"/>
      <c r="J203" s="340"/>
      <c r="K203" s="340"/>
      <c r="L203" s="340"/>
      <c r="M203" s="340"/>
      <c r="N203" s="340"/>
      <c r="O203" s="340"/>
      <c r="P203" s="340"/>
      <c r="Q203" s="340"/>
      <c r="R203" s="340"/>
      <c r="S203" s="340"/>
      <c r="T203" s="340"/>
      <c r="U203" s="340"/>
      <c r="V203" s="340"/>
      <c r="W203" s="340"/>
      <c r="X203" s="340"/>
      <c r="Y203" s="340"/>
      <c r="Z203" s="340"/>
      <c r="AA203" s="340"/>
      <c r="AB203" s="340"/>
      <c r="AC203" s="340"/>
      <c r="AD203" s="340"/>
      <c r="AE203" s="340"/>
      <c r="AF203" s="340"/>
      <c r="AG203" s="340"/>
    </row>
    <row r="204" ht="15.75" customHeight="1">
      <c r="A204" s="340"/>
      <c r="B204" s="340"/>
      <c r="C204" s="340"/>
      <c r="D204" s="340"/>
      <c r="E204" s="340"/>
      <c r="F204" s="340"/>
      <c r="G204" s="340"/>
      <c r="H204" s="340"/>
      <c r="I204" s="340"/>
      <c r="J204" s="340"/>
      <c r="K204" s="340"/>
      <c r="L204" s="340"/>
      <c r="M204" s="340"/>
      <c r="N204" s="340"/>
      <c r="O204" s="340"/>
      <c r="P204" s="340"/>
      <c r="Q204" s="340"/>
      <c r="R204" s="340"/>
      <c r="S204" s="340"/>
      <c r="T204" s="340"/>
      <c r="U204" s="340"/>
      <c r="V204" s="340"/>
      <c r="W204" s="340"/>
      <c r="X204" s="340"/>
      <c r="Y204" s="340"/>
      <c r="Z204" s="340"/>
      <c r="AA204" s="340"/>
      <c r="AB204" s="340"/>
      <c r="AC204" s="340"/>
      <c r="AD204" s="340"/>
      <c r="AE204" s="340"/>
      <c r="AF204" s="340"/>
      <c r="AG204" s="340"/>
    </row>
    <row r="205" ht="15.75" customHeight="1">
      <c r="A205" s="340"/>
      <c r="B205" s="340"/>
      <c r="C205" s="340"/>
      <c r="D205" s="340"/>
      <c r="E205" s="340"/>
      <c r="F205" s="340"/>
      <c r="G205" s="340"/>
      <c r="H205" s="340"/>
      <c r="I205" s="340"/>
      <c r="J205" s="340"/>
      <c r="K205" s="340"/>
      <c r="L205" s="340"/>
      <c r="M205" s="340"/>
      <c r="N205" s="340"/>
      <c r="O205" s="340"/>
      <c r="P205" s="340"/>
      <c r="Q205" s="340"/>
      <c r="R205" s="340"/>
      <c r="S205" s="340"/>
      <c r="T205" s="340"/>
      <c r="U205" s="340"/>
      <c r="V205" s="340"/>
      <c r="W205" s="340"/>
      <c r="X205" s="340"/>
      <c r="Y205" s="340"/>
      <c r="Z205" s="340"/>
      <c r="AA205" s="340"/>
      <c r="AB205" s="340"/>
      <c r="AC205" s="340"/>
      <c r="AD205" s="340"/>
      <c r="AE205" s="340"/>
      <c r="AF205" s="340"/>
      <c r="AG205" s="340"/>
    </row>
    <row r="206" ht="15.75" customHeight="1">
      <c r="A206" s="340"/>
      <c r="B206" s="340"/>
      <c r="C206" s="340"/>
      <c r="D206" s="340"/>
      <c r="E206" s="340"/>
      <c r="F206" s="340"/>
      <c r="G206" s="340"/>
      <c r="H206" s="340"/>
      <c r="I206" s="340"/>
      <c r="J206" s="340"/>
      <c r="K206" s="340"/>
      <c r="L206" s="340"/>
      <c r="M206" s="340"/>
      <c r="N206" s="340"/>
      <c r="O206" s="340"/>
      <c r="P206" s="340"/>
      <c r="Q206" s="340"/>
      <c r="R206" s="340"/>
      <c r="S206" s="340"/>
      <c r="T206" s="340"/>
      <c r="U206" s="340"/>
      <c r="V206" s="340"/>
      <c r="W206" s="340"/>
      <c r="X206" s="340"/>
      <c r="Y206" s="340"/>
      <c r="Z206" s="340"/>
      <c r="AA206" s="340"/>
      <c r="AB206" s="340"/>
      <c r="AC206" s="340"/>
      <c r="AD206" s="340"/>
      <c r="AE206" s="340"/>
      <c r="AF206" s="340"/>
      <c r="AG206" s="340"/>
    </row>
    <row r="207" ht="15.75" customHeight="1">
      <c r="A207" s="340"/>
      <c r="B207" s="340"/>
      <c r="C207" s="340"/>
      <c r="D207" s="340"/>
      <c r="E207" s="340"/>
      <c r="F207" s="340"/>
      <c r="G207" s="340"/>
      <c r="H207" s="340"/>
      <c r="I207" s="340"/>
      <c r="J207" s="340"/>
      <c r="K207" s="340"/>
      <c r="L207" s="340"/>
      <c r="M207" s="340"/>
      <c r="N207" s="340"/>
      <c r="O207" s="340"/>
      <c r="P207" s="340"/>
      <c r="Q207" s="340"/>
      <c r="R207" s="340"/>
      <c r="S207" s="340"/>
      <c r="T207" s="340"/>
      <c r="U207" s="340"/>
      <c r="V207" s="340"/>
      <c r="W207" s="340"/>
      <c r="X207" s="340"/>
      <c r="Y207" s="340"/>
      <c r="Z207" s="340"/>
      <c r="AA207" s="340"/>
      <c r="AB207" s="340"/>
      <c r="AC207" s="340"/>
      <c r="AD207" s="340"/>
      <c r="AE207" s="340"/>
      <c r="AF207" s="340"/>
      <c r="AG207" s="340"/>
    </row>
    <row r="208" ht="15.75" customHeight="1">
      <c r="A208" s="340"/>
      <c r="B208" s="340"/>
      <c r="C208" s="340"/>
      <c r="D208" s="340"/>
      <c r="E208" s="340"/>
      <c r="F208" s="340"/>
      <c r="G208" s="340"/>
      <c r="H208" s="340"/>
      <c r="I208" s="340"/>
      <c r="J208" s="340"/>
      <c r="K208" s="340"/>
      <c r="L208" s="340"/>
      <c r="M208" s="340"/>
      <c r="N208" s="340"/>
      <c r="O208" s="340"/>
      <c r="P208" s="340"/>
      <c r="Q208" s="340"/>
      <c r="R208" s="340"/>
      <c r="S208" s="340"/>
      <c r="T208" s="340"/>
      <c r="U208" s="340"/>
      <c r="V208" s="340"/>
      <c r="W208" s="340"/>
      <c r="X208" s="340"/>
      <c r="Y208" s="340"/>
      <c r="Z208" s="340"/>
      <c r="AA208" s="340"/>
      <c r="AB208" s="340"/>
      <c r="AC208" s="340"/>
      <c r="AD208" s="340"/>
      <c r="AE208" s="340"/>
      <c r="AF208" s="340"/>
      <c r="AG208" s="340"/>
    </row>
    <row r="209" ht="15.75" customHeight="1">
      <c r="A209" s="340"/>
      <c r="B209" s="340"/>
      <c r="C209" s="340"/>
      <c r="D209" s="340"/>
      <c r="E209" s="340"/>
      <c r="F209" s="340"/>
      <c r="G209" s="340"/>
      <c r="H209" s="340"/>
      <c r="I209" s="340"/>
      <c r="J209" s="340"/>
      <c r="K209" s="340"/>
      <c r="L209" s="340"/>
      <c r="M209" s="340"/>
      <c r="N209" s="340"/>
      <c r="O209" s="340"/>
      <c r="P209" s="340"/>
      <c r="Q209" s="340"/>
      <c r="R209" s="340"/>
      <c r="S209" s="340"/>
      <c r="T209" s="340"/>
      <c r="U209" s="340"/>
      <c r="V209" s="340"/>
      <c r="W209" s="340"/>
      <c r="X209" s="340"/>
      <c r="Y209" s="340"/>
      <c r="Z209" s="340"/>
      <c r="AA209" s="340"/>
      <c r="AB209" s="340"/>
      <c r="AC209" s="340"/>
      <c r="AD209" s="340"/>
      <c r="AE209" s="340"/>
      <c r="AF209" s="340"/>
      <c r="AG209" s="340"/>
    </row>
    <row r="210" ht="15.75" customHeight="1">
      <c r="A210" s="340"/>
      <c r="B210" s="340"/>
      <c r="C210" s="340"/>
      <c r="D210" s="340"/>
      <c r="E210" s="340"/>
      <c r="F210" s="340"/>
      <c r="G210" s="340"/>
      <c r="H210" s="340"/>
      <c r="I210" s="340"/>
      <c r="J210" s="340"/>
      <c r="K210" s="340"/>
      <c r="L210" s="340"/>
      <c r="M210" s="340"/>
      <c r="N210" s="340"/>
      <c r="O210" s="340"/>
      <c r="P210" s="340"/>
      <c r="Q210" s="340"/>
      <c r="R210" s="340"/>
      <c r="S210" s="340"/>
      <c r="T210" s="340"/>
      <c r="U210" s="340"/>
      <c r="V210" s="340"/>
      <c r="W210" s="340"/>
      <c r="X210" s="340"/>
      <c r="Y210" s="340"/>
      <c r="Z210" s="340"/>
      <c r="AA210" s="340"/>
      <c r="AB210" s="340"/>
      <c r="AC210" s="340"/>
      <c r="AD210" s="340"/>
      <c r="AE210" s="340"/>
      <c r="AF210" s="340"/>
      <c r="AG210" s="340"/>
    </row>
    <row r="211" ht="15.75" customHeight="1">
      <c r="A211" s="340"/>
      <c r="B211" s="340"/>
      <c r="C211" s="340"/>
      <c r="D211" s="340"/>
      <c r="E211" s="340"/>
      <c r="F211" s="340"/>
      <c r="G211" s="340"/>
      <c r="H211" s="340"/>
      <c r="I211" s="340"/>
      <c r="J211" s="340"/>
      <c r="K211" s="340"/>
      <c r="L211" s="340"/>
      <c r="M211" s="340"/>
      <c r="N211" s="340"/>
      <c r="O211" s="340"/>
      <c r="P211" s="340"/>
      <c r="Q211" s="340"/>
      <c r="R211" s="340"/>
      <c r="S211" s="340"/>
      <c r="T211" s="340"/>
      <c r="U211" s="340"/>
      <c r="V211" s="340"/>
      <c r="W211" s="340"/>
      <c r="X211" s="340"/>
      <c r="Y211" s="340"/>
      <c r="Z211" s="340"/>
      <c r="AA211" s="340"/>
      <c r="AB211" s="340"/>
      <c r="AC211" s="340"/>
      <c r="AD211" s="340"/>
      <c r="AE211" s="340"/>
      <c r="AF211" s="340"/>
      <c r="AG211" s="340"/>
    </row>
    <row r="212" ht="15.75" customHeight="1">
      <c r="A212" s="340"/>
      <c r="B212" s="340"/>
      <c r="C212" s="340"/>
      <c r="D212" s="340"/>
      <c r="E212" s="340"/>
      <c r="F212" s="340"/>
      <c r="G212" s="340"/>
      <c r="H212" s="340"/>
      <c r="I212" s="340"/>
      <c r="J212" s="340"/>
      <c r="K212" s="340"/>
      <c r="L212" s="340"/>
      <c r="M212" s="340"/>
      <c r="N212" s="340"/>
      <c r="O212" s="340"/>
      <c r="P212" s="340"/>
      <c r="Q212" s="340"/>
      <c r="R212" s="340"/>
      <c r="S212" s="340"/>
      <c r="T212" s="340"/>
      <c r="U212" s="340"/>
      <c r="V212" s="340"/>
      <c r="W212" s="340"/>
      <c r="X212" s="340"/>
      <c r="Y212" s="340"/>
      <c r="Z212" s="340"/>
      <c r="AA212" s="340"/>
      <c r="AB212" s="340"/>
      <c r="AC212" s="340"/>
      <c r="AD212" s="340"/>
      <c r="AE212" s="340"/>
      <c r="AF212" s="340"/>
      <c r="AG212" s="340"/>
    </row>
    <row r="213" ht="15.75" customHeight="1">
      <c r="A213" s="340"/>
      <c r="B213" s="340"/>
      <c r="C213" s="340"/>
      <c r="D213" s="340"/>
      <c r="E213" s="340"/>
      <c r="F213" s="340"/>
      <c r="G213" s="340"/>
      <c r="H213" s="340"/>
      <c r="I213" s="340"/>
      <c r="J213" s="340"/>
      <c r="K213" s="340"/>
      <c r="L213" s="340"/>
      <c r="M213" s="340"/>
      <c r="N213" s="340"/>
      <c r="O213" s="340"/>
      <c r="P213" s="340"/>
      <c r="Q213" s="340"/>
      <c r="R213" s="340"/>
      <c r="S213" s="340"/>
      <c r="T213" s="340"/>
      <c r="U213" s="340"/>
      <c r="V213" s="340"/>
      <c r="W213" s="340"/>
      <c r="X213" s="340"/>
      <c r="Y213" s="340"/>
      <c r="Z213" s="340"/>
      <c r="AA213" s="340"/>
      <c r="AB213" s="340"/>
      <c r="AC213" s="340"/>
      <c r="AD213" s="340"/>
      <c r="AE213" s="340"/>
      <c r="AF213" s="340"/>
      <c r="AG213" s="340"/>
    </row>
    <row r="214" ht="15.75" customHeight="1">
      <c r="A214" s="340"/>
      <c r="B214" s="340"/>
      <c r="C214" s="340"/>
      <c r="D214" s="340"/>
      <c r="E214" s="340"/>
      <c r="F214" s="340"/>
      <c r="G214" s="340"/>
      <c r="H214" s="340"/>
      <c r="I214" s="340"/>
      <c r="J214" s="340"/>
      <c r="K214" s="340"/>
      <c r="L214" s="340"/>
      <c r="M214" s="340"/>
      <c r="N214" s="340"/>
      <c r="O214" s="340"/>
      <c r="P214" s="340"/>
      <c r="Q214" s="340"/>
      <c r="R214" s="340"/>
      <c r="S214" s="340"/>
      <c r="T214" s="340"/>
      <c r="U214" s="340"/>
      <c r="V214" s="340"/>
      <c r="W214" s="340"/>
      <c r="X214" s="340"/>
      <c r="Y214" s="340"/>
      <c r="Z214" s="340"/>
      <c r="AA214" s="340"/>
      <c r="AB214" s="340"/>
      <c r="AC214" s="340"/>
      <c r="AD214" s="340"/>
      <c r="AE214" s="340"/>
      <c r="AF214" s="340"/>
      <c r="AG214" s="340"/>
    </row>
    <row r="215" ht="15.75" customHeight="1">
      <c r="A215" s="340"/>
      <c r="B215" s="340"/>
      <c r="C215" s="340"/>
      <c r="D215" s="340"/>
      <c r="E215" s="340"/>
      <c r="F215" s="340"/>
      <c r="G215" s="340"/>
      <c r="H215" s="340"/>
      <c r="I215" s="340"/>
      <c r="J215" s="340"/>
      <c r="K215" s="340"/>
      <c r="L215" s="340"/>
      <c r="M215" s="340"/>
      <c r="N215" s="340"/>
      <c r="O215" s="340"/>
      <c r="P215" s="340"/>
      <c r="Q215" s="340"/>
      <c r="R215" s="340"/>
      <c r="S215" s="340"/>
      <c r="T215" s="340"/>
      <c r="U215" s="340"/>
      <c r="V215" s="340"/>
      <c r="W215" s="340"/>
      <c r="X215" s="340"/>
      <c r="Y215" s="340"/>
      <c r="Z215" s="340"/>
      <c r="AA215" s="340"/>
      <c r="AB215" s="340"/>
      <c r="AC215" s="340"/>
      <c r="AD215" s="340"/>
      <c r="AE215" s="340"/>
      <c r="AF215" s="340"/>
      <c r="AG215" s="340"/>
    </row>
    <row r="216" ht="15.75" customHeight="1">
      <c r="A216" s="340"/>
      <c r="B216" s="340"/>
      <c r="C216" s="340"/>
      <c r="D216" s="340"/>
      <c r="E216" s="340"/>
      <c r="F216" s="340"/>
      <c r="G216" s="340"/>
      <c r="H216" s="340"/>
      <c r="I216" s="340"/>
      <c r="J216" s="340"/>
      <c r="K216" s="340"/>
      <c r="L216" s="340"/>
      <c r="M216" s="340"/>
      <c r="N216" s="340"/>
      <c r="O216" s="340"/>
      <c r="P216" s="340"/>
      <c r="Q216" s="340"/>
      <c r="R216" s="340"/>
      <c r="S216" s="340"/>
      <c r="T216" s="340"/>
      <c r="U216" s="340"/>
      <c r="V216" s="340"/>
      <c r="W216" s="340"/>
      <c r="X216" s="340"/>
      <c r="Y216" s="340"/>
      <c r="Z216" s="340"/>
      <c r="AA216" s="340"/>
      <c r="AB216" s="340"/>
      <c r="AC216" s="340"/>
      <c r="AD216" s="340"/>
      <c r="AE216" s="340"/>
      <c r="AF216" s="340"/>
      <c r="AG216" s="340"/>
    </row>
    <row r="217" ht="15.75" customHeight="1">
      <c r="A217" s="340"/>
      <c r="B217" s="340"/>
      <c r="C217" s="340"/>
      <c r="D217" s="340"/>
      <c r="E217" s="340"/>
      <c r="F217" s="340"/>
      <c r="G217" s="340"/>
      <c r="H217" s="340"/>
      <c r="I217" s="340"/>
      <c r="J217" s="340"/>
      <c r="K217" s="340"/>
      <c r="L217" s="340"/>
      <c r="M217" s="340"/>
      <c r="N217" s="340"/>
      <c r="O217" s="340"/>
      <c r="P217" s="340"/>
      <c r="Q217" s="340"/>
      <c r="R217" s="340"/>
      <c r="S217" s="340"/>
      <c r="T217" s="340"/>
      <c r="U217" s="340"/>
      <c r="V217" s="340"/>
      <c r="W217" s="340"/>
      <c r="X217" s="340"/>
      <c r="Y217" s="340"/>
      <c r="Z217" s="340"/>
      <c r="AA217" s="340"/>
      <c r="AB217" s="340"/>
      <c r="AC217" s="340"/>
      <c r="AD217" s="340"/>
      <c r="AE217" s="340"/>
      <c r="AF217" s="340"/>
      <c r="AG217" s="340"/>
    </row>
    <row r="218" ht="15.75" customHeight="1">
      <c r="A218" s="340"/>
      <c r="B218" s="340"/>
      <c r="C218" s="340"/>
      <c r="D218" s="340"/>
      <c r="E218" s="340"/>
      <c r="F218" s="340"/>
      <c r="G218" s="340"/>
      <c r="H218" s="340"/>
      <c r="I218" s="340"/>
      <c r="J218" s="340"/>
      <c r="K218" s="340"/>
      <c r="L218" s="340"/>
      <c r="M218" s="340"/>
      <c r="N218" s="340"/>
      <c r="O218" s="340"/>
      <c r="P218" s="340"/>
      <c r="Q218" s="340"/>
      <c r="R218" s="340"/>
      <c r="S218" s="340"/>
      <c r="T218" s="340"/>
      <c r="U218" s="340"/>
      <c r="V218" s="340"/>
      <c r="W218" s="340"/>
      <c r="X218" s="340"/>
      <c r="Y218" s="340"/>
      <c r="Z218" s="340"/>
      <c r="AA218" s="340"/>
      <c r="AB218" s="340"/>
      <c r="AC218" s="340"/>
      <c r="AD218" s="340"/>
      <c r="AE218" s="340"/>
      <c r="AF218" s="340"/>
      <c r="AG218" s="340"/>
    </row>
    <row r="219" ht="15.75" customHeight="1">
      <c r="A219" s="340"/>
      <c r="B219" s="340"/>
      <c r="C219" s="340"/>
      <c r="D219" s="340"/>
      <c r="E219" s="340"/>
      <c r="F219" s="340"/>
      <c r="G219" s="340"/>
      <c r="H219" s="340"/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  <c r="AD219" s="340"/>
      <c r="AE219" s="340"/>
      <c r="AF219" s="340"/>
      <c r="AG219" s="340"/>
    </row>
    <row r="220" ht="15.75" customHeight="1">
      <c r="A220" s="340"/>
      <c r="B220" s="340"/>
      <c r="C220" s="340"/>
      <c r="D220" s="340"/>
      <c r="E220" s="340"/>
      <c r="F220" s="340"/>
      <c r="G220" s="340"/>
      <c r="H220" s="340"/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  <c r="AD220" s="340"/>
      <c r="AE220" s="340"/>
      <c r="AF220" s="340"/>
      <c r="AG220" s="340"/>
    </row>
    <row r="221" ht="15.75" customHeight="1">
      <c r="A221" s="340"/>
      <c r="B221" s="340"/>
      <c r="C221" s="340"/>
      <c r="D221" s="340"/>
      <c r="E221" s="340"/>
      <c r="F221" s="340"/>
      <c r="G221" s="340"/>
      <c r="H221" s="340"/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  <c r="AD221" s="340"/>
      <c r="AE221" s="340"/>
      <c r="AF221" s="340"/>
      <c r="AG221" s="340"/>
    </row>
    <row r="222" ht="15.75" customHeight="1">
      <c r="A222" s="340"/>
      <c r="B222" s="340"/>
      <c r="C222" s="340"/>
      <c r="D222" s="340"/>
      <c r="E222" s="340"/>
      <c r="F222" s="340"/>
      <c r="G222" s="340"/>
      <c r="H222" s="340"/>
      <c r="I222" s="340"/>
      <c r="J222" s="340"/>
      <c r="K222" s="340"/>
      <c r="L222" s="340"/>
      <c r="M222" s="340"/>
      <c r="N222" s="340"/>
      <c r="O222" s="340"/>
      <c r="P222" s="340"/>
      <c r="Q222" s="340"/>
      <c r="R222" s="340"/>
      <c r="S222" s="340"/>
      <c r="T222" s="340"/>
      <c r="U222" s="340"/>
      <c r="V222" s="340"/>
      <c r="W222" s="340"/>
      <c r="X222" s="340"/>
      <c r="Y222" s="340"/>
      <c r="Z222" s="340"/>
      <c r="AA222" s="340"/>
      <c r="AB222" s="340"/>
      <c r="AC222" s="340"/>
      <c r="AD222" s="340"/>
      <c r="AE222" s="340"/>
      <c r="AF222" s="340"/>
      <c r="AG222" s="340"/>
    </row>
    <row r="223" ht="15.75" customHeight="1">
      <c r="A223" s="340"/>
      <c r="B223" s="340"/>
      <c r="C223" s="340"/>
      <c r="D223" s="340"/>
      <c r="E223" s="340"/>
      <c r="F223" s="340"/>
      <c r="G223" s="340"/>
      <c r="H223" s="340"/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  <c r="AD223" s="340"/>
      <c r="AE223" s="340"/>
      <c r="AF223" s="340"/>
      <c r="AG223" s="340"/>
    </row>
    <row r="224" ht="15.75" customHeight="1">
      <c r="A224" s="340"/>
      <c r="B224" s="340"/>
      <c r="C224" s="340"/>
      <c r="D224" s="340"/>
      <c r="E224" s="340"/>
      <c r="F224" s="340"/>
      <c r="G224" s="340"/>
      <c r="H224" s="340"/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  <c r="AD224" s="340"/>
      <c r="AE224" s="340"/>
      <c r="AF224" s="340"/>
      <c r="AG224" s="340"/>
    </row>
    <row r="225" ht="15.75" customHeight="1">
      <c r="A225" s="340"/>
      <c r="B225" s="340"/>
      <c r="C225" s="340"/>
      <c r="D225" s="340"/>
      <c r="E225" s="340"/>
      <c r="F225" s="340"/>
      <c r="G225" s="340"/>
      <c r="H225" s="340"/>
      <c r="I225" s="340"/>
      <c r="J225" s="340"/>
      <c r="K225" s="340"/>
      <c r="L225" s="340"/>
      <c r="M225" s="340"/>
      <c r="N225" s="340"/>
      <c r="O225" s="340"/>
      <c r="P225" s="340"/>
      <c r="Q225" s="340"/>
      <c r="R225" s="340"/>
      <c r="S225" s="340"/>
      <c r="T225" s="340"/>
      <c r="U225" s="340"/>
      <c r="V225" s="340"/>
      <c r="W225" s="340"/>
      <c r="X225" s="340"/>
      <c r="Y225" s="340"/>
      <c r="Z225" s="340"/>
      <c r="AA225" s="340"/>
      <c r="AB225" s="340"/>
      <c r="AC225" s="340"/>
      <c r="AD225" s="340"/>
      <c r="AE225" s="340"/>
      <c r="AF225" s="340"/>
      <c r="AG225" s="340"/>
    </row>
    <row r="226" ht="15.75" customHeight="1">
      <c r="A226" s="340"/>
      <c r="B226" s="340"/>
      <c r="C226" s="340"/>
      <c r="D226" s="340"/>
      <c r="E226" s="340"/>
      <c r="F226" s="340"/>
      <c r="G226" s="340"/>
      <c r="H226" s="340"/>
      <c r="I226" s="340"/>
      <c r="J226" s="340"/>
      <c r="K226" s="340"/>
      <c r="L226" s="340"/>
      <c r="M226" s="340"/>
      <c r="N226" s="340"/>
      <c r="O226" s="340"/>
      <c r="P226" s="340"/>
      <c r="Q226" s="340"/>
      <c r="R226" s="340"/>
      <c r="S226" s="340"/>
      <c r="T226" s="340"/>
      <c r="U226" s="340"/>
      <c r="V226" s="340"/>
      <c r="W226" s="340"/>
      <c r="X226" s="340"/>
      <c r="Y226" s="340"/>
      <c r="Z226" s="340"/>
      <c r="AA226" s="340"/>
      <c r="AB226" s="340"/>
      <c r="AC226" s="340"/>
      <c r="AD226" s="340"/>
      <c r="AE226" s="340"/>
      <c r="AF226" s="340"/>
      <c r="AG226" s="340"/>
    </row>
    <row r="227" ht="15.75" customHeight="1">
      <c r="A227" s="340"/>
      <c r="B227" s="340"/>
      <c r="C227" s="340"/>
      <c r="D227" s="340"/>
      <c r="E227" s="340"/>
      <c r="F227" s="340"/>
      <c r="G227" s="340"/>
      <c r="H227" s="340"/>
      <c r="I227" s="340"/>
      <c r="J227" s="340"/>
      <c r="K227" s="340"/>
      <c r="L227" s="340"/>
      <c r="M227" s="340"/>
      <c r="N227" s="340"/>
      <c r="O227" s="340"/>
      <c r="P227" s="340"/>
      <c r="Q227" s="340"/>
      <c r="R227" s="340"/>
      <c r="S227" s="340"/>
      <c r="T227" s="340"/>
      <c r="U227" s="340"/>
      <c r="V227" s="340"/>
      <c r="W227" s="340"/>
      <c r="X227" s="340"/>
      <c r="Y227" s="340"/>
      <c r="Z227" s="340"/>
      <c r="AA227" s="340"/>
      <c r="AB227" s="340"/>
      <c r="AC227" s="340"/>
      <c r="AD227" s="340"/>
      <c r="AE227" s="340"/>
      <c r="AF227" s="340"/>
      <c r="AG227" s="340"/>
    </row>
    <row r="228" ht="15.75" customHeight="1">
      <c r="A228" s="340"/>
      <c r="B228" s="340"/>
      <c r="C228" s="340"/>
      <c r="D228" s="340"/>
      <c r="E228" s="340"/>
      <c r="F228" s="340"/>
      <c r="G228" s="340"/>
      <c r="H228" s="340"/>
      <c r="I228" s="340"/>
      <c r="J228" s="340"/>
      <c r="K228" s="340"/>
      <c r="L228" s="340"/>
      <c r="M228" s="340"/>
      <c r="N228" s="340"/>
      <c r="O228" s="340"/>
      <c r="P228" s="340"/>
      <c r="Q228" s="340"/>
      <c r="R228" s="340"/>
      <c r="S228" s="340"/>
      <c r="T228" s="340"/>
      <c r="U228" s="340"/>
      <c r="V228" s="340"/>
      <c r="W228" s="340"/>
      <c r="X228" s="340"/>
      <c r="Y228" s="340"/>
      <c r="Z228" s="340"/>
      <c r="AA228" s="340"/>
      <c r="AB228" s="340"/>
      <c r="AC228" s="340"/>
      <c r="AD228" s="340"/>
      <c r="AE228" s="340"/>
      <c r="AF228" s="340"/>
      <c r="AG228" s="340"/>
    </row>
    <row r="229" ht="15.75" customHeight="1">
      <c r="A229" s="340"/>
      <c r="B229" s="340"/>
      <c r="C229" s="340"/>
      <c r="D229" s="340"/>
      <c r="E229" s="340"/>
      <c r="F229" s="340"/>
      <c r="G229" s="340"/>
      <c r="H229" s="340"/>
      <c r="I229" s="340"/>
      <c r="J229" s="340"/>
      <c r="K229" s="340"/>
      <c r="L229" s="340"/>
      <c r="M229" s="340"/>
      <c r="N229" s="340"/>
      <c r="O229" s="340"/>
      <c r="P229" s="340"/>
      <c r="Q229" s="340"/>
      <c r="R229" s="340"/>
      <c r="S229" s="340"/>
      <c r="T229" s="340"/>
      <c r="U229" s="340"/>
      <c r="V229" s="340"/>
      <c r="W229" s="340"/>
      <c r="X229" s="340"/>
      <c r="Y229" s="340"/>
      <c r="Z229" s="340"/>
      <c r="AA229" s="340"/>
      <c r="AB229" s="340"/>
      <c r="AC229" s="340"/>
      <c r="AD229" s="340"/>
      <c r="AE229" s="340"/>
      <c r="AF229" s="340"/>
      <c r="AG229" s="340"/>
    </row>
    <row r="230" ht="15.75" customHeight="1">
      <c r="A230" s="340"/>
      <c r="B230" s="340"/>
      <c r="C230" s="340"/>
      <c r="D230" s="340"/>
      <c r="E230" s="340"/>
      <c r="F230" s="340"/>
      <c r="G230" s="340"/>
      <c r="H230" s="340"/>
      <c r="I230" s="340"/>
      <c r="J230" s="340"/>
      <c r="K230" s="340"/>
      <c r="L230" s="340"/>
      <c r="M230" s="340"/>
      <c r="N230" s="340"/>
      <c r="O230" s="340"/>
      <c r="P230" s="340"/>
      <c r="Q230" s="340"/>
      <c r="R230" s="340"/>
      <c r="S230" s="340"/>
      <c r="T230" s="340"/>
      <c r="U230" s="340"/>
      <c r="V230" s="340"/>
      <c r="W230" s="340"/>
      <c r="X230" s="340"/>
      <c r="Y230" s="340"/>
      <c r="Z230" s="340"/>
      <c r="AA230" s="340"/>
      <c r="AB230" s="340"/>
      <c r="AC230" s="340"/>
      <c r="AD230" s="340"/>
      <c r="AE230" s="340"/>
      <c r="AF230" s="340"/>
      <c r="AG230" s="340"/>
    </row>
    <row r="231" ht="15.75" customHeight="1">
      <c r="A231" s="340"/>
      <c r="B231" s="340"/>
      <c r="C231" s="340"/>
      <c r="D231" s="340"/>
      <c r="E231" s="340"/>
      <c r="F231" s="340"/>
      <c r="G231" s="340"/>
      <c r="H231" s="340"/>
      <c r="I231" s="340"/>
      <c r="J231" s="340"/>
      <c r="K231" s="340"/>
      <c r="L231" s="340"/>
      <c r="M231" s="340"/>
      <c r="N231" s="340"/>
      <c r="O231" s="340"/>
      <c r="P231" s="340"/>
      <c r="Q231" s="340"/>
      <c r="R231" s="340"/>
      <c r="S231" s="340"/>
      <c r="T231" s="340"/>
      <c r="U231" s="340"/>
      <c r="V231" s="340"/>
      <c r="W231" s="340"/>
      <c r="X231" s="340"/>
      <c r="Y231" s="340"/>
      <c r="Z231" s="340"/>
      <c r="AA231" s="340"/>
      <c r="AB231" s="340"/>
      <c r="AC231" s="340"/>
      <c r="AD231" s="340"/>
      <c r="AE231" s="340"/>
      <c r="AF231" s="340"/>
      <c r="AG231" s="340"/>
    </row>
    <row r="232" ht="15.75" customHeight="1">
      <c r="A232" s="340"/>
      <c r="B232" s="340"/>
      <c r="C232" s="340"/>
      <c r="D232" s="340"/>
      <c r="E232" s="340"/>
      <c r="F232" s="340"/>
      <c r="G232" s="340"/>
      <c r="H232" s="340"/>
      <c r="I232" s="340"/>
      <c r="J232" s="340"/>
      <c r="K232" s="340"/>
      <c r="L232" s="340"/>
      <c r="M232" s="340"/>
      <c r="N232" s="340"/>
      <c r="O232" s="340"/>
      <c r="P232" s="340"/>
      <c r="Q232" s="340"/>
      <c r="R232" s="340"/>
      <c r="S232" s="340"/>
      <c r="T232" s="340"/>
      <c r="U232" s="340"/>
      <c r="V232" s="340"/>
      <c r="W232" s="340"/>
      <c r="X232" s="340"/>
      <c r="Y232" s="340"/>
      <c r="Z232" s="340"/>
      <c r="AA232" s="340"/>
      <c r="AB232" s="340"/>
      <c r="AC232" s="340"/>
      <c r="AD232" s="340"/>
      <c r="AE232" s="340"/>
      <c r="AF232" s="340"/>
      <c r="AG232" s="340"/>
    </row>
    <row r="233" ht="15.75" customHeight="1">
      <c r="A233" s="340"/>
      <c r="B233" s="340"/>
      <c r="C233" s="340"/>
      <c r="D233" s="340"/>
      <c r="E233" s="340"/>
      <c r="F233" s="340"/>
      <c r="G233" s="340"/>
      <c r="H233" s="340"/>
      <c r="I233" s="340"/>
      <c r="J233" s="340"/>
      <c r="K233" s="340"/>
      <c r="L233" s="340"/>
      <c r="M233" s="340"/>
      <c r="N233" s="340"/>
      <c r="O233" s="340"/>
      <c r="P233" s="340"/>
      <c r="Q233" s="340"/>
      <c r="R233" s="340"/>
      <c r="S233" s="340"/>
      <c r="T233" s="340"/>
      <c r="U233" s="340"/>
      <c r="V233" s="340"/>
      <c r="W233" s="340"/>
      <c r="X233" s="340"/>
      <c r="Y233" s="340"/>
      <c r="Z233" s="340"/>
      <c r="AA233" s="340"/>
      <c r="AB233" s="340"/>
      <c r="AC233" s="340"/>
      <c r="AD233" s="340"/>
      <c r="AE233" s="340"/>
      <c r="AF233" s="340"/>
      <c r="AG233" s="340"/>
    </row>
    <row r="234" ht="15.75" customHeight="1">
      <c r="A234" s="340"/>
      <c r="B234" s="340"/>
      <c r="C234" s="340"/>
      <c r="D234" s="340"/>
      <c r="E234" s="340"/>
      <c r="F234" s="340"/>
      <c r="G234" s="340"/>
      <c r="H234" s="340"/>
      <c r="I234" s="340"/>
      <c r="J234" s="340"/>
      <c r="K234" s="340"/>
      <c r="L234" s="340"/>
      <c r="M234" s="340"/>
      <c r="N234" s="340"/>
      <c r="O234" s="340"/>
      <c r="P234" s="340"/>
      <c r="Q234" s="340"/>
      <c r="R234" s="340"/>
      <c r="S234" s="340"/>
      <c r="T234" s="340"/>
      <c r="U234" s="340"/>
      <c r="V234" s="340"/>
      <c r="W234" s="340"/>
      <c r="X234" s="340"/>
      <c r="Y234" s="340"/>
      <c r="Z234" s="340"/>
      <c r="AA234" s="340"/>
      <c r="AB234" s="340"/>
      <c r="AC234" s="340"/>
      <c r="AD234" s="340"/>
      <c r="AE234" s="340"/>
      <c r="AF234" s="340"/>
      <c r="AG234" s="340"/>
    </row>
    <row r="235" ht="15.75" customHeight="1">
      <c r="A235" s="340"/>
      <c r="B235" s="340"/>
      <c r="C235" s="340"/>
      <c r="D235" s="340"/>
      <c r="E235" s="340"/>
      <c r="F235" s="340"/>
      <c r="G235" s="340"/>
      <c r="H235" s="340"/>
      <c r="I235" s="340"/>
      <c r="J235" s="340"/>
      <c r="K235" s="340"/>
      <c r="L235" s="340"/>
      <c r="M235" s="340"/>
      <c r="N235" s="340"/>
      <c r="O235" s="340"/>
      <c r="P235" s="340"/>
      <c r="Q235" s="340"/>
      <c r="R235" s="340"/>
      <c r="S235" s="340"/>
      <c r="T235" s="340"/>
      <c r="U235" s="340"/>
      <c r="V235" s="340"/>
      <c r="W235" s="340"/>
      <c r="X235" s="340"/>
      <c r="Y235" s="340"/>
      <c r="Z235" s="340"/>
      <c r="AA235" s="340"/>
      <c r="AB235" s="340"/>
      <c r="AC235" s="340"/>
      <c r="AD235" s="340"/>
      <c r="AE235" s="340"/>
      <c r="AF235" s="340"/>
      <c r="AG235" s="340"/>
    </row>
    <row r="236" ht="15.75" customHeight="1">
      <c r="A236" s="340"/>
      <c r="B236" s="340"/>
      <c r="C236" s="340"/>
      <c r="D236" s="340"/>
      <c r="E236" s="340"/>
      <c r="F236" s="340"/>
      <c r="G236" s="340"/>
      <c r="H236" s="340"/>
      <c r="I236" s="340"/>
      <c r="J236" s="340"/>
      <c r="K236" s="340"/>
      <c r="L236" s="340"/>
      <c r="M236" s="340"/>
      <c r="N236" s="340"/>
      <c r="O236" s="340"/>
      <c r="P236" s="340"/>
      <c r="Q236" s="340"/>
      <c r="R236" s="340"/>
      <c r="S236" s="340"/>
      <c r="T236" s="340"/>
      <c r="U236" s="340"/>
      <c r="V236" s="340"/>
      <c r="W236" s="340"/>
      <c r="X236" s="340"/>
      <c r="Y236" s="340"/>
      <c r="Z236" s="340"/>
      <c r="AA236" s="340"/>
      <c r="AB236" s="340"/>
      <c r="AC236" s="340"/>
      <c r="AD236" s="340"/>
      <c r="AE236" s="340"/>
      <c r="AF236" s="340"/>
      <c r="AG236" s="340"/>
    </row>
    <row r="237" ht="15.75" customHeight="1">
      <c r="A237" s="340"/>
      <c r="B237" s="340"/>
      <c r="C237" s="340"/>
      <c r="D237" s="340"/>
      <c r="E237" s="340"/>
      <c r="F237" s="340"/>
      <c r="G237" s="340"/>
      <c r="H237" s="340"/>
      <c r="I237" s="340"/>
      <c r="J237" s="340"/>
      <c r="K237" s="340"/>
      <c r="L237" s="340"/>
      <c r="M237" s="340"/>
      <c r="N237" s="340"/>
      <c r="O237" s="340"/>
      <c r="P237" s="340"/>
      <c r="Q237" s="340"/>
      <c r="R237" s="340"/>
      <c r="S237" s="340"/>
      <c r="T237" s="340"/>
      <c r="U237" s="340"/>
      <c r="V237" s="340"/>
      <c r="W237" s="340"/>
      <c r="X237" s="340"/>
      <c r="Y237" s="340"/>
      <c r="Z237" s="340"/>
      <c r="AA237" s="340"/>
      <c r="AB237" s="340"/>
      <c r="AC237" s="340"/>
      <c r="AD237" s="340"/>
      <c r="AE237" s="340"/>
      <c r="AF237" s="340"/>
      <c r="AG237" s="340"/>
    </row>
    <row r="238" ht="15.75" customHeight="1">
      <c r="A238" s="340"/>
      <c r="B238" s="340"/>
      <c r="C238" s="340"/>
      <c r="D238" s="340"/>
      <c r="E238" s="340"/>
      <c r="F238" s="340"/>
      <c r="G238" s="340"/>
      <c r="H238" s="340"/>
      <c r="I238" s="340"/>
      <c r="J238" s="340"/>
      <c r="K238" s="340"/>
      <c r="L238" s="340"/>
      <c r="M238" s="340"/>
      <c r="N238" s="340"/>
      <c r="O238" s="340"/>
      <c r="P238" s="340"/>
      <c r="Q238" s="340"/>
      <c r="R238" s="340"/>
      <c r="S238" s="340"/>
      <c r="T238" s="340"/>
      <c r="U238" s="340"/>
      <c r="V238" s="340"/>
      <c r="W238" s="340"/>
      <c r="X238" s="340"/>
      <c r="Y238" s="340"/>
      <c r="Z238" s="340"/>
      <c r="AA238" s="340"/>
      <c r="AB238" s="340"/>
      <c r="AC238" s="340"/>
      <c r="AD238" s="340"/>
      <c r="AE238" s="340"/>
      <c r="AF238" s="340"/>
      <c r="AG238" s="340"/>
    </row>
    <row r="239" ht="15.75" customHeight="1">
      <c r="A239" s="340"/>
      <c r="B239" s="340"/>
      <c r="C239" s="340"/>
      <c r="D239" s="340"/>
      <c r="E239" s="340"/>
      <c r="F239" s="340"/>
      <c r="G239" s="340"/>
      <c r="H239" s="340"/>
      <c r="I239" s="340"/>
      <c r="J239" s="340"/>
      <c r="K239" s="340"/>
      <c r="L239" s="340"/>
      <c r="M239" s="340"/>
      <c r="N239" s="340"/>
      <c r="O239" s="340"/>
      <c r="P239" s="340"/>
      <c r="Q239" s="340"/>
      <c r="R239" s="340"/>
      <c r="S239" s="340"/>
      <c r="T239" s="340"/>
      <c r="U239" s="340"/>
      <c r="V239" s="340"/>
      <c r="W239" s="340"/>
      <c r="X239" s="340"/>
      <c r="Y239" s="340"/>
      <c r="Z239" s="340"/>
      <c r="AA239" s="340"/>
      <c r="AB239" s="340"/>
      <c r="AC239" s="340"/>
      <c r="AD239" s="340"/>
      <c r="AE239" s="340"/>
      <c r="AF239" s="340"/>
      <c r="AG239" s="340"/>
    </row>
    <row r="240" ht="15.75" customHeight="1">
      <c r="A240" s="340"/>
      <c r="B240" s="340"/>
      <c r="C240" s="340"/>
      <c r="D240" s="340"/>
      <c r="E240" s="340"/>
      <c r="F240" s="340"/>
      <c r="G240" s="340"/>
      <c r="H240" s="340"/>
      <c r="I240" s="340"/>
      <c r="J240" s="340"/>
      <c r="K240" s="340"/>
      <c r="L240" s="340"/>
      <c r="M240" s="340"/>
      <c r="N240" s="340"/>
      <c r="O240" s="340"/>
      <c r="P240" s="340"/>
      <c r="Q240" s="340"/>
      <c r="R240" s="340"/>
      <c r="S240" s="340"/>
      <c r="T240" s="340"/>
      <c r="U240" s="340"/>
      <c r="V240" s="340"/>
      <c r="W240" s="340"/>
      <c r="X240" s="340"/>
      <c r="Y240" s="340"/>
      <c r="Z240" s="340"/>
      <c r="AA240" s="340"/>
      <c r="AB240" s="340"/>
      <c r="AC240" s="340"/>
      <c r="AD240" s="340"/>
      <c r="AE240" s="340"/>
      <c r="AF240" s="340"/>
      <c r="AG240" s="340"/>
    </row>
    <row r="241" ht="15.75" customHeight="1">
      <c r="A241" s="340"/>
      <c r="B241" s="340"/>
      <c r="C241" s="340"/>
      <c r="D241" s="340"/>
      <c r="E241" s="340"/>
      <c r="F241" s="340"/>
      <c r="G241" s="340"/>
      <c r="H241" s="340"/>
      <c r="I241" s="340"/>
      <c r="J241" s="340"/>
      <c r="K241" s="340"/>
      <c r="L241" s="340"/>
      <c r="M241" s="340"/>
      <c r="N241" s="340"/>
      <c r="O241" s="340"/>
      <c r="P241" s="340"/>
      <c r="Q241" s="340"/>
      <c r="R241" s="340"/>
      <c r="S241" s="340"/>
      <c r="T241" s="340"/>
      <c r="U241" s="340"/>
      <c r="V241" s="340"/>
      <c r="W241" s="340"/>
      <c r="X241" s="340"/>
      <c r="Y241" s="340"/>
      <c r="Z241" s="340"/>
      <c r="AA241" s="340"/>
      <c r="AB241" s="340"/>
      <c r="AC241" s="340"/>
      <c r="AD241" s="340"/>
      <c r="AE241" s="340"/>
      <c r="AF241" s="340"/>
      <c r="AG241" s="340"/>
    </row>
    <row r="242" ht="15.75" customHeight="1">
      <c r="A242" s="340"/>
      <c r="B242" s="340"/>
      <c r="C242" s="340"/>
      <c r="D242" s="340"/>
      <c r="E242" s="340"/>
      <c r="F242" s="340"/>
      <c r="G242" s="340"/>
      <c r="H242" s="340"/>
      <c r="I242" s="340"/>
      <c r="J242" s="340"/>
      <c r="K242" s="340"/>
      <c r="L242" s="340"/>
      <c r="M242" s="340"/>
      <c r="N242" s="340"/>
      <c r="O242" s="340"/>
      <c r="P242" s="340"/>
      <c r="Q242" s="340"/>
      <c r="R242" s="340"/>
      <c r="S242" s="340"/>
      <c r="T242" s="340"/>
      <c r="U242" s="340"/>
      <c r="V242" s="340"/>
      <c r="W242" s="340"/>
      <c r="X242" s="340"/>
      <c r="Y242" s="340"/>
      <c r="Z242" s="340"/>
      <c r="AA242" s="340"/>
      <c r="AB242" s="340"/>
      <c r="AC242" s="340"/>
      <c r="AD242" s="340"/>
      <c r="AE242" s="340"/>
      <c r="AF242" s="340"/>
      <c r="AG242" s="340"/>
    </row>
    <row r="243" ht="15.75" customHeight="1">
      <c r="A243" s="340"/>
      <c r="B243" s="340"/>
      <c r="C243" s="340"/>
      <c r="D243" s="340"/>
      <c r="E243" s="340"/>
      <c r="F243" s="340"/>
      <c r="G243" s="340"/>
      <c r="H243" s="340"/>
      <c r="I243" s="340"/>
      <c r="J243" s="340"/>
      <c r="K243" s="340"/>
      <c r="L243" s="340"/>
      <c r="M243" s="340"/>
      <c r="N243" s="340"/>
      <c r="O243" s="340"/>
      <c r="P243" s="340"/>
      <c r="Q243" s="340"/>
      <c r="R243" s="340"/>
      <c r="S243" s="340"/>
      <c r="T243" s="340"/>
      <c r="U243" s="340"/>
      <c r="V243" s="340"/>
      <c r="W243" s="340"/>
      <c r="X243" s="340"/>
      <c r="Y243" s="340"/>
      <c r="Z243" s="340"/>
      <c r="AA243" s="340"/>
      <c r="AB243" s="340"/>
      <c r="AC243" s="340"/>
      <c r="AD243" s="340"/>
      <c r="AE243" s="340"/>
      <c r="AF243" s="340"/>
      <c r="AG243" s="340"/>
    </row>
    <row r="244" ht="15.75" customHeight="1">
      <c r="A244" s="340"/>
      <c r="B244" s="340"/>
      <c r="C244" s="340"/>
      <c r="D244" s="340"/>
      <c r="E244" s="340"/>
      <c r="F244" s="340"/>
      <c r="G244" s="340"/>
      <c r="H244" s="340"/>
      <c r="I244" s="340"/>
      <c r="J244" s="340"/>
      <c r="K244" s="340"/>
      <c r="L244" s="340"/>
      <c r="M244" s="340"/>
      <c r="N244" s="340"/>
      <c r="O244" s="340"/>
      <c r="P244" s="340"/>
      <c r="Q244" s="340"/>
      <c r="R244" s="340"/>
      <c r="S244" s="340"/>
      <c r="T244" s="340"/>
      <c r="U244" s="340"/>
      <c r="V244" s="340"/>
      <c r="W244" s="340"/>
      <c r="X244" s="340"/>
      <c r="Y244" s="340"/>
      <c r="Z244" s="340"/>
      <c r="AA244" s="340"/>
      <c r="AB244" s="340"/>
      <c r="AC244" s="340"/>
      <c r="AD244" s="340"/>
      <c r="AE244" s="340"/>
      <c r="AF244" s="340"/>
      <c r="AG244" s="340"/>
    </row>
    <row r="245" ht="15.75" customHeight="1">
      <c r="A245" s="340"/>
      <c r="B245" s="340"/>
      <c r="C245" s="340"/>
      <c r="D245" s="340"/>
      <c r="E245" s="340"/>
      <c r="F245" s="340"/>
      <c r="G245" s="340"/>
      <c r="H245" s="340"/>
      <c r="I245" s="340"/>
      <c r="J245" s="340"/>
      <c r="K245" s="340"/>
      <c r="L245" s="340"/>
      <c r="M245" s="340"/>
      <c r="N245" s="340"/>
      <c r="O245" s="340"/>
      <c r="P245" s="340"/>
      <c r="Q245" s="340"/>
      <c r="R245" s="340"/>
      <c r="S245" s="340"/>
      <c r="T245" s="340"/>
      <c r="U245" s="340"/>
      <c r="V245" s="340"/>
      <c r="W245" s="340"/>
      <c r="X245" s="340"/>
      <c r="Y245" s="340"/>
      <c r="Z245" s="340"/>
      <c r="AA245" s="340"/>
      <c r="AB245" s="340"/>
      <c r="AC245" s="340"/>
      <c r="AD245" s="340"/>
      <c r="AE245" s="340"/>
      <c r="AF245" s="340"/>
      <c r="AG245" s="340"/>
    </row>
    <row r="246" ht="15.75" customHeight="1">
      <c r="A246" s="340"/>
      <c r="B246" s="340"/>
      <c r="C246" s="340"/>
      <c r="D246" s="340"/>
      <c r="E246" s="340"/>
      <c r="F246" s="340"/>
      <c r="G246" s="340"/>
      <c r="H246" s="340"/>
      <c r="I246" s="340"/>
      <c r="J246" s="340"/>
      <c r="K246" s="340"/>
      <c r="L246" s="340"/>
      <c r="M246" s="340"/>
      <c r="N246" s="340"/>
      <c r="O246" s="340"/>
      <c r="P246" s="340"/>
      <c r="Q246" s="340"/>
      <c r="R246" s="340"/>
      <c r="S246" s="340"/>
      <c r="T246" s="340"/>
      <c r="U246" s="340"/>
      <c r="V246" s="340"/>
      <c r="W246" s="340"/>
      <c r="X246" s="340"/>
      <c r="Y246" s="340"/>
      <c r="Z246" s="340"/>
      <c r="AA246" s="340"/>
      <c r="AB246" s="340"/>
      <c r="AC246" s="340"/>
      <c r="AD246" s="340"/>
      <c r="AE246" s="340"/>
      <c r="AF246" s="340"/>
      <c r="AG246" s="340"/>
    </row>
    <row r="247" ht="15.75" customHeight="1">
      <c r="A247" s="340"/>
      <c r="B247" s="340"/>
      <c r="C247" s="340"/>
      <c r="D247" s="340"/>
      <c r="E247" s="340"/>
      <c r="F247" s="340"/>
      <c r="G247" s="340"/>
      <c r="H247" s="340"/>
      <c r="I247" s="340"/>
      <c r="J247" s="340"/>
      <c r="K247" s="340"/>
      <c r="L247" s="340"/>
      <c r="M247" s="340"/>
      <c r="N247" s="340"/>
      <c r="O247" s="340"/>
      <c r="P247" s="340"/>
      <c r="Q247" s="340"/>
      <c r="R247" s="340"/>
      <c r="S247" s="340"/>
      <c r="T247" s="340"/>
      <c r="U247" s="340"/>
      <c r="V247" s="340"/>
      <c r="W247" s="340"/>
      <c r="X247" s="340"/>
      <c r="Y247" s="340"/>
      <c r="Z247" s="340"/>
      <c r="AA247" s="340"/>
      <c r="AB247" s="340"/>
      <c r="AC247" s="340"/>
      <c r="AD247" s="340"/>
      <c r="AE247" s="340"/>
      <c r="AF247" s="340"/>
      <c r="AG247" s="340"/>
    </row>
    <row r="248" ht="15.75" customHeight="1">
      <c r="A248" s="340"/>
      <c r="B248" s="340"/>
      <c r="C248" s="340"/>
      <c r="D248" s="340"/>
      <c r="E248" s="340"/>
      <c r="F248" s="340"/>
      <c r="G248" s="340"/>
      <c r="H248" s="340"/>
      <c r="I248" s="340"/>
      <c r="J248" s="340"/>
      <c r="K248" s="340"/>
      <c r="L248" s="340"/>
      <c r="M248" s="340"/>
      <c r="N248" s="340"/>
      <c r="O248" s="340"/>
      <c r="P248" s="340"/>
      <c r="Q248" s="340"/>
      <c r="R248" s="340"/>
      <c r="S248" s="340"/>
      <c r="T248" s="340"/>
      <c r="U248" s="340"/>
      <c r="V248" s="340"/>
      <c r="W248" s="340"/>
      <c r="X248" s="340"/>
      <c r="Y248" s="340"/>
      <c r="Z248" s="340"/>
      <c r="AA248" s="340"/>
      <c r="AB248" s="340"/>
      <c r="AC248" s="340"/>
      <c r="AD248" s="340"/>
      <c r="AE248" s="340"/>
      <c r="AF248" s="340"/>
      <c r="AG248" s="340"/>
    </row>
    <row r="249" ht="15.75" customHeight="1">
      <c r="A249" s="340"/>
      <c r="B249" s="340"/>
      <c r="C249" s="340"/>
      <c r="D249" s="340"/>
      <c r="E249" s="340"/>
      <c r="F249" s="340"/>
      <c r="G249" s="340"/>
      <c r="H249" s="340"/>
      <c r="I249" s="340"/>
      <c r="J249" s="340"/>
      <c r="K249" s="340"/>
      <c r="L249" s="340"/>
      <c r="M249" s="340"/>
      <c r="N249" s="340"/>
      <c r="O249" s="340"/>
      <c r="P249" s="340"/>
      <c r="Q249" s="340"/>
      <c r="R249" s="340"/>
      <c r="S249" s="340"/>
      <c r="T249" s="340"/>
      <c r="U249" s="340"/>
      <c r="V249" s="340"/>
      <c r="W249" s="340"/>
      <c r="X249" s="340"/>
      <c r="Y249" s="340"/>
      <c r="Z249" s="340"/>
      <c r="AA249" s="340"/>
      <c r="AB249" s="340"/>
      <c r="AC249" s="340"/>
      <c r="AD249" s="340"/>
      <c r="AE249" s="340"/>
      <c r="AF249" s="340"/>
      <c r="AG249" s="340"/>
    </row>
    <row r="250" ht="15.75" customHeight="1">
      <c r="A250" s="340"/>
      <c r="B250" s="340"/>
      <c r="C250" s="340"/>
      <c r="D250" s="340"/>
      <c r="E250" s="340"/>
      <c r="F250" s="340"/>
      <c r="G250" s="340"/>
      <c r="H250" s="340"/>
      <c r="I250" s="340"/>
      <c r="J250" s="340"/>
      <c r="K250" s="340"/>
      <c r="L250" s="340"/>
      <c r="M250" s="340"/>
      <c r="N250" s="340"/>
      <c r="O250" s="340"/>
      <c r="P250" s="340"/>
      <c r="Q250" s="340"/>
      <c r="R250" s="340"/>
      <c r="S250" s="340"/>
      <c r="T250" s="340"/>
      <c r="U250" s="340"/>
      <c r="V250" s="340"/>
      <c r="W250" s="340"/>
      <c r="X250" s="340"/>
      <c r="Y250" s="340"/>
      <c r="Z250" s="340"/>
      <c r="AA250" s="340"/>
      <c r="AB250" s="340"/>
      <c r="AC250" s="340"/>
      <c r="AD250" s="340"/>
      <c r="AE250" s="340"/>
      <c r="AF250" s="340"/>
      <c r="AG250" s="340"/>
    </row>
    <row r="251" ht="15.75" customHeight="1">
      <c r="A251" s="340"/>
      <c r="B251" s="340"/>
      <c r="C251" s="340"/>
      <c r="D251" s="340"/>
      <c r="E251" s="340"/>
      <c r="F251" s="340"/>
      <c r="G251" s="340"/>
      <c r="H251" s="340"/>
      <c r="I251" s="340"/>
      <c r="J251" s="340"/>
      <c r="K251" s="340"/>
      <c r="L251" s="340"/>
      <c r="M251" s="340"/>
      <c r="N251" s="340"/>
      <c r="O251" s="340"/>
      <c r="P251" s="340"/>
      <c r="Q251" s="340"/>
      <c r="R251" s="340"/>
      <c r="S251" s="340"/>
      <c r="T251" s="340"/>
      <c r="U251" s="340"/>
      <c r="V251" s="340"/>
      <c r="W251" s="340"/>
      <c r="X251" s="340"/>
      <c r="Y251" s="340"/>
      <c r="Z251" s="340"/>
      <c r="AA251" s="340"/>
      <c r="AB251" s="340"/>
      <c r="AC251" s="340"/>
      <c r="AD251" s="340"/>
      <c r="AE251" s="340"/>
      <c r="AF251" s="340"/>
      <c r="AG251" s="340"/>
    </row>
    <row r="252" ht="15.75" customHeight="1">
      <c r="A252" s="340"/>
      <c r="B252" s="340"/>
      <c r="C252" s="340"/>
      <c r="D252" s="340"/>
      <c r="E252" s="340"/>
      <c r="F252" s="340"/>
      <c r="G252" s="340"/>
      <c r="H252" s="340"/>
      <c r="I252" s="340"/>
      <c r="J252" s="340"/>
      <c r="K252" s="340"/>
      <c r="L252" s="340"/>
      <c r="M252" s="340"/>
      <c r="N252" s="340"/>
      <c r="O252" s="340"/>
      <c r="P252" s="340"/>
      <c r="Q252" s="340"/>
      <c r="R252" s="340"/>
      <c r="S252" s="340"/>
      <c r="T252" s="340"/>
      <c r="U252" s="340"/>
      <c r="V252" s="340"/>
      <c r="W252" s="340"/>
      <c r="X252" s="340"/>
      <c r="Y252" s="340"/>
      <c r="Z252" s="340"/>
      <c r="AA252" s="340"/>
      <c r="AB252" s="340"/>
      <c r="AC252" s="340"/>
      <c r="AD252" s="340"/>
      <c r="AE252" s="340"/>
      <c r="AF252" s="340"/>
      <c r="AG252" s="340"/>
    </row>
    <row r="253" ht="15.75" customHeight="1">
      <c r="A253" s="340"/>
      <c r="B253" s="340"/>
      <c r="C253" s="340"/>
      <c r="D253" s="340"/>
      <c r="E253" s="340"/>
      <c r="F253" s="340"/>
      <c r="G253" s="340"/>
      <c r="H253" s="340"/>
      <c r="I253" s="340"/>
      <c r="J253" s="340"/>
      <c r="K253" s="340"/>
      <c r="L253" s="340"/>
      <c r="M253" s="340"/>
      <c r="N253" s="340"/>
      <c r="O253" s="340"/>
      <c r="P253" s="340"/>
      <c r="Q253" s="340"/>
      <c r="R253" s="340"/>
      <c r="S253" s="340"/>
      <c r="T253" s="340"/>
      <c r="U253" s="340"/>
      <c r="V253" s="340"/>
      <c r="W253" s="340"/>
      <c r="X253" s="340"/>
      <c r="Y253" s="340"/>
      <c r="Z253" s="340"/>
      <c r="AA253" s="340"/>
      <c r="AB253" s="340"/>
      <c r="AC253" s="340"/>
      <c r="AD253" s="340"/>
      <c r="AE253" s="340"/>
      <c r="AF253" s="340"/>
      <c r="AG253" s="340"/>
    </row>
    <row r="254" ht="15.75" customHeight="1">
      <c r="A254" s="340"/>
      <c r="B254" s="340"/>
      <c r="C254" s="340"/>
      <c r="D254" s="340"/>
      <c r="E254" s="340"/>
      <c r="F254" s="340"/>
      <c r="G254" s="340"/>
      <c r="H254" s="340"/>
      <c r="I254" s="340"/>
      <c r="J254" s="340"/>
      <c r="K254" s="340"/>
      <c r="L254" s="340"/>
      <c r="M254" s="340"/>
      <c r="N254" s="340"/>
      <c r="O254" s="340"/>
      <c r="P254" s="340"/>
      <c r="Q254" s="340"/>
      <c r="R254" s="340"/>
      <c r="S254" s="340"/>
      <c r="T254" s="340"/>
      <c r="U254" s="340"/>
      <c r="V254" s="340"/>
      <c r="W254" s="340"/>
      <c r="X254" s="340"/>
      <c r="Y254" s="340"/>
      <c r="Z254" s="340"/>
      <c r="AA254" s="340"/>
      <c r="AB254" s="340"/>
      <c r="AC254" s="340"/>
      <c r="AD254" s="340"/>
      <c r="AE254" s="340"/>
      <c r="AF254" s="340"/>
      <c r="AG254" s="340"/>
    </row>
    <row r="255" ht="15.75" customHeight="1">
      <c r="A255" s="340"/>
      <c r="B255" s="340"/>
      <c r="C255" s="340"/>
      <c r="D255" s="340"/>
      <c r="E255" s="340"/>
      <c r="F255" s="340"/>
      <c r="G255" s="340"/>
      <c r="H255" s="340"/>
      <c r="I255" s="340"/>
      <c r="J255" s="340"/>
      <c r="K255" s="340"/>
      <c r="L255" s="340"/>
      <c r="M255" s="340"/>
      <c r="N255" s="340"/>
      <c r="O255" s="340"/>
      <c r="P255" s="340"/>
      <c r="Q255" s="340"/>
      <c r="R255" s="340"/>
      <c r="S255" s="340"/>
      <c r="T255" s="340"/>
      <c r="U255" s="340"/>
      <c r="V255" s="340"/>
      <c r="W255" s="340"/>
      <c r="X255" s="340"/>
      <c r="Y255" s="340"/>
      <c r="Z255" s="340"/>
      <c r="AA255" s="340"/>
      <c r="AB255" s="340"/>
      <c r="AC255" s="340"/>
      <c r="AD255" s="340"/>
      <c r="AE255" s="340"/>
      <c r="AF255" s="340"/>
      <c r="AG255" s="340"/>
    </row>
    <row r="256" ht="15.75" customHeight="1">
      <c r="A256" s="340"/>
      <c r="B256" s="340"/>
      <c r="C256" s="340"/>
      <c r="D256" s="340"/>
      <c r="E256" s="340"/>
      <c r="F256" s="340"/>
      <c r="G256" s="340"/>
      <c r="H256" s="340"/>
      <c r="I256" s="340"/>
      <c r="J256" s="340"/>
      <c r="K256" s="340"/>
      <c r="L256" s="340"/>
      <c r="M256" s="340"/>
      <c r="N256" s="340"/>
      <c r="O256" s="340"/>
      <c r="P256" s="340"/>
      <c r="Q256" s="340"/>
      <c r="R256" s="340"/>
      <c r="S256" s="340"/>
      <c r="T256" s="340"/>
      <c r="U256" s="340"/>
      <c r="V256" s="340"/>
      <c r="W256" s="340"/>
      <c r="X256" s="340"/>
      <c r="Y256" s="340"/>
      <c r="Z256" s="340"/>
      <c r="AA256" s="340"/>
      <c r="AB256" s="340"/>
      <c r="AC256" s="340"/>
      <c r="AD256" s="340"/>
      <c r="AE256" s="340"/>
      <c r="AF256" s="340"/>
      <c r="AG256" s="340"/>
    </row>
    <row r="257" ht="15.75" customHeight="1">
      <c r="A257" s="340"/>
      <c r="B257" s="340"/>
      <c r="C257" s="340"/>
      <c r="D257" s="340"/>
      <c r="E257" s="340"/>
      <c r="F257" s="340"/>
      <c r="G257" s="340"/>
      <c r="H257" s="340"/>
      <c r="I257" s="340"/>
      <c r="J257" s="340"/>
      <c r="K257" s="340"/>
      <c r="L257" s="340"/>
      <c r="M257" s="340"/>
      <c r="N257" s="340"/>
      <c r="O257" s="340"/>
      <c r="P257" s="340"/>
      <c r="Q257" s="340"/>
      <c r="R257" s="340"/>
      <c r="S257" s="340"/>
      <c r="T257" s="340"/>
      <c r="U257" s="340"/>
      <c r="V257" s="340"/>
      <c r="W257" s="340"/>
      <c r="X257" s="340"/>
      <c r="Y257" s="340"/>
      <c r="Z257" s="340"/>
      <c r="AA257" s="340"/>
      <c r="AB257" s="340"/>
      <c r="AC257" s="340"/>
      <c r="AD257" s="340"/>
      <c r="AE257" s="340"/>
      <c r="AF257" s="340"/>
      <c r="AG257" s="340"/>
    </row>
    <row r="258" ht="15.75" customHeight="1">
      <c r="A258" s="340"/>
      <c r="B258" s="340"/>
      <c r="C258" s="340"/>
      <c r="D258" s="340"/>
      <c r="E258" s="340"/>
      <c r="F258" s="340"/>
      <c r="G258" s="340"/>
      <c r="H258" s="340"/>
      <c r="I258" s="340"/>
      <c r="J258" s="340"/>
      <c r="K258" s="340"/>
      <c r="L258" s="340"/>
      <c r="M258" s="340"/>
      <c r="N258" s="340"/>
      <c r="O258" s="340"/>
      <c r="P258" s="340"/>
      <c r="Q258" s="340"/>
      <c r="R258" s="340"/>
      <c r="S258" s="340"/>
      <c r="T258" s="340"/>
      <c r="U258" s="340"/>
      <c r="V258" s="340"/>
      <c r="W258" s="340"/>
      <c r="X258" s="340"/>
      <c r="Y258" s="340"/>
      <c r="Z258" s="340"/>
      <c r="AA258" s="340"/>
      <c r="AB258" s="340"/>
      <c r="AC258" s="340"/>
      <c r="AD258" s="340"/>
      <c r="AE258" s="340"/>
      <c r="AF258" s="340"/>
      <c r="AG258" s="340"/>
    </row>
    <row r="259" ht="15.75" customHeight="1">
      <c r="A259" s="340"/>
      <c r="B259" s="340"/>
      <c r="C259" s="340"/>
      <c r="D259" s="340"/>
      <c r="E259" s="340"/>
      <c r="F259" s="340"/>
      <c r="G259" s="340"/>
      <c r="H259" s="340"/>
      <c r="I259" s="340"/>
      <c r="J259" s="340"/>
      <c r="K259" s="340"/>
      <c r="L259" s="340"/>
      <c r="M259" s="340"/>
      <c r="N259" s="340"/>
      <c r="O259" s="340"/>
      <c r="P259" s="340"/>
      <c r="Q259" s="340"/>
      <c r="R259" s="340"/>
      <c r="S259" s="340"/>
      <c r="T259" s="340"/>
      <c r="U259" s="340"/>
      <c r="V259" s="340"/>
      <c r="W259" s="340"/>
      <c r="X259" s="340"/>
      <c r="Y259" s="340"/>
      <c r="Z259" s="340"/>
      <c r="AA259" s="340"/>
      <c r="AB259" s="340"/>
      <c r="AC259" s="340"/>
      <c r="AD259" s="340"/>
      <c r="AE259" s="340"/>
      <c r="AF259" s="340"/>
      <c r="AG259" s="340"/>
    </row>
    <row r="260" ht="15.75" customHeight="1">
      <c r="A260" s="340"/>
      <c r="B260" s="340"/>
      <c r="C260" s="340"/>
      <c r="D260" s="340"/>
      <c r="E260" s="340"/>
      <c r="F260" s="340"/>
      <c r="G260" s="340"/>
      <c r="H260" s="340"/>
      <c r="I260" s="340"/>
      <c r="J260" s="340"/>
      <c r="K260" s="340"/>
      <c r="L260" s="340"/>
      <c r="M260" s="340"/>
      <c r="N260" s="340"/>
      <c r="O260" s="340"/>
      <c r="P260" s="340"/>
      <c r="Q260" s="340"/>
      <c r="R260" s="340"/>
      <c r="S260" s="340"/>
      <c r="T260" s="340"/>
      <c r="U260" s="340"/>
      <c r="V260" s="340"/>
      <c r="W260" s="340"/>
      <c r="X260" s="340"/>
      <c r="Y260" s="340"/>
      <c r="Z260" s="340"/>
      <c r="AA260" s="340"/>
      <c r="AB260" s="340"/>
      <c r="AC260" s="340"/>
      <c r="AD260" s="340"/>
      <c r="AE260" s="340"/>
      <c r="AF260" s="340"/>
      <c r="AG260" s="340"/>
    </row>
    <row r="261" ht="15.75" customHeight="1">
      <c r="A261" s="340"/>
      <c r="B261" s="340"/>
      <c r="C261" s="340"/>
      <c r="D261" s="340"/>
      <c r="E261" s="340"/>
      <c r="F261" s="340"/>
      <c r="G261" s="340"/>
      <c r="H261" s="340"/>
      <c r="I261" s="340"/>
      <c r="J261" s="340"/>
      <c r="K261" s="340"/>
      <c r="L261" s="340"/>
      <c r="M261" s="340"/>
      <c r="N261" s="340"/>
      <c r="O261" s="340"/>
      <c r="P261" s="340"/>
      <c r="Q261" s="340"/>
      <c r="R261" s="340"/>
      <c r="S261" s="340"/>
      <c r="T261" s="340"/>
      <c r="U261" s="340"/>
      <c r="V261" s="340"/>
      <c r="W261" s="340"/>
      <c r="X261" s="340"/>
      <c r="Y261" s="340"/>
      <c r="Z261" s="340"/>
      <c r="AA261" s="340"/>
      <c r="AB261" s="340"/>
      <c r="AC261" s="340"/>
      <c r="AD261" s="340"/>
      <c r="AE261" s="340"/>
      <c r="AF261" s="340"/>
      <c r="AG261" s="340"/>
    </row>
    <row r="262" ht="15.75" customHeight="1">
      <c r="A262" s="340"/>
      <c r="B262" s="340"/>
      <c r="C262" s="340"/>
      <c r="D262" s="340"/>
      <c r="E262" s="340"/>
      <c r="F262" s="340"/>
      <c r="G262" s="340"/>
      <c r="H262" s="340"/>
      <c r="I262" s="340"/>
      <c r="J262" s="340"/>
      <c r="K262" s="340"/>
      <c r="L262" s="340"/>
      <c r="M262" s="340"/>
      <c r="N262" s="340"/>
      <c r="O262" s="340"/>
      <c r="P262" s="340"/>
      <c r="Q262" s="340"/>
      <c r="R262" s="340"/>
      <c r="S262" s="340"/>
      <c r="T262" s="340"/>
      <c r="U262" s="340"/>
      <c r="V262" s="340"/>
      <c r="W262" s="340"/>
      <c r="X262" s="340"/>
      <c r="Y262" s="340"/>
      <c r="Z262" s="340"/>
      <c r="AA262" s="340"/>
      <c r="AB262" s="340"/>
      <c r="AC262" s="340"/>
      <c r="AD262" s="340"/>
      <c r="AE262" s="340"/>
      <c r="AF262" s="340"/>
      <c r="AG262" s="340"/>
    </row>
    <row r="263" ht="15.75" customHeight="1">
      <c r="A263" s="340"/>
      <c r="B263" s="340"/>
      <c r="C263" s="340"/>
      <c r="D263" s="340"/>
      <c r="E263" s="340"/>
      <c r="F263" s="340"/>
      <c r="G263" s="340"/>
      <c r="H263" s="340"/>
      <c r="I263" s="340"/>
      <c r="J263" s="340"/>
      <c r="K263" s="340"/>
      <c r="L263" s="340"/>
      <c r="M263" s="340"/>
      <c r="N263" s="340"/>
      <c r="O263" s="340"/>
      <c r="P263" s="340"/>
      <c r="Q263" s="340"/>
      <c r="R263" s="340"/>
      <c r="S263" s="340"/>
      <c r="T263" s="340"/>
      <c r="U263" s="340"/>
      <c r="V263" s="340"/>
      <c r="W263" s="340"/>
      <c r="X263" s="340"/>
      <c r="Y263" s="340"/>
      <c r="Z263" s="340"/>
      <c r="AA263" s="340"/>
      <c r="AB263" s="340"/>
      <c r="AC263" s="340"/>
      <c r="AD263" s="340"/>
      <c r="AE263" s="340"/>
      <c r="AF263" s="340"/>
      <c r="AG263" s="340"/>
    </row>
    <row r="264" ht="15.75" customHeight="1">
      <c r="A264" s="340"/>
      <c r="B264" s="340"/>
      <c r="C264" s="340"/>
      <c r="D264" s="340"/>
      <c r="E264" s="340"/>
      <c r="F264" s="340"/>
      <c r="G264" s="340"/>
      <c r="H264" s="340"/>
      <c r="I264" s="340"/>
      <c r="J264" s="340"/>
      <c r="K264" s="340"/>
      <c r="L264" s="340"/>
      <c r="M264" s="340"/>
      <c r="N264" s="340"/>
      <c r="O264" s="340"/>
      <c r="P264" s="340"/>
      <c r="Q264" s="340"/>
      <c r="R264" s="340"/>
      <c r="S264" s="340"/>
      <c r="T264" s="340"/>
      <c r="U264" s="340"/>
      <c r="V264" s="340"/>
      <c r="W264" s="340"/>
      <c r="X264" s="340"/>
      <c r="Y264" s="340"/>
      <c r="Z264" s="340"/>
      <c r="AA264" s="340"/>
      <c r="AB264" s="340"/>
      <c r="AC264" s="340"/>
      <c r="AD264" s="340"/>
      <c r="AE264" s="340"/>
      <c r="AF264" s="340"/>
      <c r="AG264" s="340"/>
    </row>
    <row r="265" ht="15.75" customHeight="1">
      <c r="A265" s="340"/>
      <c r="B265" s="340"/>
      <c r="C265" s="340"/>
      <c r="D265" s="340"/>
      <c r="E265" s="340"/>
      <c r="F265" s="340"/>
      <c r="G265" s="340"/>
      <c r="H265" s="340"/>
      <c r="I265" s="340"/>
      <c r="J265" s="340"/>
      <c r="K265" s="340"/>
      <c r="L265" s="340"/>
      <c r="M265" s="340"/>
      <c r="N265" s="340"/>
      <c r="O265" s="340"/>
      <c r="P265" s="340"/>
      <c r="Q265" s="340"/>
      <c r="R265" s="340"/>
      <c r="S265" s="340"/>
      <c r="T265" s="340"/>
      <c r="U265" s="340"/>
      <c r="V265" s="340"/>
      <c r="W265" s="340"/>
      <c r="X265" s="340"/>
      <c r="Y265" s="340"/>
      <c r="Z265" s="340"/>
      <c r="AA265" s="340"/>
      <c r="AB265" s="340"/>
      <c r="AC265" s="340"/>
      <c r="AD265" s="340"/>
      <c r="AE265" s="340"/>
      <c r="AF265" s="340"/>
      <c r="AG265" s="340"/>
    </row>
    <row r="266" ht="15.75" customHeight="1">
      <c r="A266" s="340"/>
      <c r="B266" s="340"/>
      <c r="C266" s="340"/>
      <c r="D266" s="340"/>
      <c r="E266" s="340"/>
      <c r="F266" s="340"/>
      <c r="G266" s="340"/>
      <c r="H266" s="340"/>
      <c r="I266" s="340"/>
      <c r="J266" s="340"/>
      <c r="K266" s="340"/>
      <c r="L266" s="340"/>
      <c r="M266" s="340"/>
      <c r="N266" s="340"/>
      <c r="O266" s="340"/>
      <c r="P266" s="340"/>
      <c r="Q266" s="340"/>
      <c r="R266" s="340"/>
      <c r="S266" s="340"/>
      <c r="T266" s="340"/>
      <c r="U266" s="340"/>
      <c r="V266" s="340"/>
      <c r="W266" s="340"/>
      <c r="X266" s="340"/>
      <c r="Y266" s="340"/>
      <c r="Z266" s="340"/>
      <c r="AA266" s="340"/>
      <c r="AB266" s="340"/>
      <c r="AC266" s="340"/>
      <c r="AD266" s="340"/>
      <c r="AE266" s="340"/>
      <c r="AF266" s="340"/>
      <c r="AG266" s="340"/>
    </row>
    <row r="267" ht="15.75" customHeight="1">
      <c r="A267" s="340"/>
      <c r="B267" s="340"/>
      <c r="C267" s="340"/>
      <c r="D267" s="340"/>
      <c r="E267" s="340"/>
      <c r="F267" s="340"/>
      <c r="G267" s="340"/>
      <c r="H267" s="340"/>
      <c r="I267" s="340"/>
      <c r="J267" s="340"/>
      <c r="K267" s="340"/>
      <c r="L267" s="340"/>
      <c r="M267" s="340"/>
      <c r="N267" s="340"/>
      <c r="O267" s="340"/>
      <c r="P267" s="340"/>
      <c r="Q267" s="340"/>
      <c r="R267" s="340"/>
      <c r="S267" s="340"/>
      <c r="T267" s="340"/>
      <c r="U267" s="340"/>
      <c r="V267" s="340"/>
      <c r="W267" s="340"/>
      <c r="X267" s="340"/>
      <c r="Y267" s="340"/>
      <c r="Z267" s="340"/>
      <c r="AA267" s="340"/>
      <c r="AB267" s="340"/>
      <c r="AC267" s="340"/>
      <c r="AD267" s="340"/>
      <c r="AE267" s="340"/>
      <c r="AF267" s="340"/>
      <c r="AG267" s="340"/>
    </row>
    <row r="268" ht="15.75" customHeight="1">
      <c r="A268" s="340"/>
      <c r="B268" s="340"/>
      <c r="C268" s="340"/>
      <c r="D268" s="340"/>
      <c r="E268" s="340"/>
      <c r="F268" s="340"/>
      <c r="G268" s="340"/>
      <c r="H268" s="340"/>
      <c r="I268" s="340"/>
      <c r="J268" s="340"/>
      <c r="K268" s="340"/>
      <c r="L268" s="340"/>
      <c r="M268" s="340"/>
      <c r="N268" s="340"/>
      <c r="O268" s="340"/>
      <c r="P268" s="340"/>
      <c r="Q268" s="340"/>
      <c r="R268" s="340"/>
      <c r="S268" s="340"/>
      <c r="T268" s="340"/>
      <c r="U268" s="340"/>
      <c r="V268" s="340"/>
      <c r="W268" s="340"/>
      <c r="X268" s="340"/>
      <c r="Y268" s="340"/>
      <c r="Z268" s="340"/>
      <c r="AA268" s="340"/>
      <c r="AB268" s="340"/>
      <c r="AC268" s="340"/>
      <c r="AD268" s="340"/>
      <c r="AE268" s="340"/>
      <c r="AF268" s="340"/>
      <c r="AG268" s="340"/>
    </row>
    <row r="269" ht="15.75" customHeight="1">
      <c r="A269" s="340"/>
      <c r="B269" s="340"/>
      <c r="C269" s="340"/>
      <c r="D269" s="340"/>
      <c r="E269" s="340"/>
      <c r="F269" s="340"/>
      <c r="G269" s="340"/>
      <c r="H269" s="340"/>
      <c r="I269" s="340"/>
      <c r="J269" s="340"/>
      <c r="K269" s="340"/>
      <c r="L269" s="340"/>
      <c r="M269" s="340"/>
      <c r="N269" s="340"/>
      <c r="O269" s="340"/>
      <c r="P269" s="340"/>
      <c r="Q269" s="340"/>
      <c r="R269" s="340"/>
      <c r="S269" s="340"/>
      <c r="T269" s="340"/>
      <c r="U269" s="340"/>
      <c r="V269" s="340"/>
      <c r="W269" s="340"/>
      <c r="X269" s="340"/>
      <c r="Y269" s="340"/>
      <c r="Z269" s="340"/>
      <c r="AA269" s="340"/>
      <c r="AB269" s="340"/>
      <c r="AC269" s="340"/>
      <c r="AD269" s="340"/>
      <c r="AE269" s="340"/>
      <c r="AF269" s="340"/>
      <c r="AG269" s="340"/>
    </row>
    <row r="270" ht="15.75" customHeight="1">
      <c r="A270" s="340"/>
      <c r="B270" s="340"/>
      <c r="C270" s="340"/>
      <c r="D270" s="340"/>
      <c r="E270" s="340"/>
      <c r="F270" s="340"/>
      <c r="G270" s="340"/>
      <c r="H270" s="340"/>
      <c r="I270" s="340"/>
      <c r="J270" s="340"/>
      <c r="K270" s="340"/>
      <c r="L270" s="340"/>
      <c r="M270" s="340"/>
      <c r="N270" s="340"/>
      <c r="O270" s="340"/>
      <c r="P270" s="340"/>
      <c r="Q270" s="340"/>
      <c r="R270" s="340"/>
      <c r="S270" s="340"/>
      <c r="T270" s="340"/>
      <c r="U270" s="340"/>
      <c r="V270" s="340"/>
      <c r="W270" s="340"/>
      <c r="X270" s="340"/>
      <c r="Y270" s="340"/>
      <c r="Z270" s="340"/>
      <c r="AA270" s="340"/>
      <c r="AB270" s="340"/>
      <c r="AC270" s="340"/>
      <c r="AD270" s="340"/>
      <c r="AE270" s="340"/>
      <c r="AF270" s="340"/>
      <c r="AG270" s="340"/>
    </row>
    <row r="271" ht="15.75" customHeight="1">
      <c r="A271" s="340"/>
      <c r="B271" s="340"/>
      <c r="C271" s="340"/>
      <c r="D271" s="340"/>
      <c r="E271" s="340"/>
      <c r="F271" s="340"/>
      <c r="G271" s="340"/>
      <c r="H271" s="340"/>
      <c r="I271" s="340"/>
      <c r="J271" s="340"/>
      <c r="K271" s="340"/>
      <c r="L271" s="340"/>
      <c r="M271" s="340"/>
      <c r="N271" s="340"/>
      <c r="O271" s="340"/>
      <c r="P271" s="340"/>
      <c r="Q271" s="340"/>
      <c r="R271" s="340"/>
      <c r="S271" s="340"/>
      <c r="T271" s="340"/>
      <c r="U271" s="340"/>
      <c r="V271" s="340"/>
      <c r="W271" s="340"/>
      <c r="X271" s="340"/>
      <c r="Y271" s="340"/>
      <c r="Z271" s="340"/>
      <c r="AA271" s="340"/>
      <c r="AB271" s="340"/>
      <c r="AC271" s="340"/>
      <c r="AD271" s="340"/>
      <c r="AE271" s="340"/>
      <c r="AF271" s="340"/>
      <c r="AG271" s="340"/>
    </row>
    <row r="272" ht="15.75" customHeight="1">
      <c r="A272" s="340"/>
      <c r="B272" s="340"/>
      <c r="C272" s="340"/>
      <c r="D272" s="340"/>
      <c r="E272" s="340"/>
      <c r="F272" s="340"/>
      <c r="G272" s="340"/>
      <c r="H272" s="340"/>
      <c r="I272" s="340"/>
      <c r="J272" s="340"/>
      <c r="K272" s="340"/>
      <c r="L272" s="340"/>
      <c r="M272" s="340"/>
      <c r="N272" s="340"/>
      <c r="O272" s="340"/>
      <c r="P272" s="340"/>
      <c r="Q272" s="340"/>
      <c r="R272" s="340"/>
      <c r="S272" s="340"/>
      <c r="T272" s="340"/>
      <c r="U272" s="340"/>
      <c r="V272" s="340"/>
      <c r="W272" s="340"/>
      <c r="X272" s="340"/>
      <c r="Y272" s="340"/>
      <c r="Z272" s="340"/>
      <c r="AA272" s="340"/>
      <c r="AB272" s="340"/>
      <c r="AC272" s="340"/>
      <c r="AD272" s="340"/>
      <c r="AE272" s="340"/>
      <c r="AF272" s="340"/>
      <c r="AG272" s="340"/>
    </row>
    <row r="273" ht="15.75" customHeight="1">
      <c r="A273" s="340"/>
      <c r="B273" s="340"/>
      <c r="C273" s="340"/>
      <c r="D273" s="340"/>
      <c r="E273" s="340"/>
      <c r="F273" s="340"/>
      <c r="G273" s="340"/>
      <c r="H273" s="340"/>
      <c r="I273" s="340"/>
      <c r="J273" s="340"/>
      <c r="K273" s="340"/>
      <c r="L273" s="340"/>
      <c r="M273" s="340"/>
      <c r="N273" s="340"/>
      <c r="O273" s="340"/>
      <c r="P273" s="340"/>
      <c r="Q273" s="340"/>
      <c r="R273" s="340"/>
      <c r="S273" s="340"/>
      <c r="T273" s="340"/>
      <c r="U273" s="340"/>
      <c r="V273" s="340"/>
      <c r="W273" s="340"/>
      <c r="X273" s="340"/>
      <c r="Y273" s="340"/>
      <c r="Z273" s="340"/>
      <c r="AA273" s="340"/>
      <c r="AB273" s="340"/>
      <c r="AC273" s="340"/>
      <c r="AD273" s="340"/>
      <c r="AE273" s="340"/>
      <c r="AF273" s="340"/>
      <c r="AG273" s="340"/>
    </row>
    <row r="274" ht="15.75" customHeight="1">
      <c r="A274" s="340"/>
      <c r="B274" s="340"/>
      <c r="C274" s="340"/>
      <c r="D274" s="340"/>
      <c r="E274" s="340"/>
      <c r="F274" s="340"/>
      <c r="G274" s="340"/>
      <c r="H274" s="340"/>
      <c r="I274" s="340"/>
      <c r="J274" s="340"/>
      <c r="K274" s="340"/>
      <c r="L274" s="340"/>
      <c r="M274" s="340"/>
      <c r="N274" s="340"/>
      <c r="O274" s="340"/>
      <c r="P274" s="340"/>
      <c r="Q274" s="340"/>
      <c r="R274" s="340"/>
      <c r="S274" s="340"/>
      <c r="T274" s="340"/>
      <c r="U274" s="340"/>
      <c r="V274" s="340"/>
      <c r="W274" s="340"/>
      <c r="X274" s="340"/>
      <c r="Y274" s="340"/>
      <c r="Z274" s="340"/>
      <c r="AA274" s="340"/>
      <c r="AB274" s="340"/>
      <c r="AC274" s="340"/>
      <c r="AD274" s="340"/>
      <c r="AE274" s="340"/>
      <c r="AF274" s="340"/>
      <c r="AG274" s="340"/>
    </row>
    <row r="275" ht="15.75" customHeight="1">
      <c r="A275" s="340"/>
      <c r="B275" s="340"/>
      <c r="C275" s="340"/>
      <c r="D275" s="340"/>
      <c r="E275" s="340"/>
      <c r="F275" s="340"/>
      <c r="G275" s="340"/>
      <c r="H275" s="340"/>
      <c r="I275" s="340"/>
      <c r="J275" s="340"/>
      <c r="K275" s="340"/>
      <c r="L275" s="340"/>
      <c r="M275" s="340"/>
      <c r="N275" s="340"/>
      <c r="O275" s="340"/>
      <c r="P275" s="340"/>
      <c r="Q275" s="340"/>
      <c r="R275" s="340"/>
      <c r="S275" s="340"/>
      <c r="T275" s="340"/>
      <c r="U275" s="340"/>
      <c r="V275" s="340"/>
      <c r="W275" s="340"/>
      <c r="X275" s="340"/>
      <c r="Y275" s="340"/>
      <c r="Z275" s="340"/>
      <c r="AA275" s="340"/>
      <c r="AB275" s="340"/>
      <c r="AC275" s="340"/>
      <c r="AD275" s="340"/>
      <c r="AE275" s="340"/>
      <c r="AF275" s="340"/>
      <c r="AG275" s="340"/>
    </row>
    <row r="276" ht="15.75" customHeight="1">
      <c r="A276" s="340"/>
      <c r="B276" s="340"/>
      <c r="C276" s="340"/>
      <c r="D276" s="340"/>
      <c r="E276" s="340"/>
      <c r="F276" s="340"/>
      <c r="G276" s="340"/>
      <c r="H276" s="340"/>
      <c r="I276" s="340"/>
      <c r="J276" s="340"/>
      <c r="K276" s="340"/>
      <c r="L276" s="340"/>
      <c r="M276" s="340"/>
      <c r="N276" s="340"/>
      <c r="O276" s="340"/>
      <c r="P276" s="340"/>
      <c r="Q276" s="340"/>
      <c r="R276" s="340"/>
      <c r="S276" s="340"/>
      <c r="T276" s="340"/>
      <c r="U276" s="340"/>
      <c r="V276" s="340"/>
      <c r="W276" s="340"/>
      <c r="X276" s="340"/>
      <c r="Y276" s="340"/>
      <c r="Z276" s="340"/>
      <c r="AA276" s="340"/>
      <c r="AB276" s="340"/>
      <c r="AC276" s="340"/>
      <c r="AD276" s="340"/>
      <c r="AE276" s="340"/>
      <c r="AF276" s="340"/>
      <c r="AG276" s="340"/>
    </row>
    <row r="277" ht="15.75" customHeight="1">
      <c r="A277" s="340"/>
      <c r="B277" s="340"/>
      <c r="C277" s="340"/>
      <c r="D277" s="340"/>
      <c r="E277" s="340"/>
      <c r="F277" s="340"/>
      <c r="G277" s="340"/>
      <c r="H277" s="340"/>
      <c r="I277" s="340"/>
      <c r="J277" s="340"/>
      <c r="K277" s="340"/>
      <c r="L277" s="340"/>
      <c r="M277" s="340"/>
      <c r="N277" s="340"/>
      <c r="O277" s="340"/>
      <c r="P277" s="340"/>
      <c r="Q277" s="340"/>
      <c r="R277" s="340"/>
      <c r="S277" s="340"/>
      <c r="T277" s="340"/>
      <c r="U277" s="340"/>
      <c r="V277" s="340"/>
      <c r="W277" s="340"/>
      <c r="X277" s="340"/>
      <c r="Y277" s="340"/>
      <c r="Z277" s="340"/>
      <c r="AA277" s="340"/>
      <c r="AB277" s="340"/>
      <c r="AC277" s="340"/>
      <c r="AD277" s="340"/>
      <c r="AE277" s="340"/>
      <c r="AF277" s="340"/>
      <c r="AG277" s="340"/>
    </row>
    <row r="278" ht="15.75" customHeight="1">
      <c r="A278" s="340"/>
      <c r="B278" s="340"/>
      <c r="C278" s="340"/>
      <c r="D278" s="340"/>
      <c r="E278" s="340"/>
      <c r="F278" s="340"/>
      <c r="G278" s="340"/>
      <c r="H278" s="340"/>
      <c r="I278" s="340"/>
      <c r="J278" s="340"/>
      <c r="K278" s="340"/>
      <c r="L278" s="340"/>
      <c r="M278" s="340"/>
      <c r="N278" s="340"/>
      <c r="O278" s="340"/>
      <c r="P278" s="340"/>
      <c r="Q278" s="340"/>
      <c r="R278" s="340"/>
      <c r="S278" s="340"/>
      <c r="T278" s="340"/>
      <c r="U278" s="340"/>
      <c r="V278" s="340"/>
      <c r="W278" s="340"/>
      <c r="X278" s="340"/>
      <c r="Y278" s="340"/>
      <c r="Z278" s="340"/>
      <c r="AA278" s="340"/>
      <c r="AB278" s="340"/>
      <c r="AC278" s="340"/>
      <c r="AD278" s="340"/>
      <c r="AE278" s="340"/>
      <c r="AF278" s="340"/>
      <c r="AG278" s="340"/>
    </row>
    <row r="279" ht="15.75" customHeight="1">
      <c r="A279" s="340"/>
      <c r="B279" s="340"/>
      <c r="C279" s="340"/>
      <c r="D279" s="340"/>
      <c r="E279" s="340"/>
      <c r="F279" s="340"/>
      <c r="G279" s="340"/>
      <c r="H279" s="340"/>
      <c r="I279" s="340"/>
      <c r="J279" s="340"/>
      <c r="K279" s="340"/>
      <c r="L279" s="340"/>
      <c r="M279" s="340"/>
      <c r="N279" s="340"/>
      <c r="O279" s="340"/>
      <c r="P279" s="340"/>
      <c r="Q279" s="340"/>
      <c r="R279" s="340"/>
      <c r="S279" s="340"/>
      <c r="T279" s="340"/>
      <c r="U279" s="340"/>
      <c r="V279" s="340"/>
      <c r="W279" s="340"/>
      <c r="X279" s="340"/>
      <c r="Y279" s="340"/>
      <c r="Z279" s="340"/>
      <c r="AA279" s="340"/>
      <c r="AB279" s="340"/>
      <c r="AC279" s="340"/>
      <c r="AD279" s="340"/>
      <c r="AE279" s="340"/>
      <c r="AF279" s="340"/>
      <c r="AG279" s="340"/>
    </row>
    <row r="280" ht="15.75" customHeight="1">
      <c r="A280" s="340"/>
      <c r="B280" s="340"/>
      <c r="C280" s="340"/>
      <c r="D280" s="340"/>
      <c r="E280" s="340"/>
      <c r="F280" s="340"/>
      <c r="G280" s="340"/>
      <c r="H280" s="340"/>
      <c r="I280" s="340"/>
      <c r="J280" s="340"/>
      <c r="K280" s="340"/>
      <c r="L280" s="340"/>
      <c r="M280" s="340"/>
      <c r="N280" s="340"/>
      <c r="O280" s="340"/>
      <c r="P280" s="340"/>
      <c r="Q280" s="340"/>
      <c r="R280" s="340"/>
      <c r="S280" s="340"/>
      <c r="T280" s="340"/>
      <c r="U280" s="340"/>
      <c r="V280" s="340"/>
      <c r="W280" s="340"/>
      <c r="X280" s="340"/>
      <c r="Y280" s="340"/>
      <c r="Z280" s="340"/>
      <c r="AA280" s="340"/>
      <c r="AB280" s="340"/>
      <c r="AC280" s="340"/>
      <c r="AD280" s="340"/>
      <c r="AE280" s="340"/>
      <c r="AF280" s="340"/>
      <c r="AG280" s="340"/>
    </row>
    <row r="281" ht="15.75" customHeight="1">
      <c r="A281" s="340"/>
      <c r="B281" s="340"/>
      <c r="C281" s="340"/>
      <c r="D281" s="340"/>
      <c r="E281" s="340"/>
      <c r="F281" s="340"/>
      <c r="G281" s="340"/>
      <c r="H281" s="340"/>
      <c r="I281" s="340"/>
      <c r="J281" s="340"/>
      <c r="K281" s="340"/>
      <c r="L281" s="340"/>
      <c r="M281" s="340"/>
      <c r="N281" s="340"/>
      <c r="O281" s="340"/>
      <c r="P281" s="340"/>
      <c r="Q281" s="340"/>
      <c r="R281" s="340"/>
      <c r="S281" s="340"/>
      <c r="T281" s="340"/>
      <c r="U281" s="340"/>
      <c r="V281" s="340"/>
      <c r="W281" s="340"/>
      <c r="X281" s="340"/>
      <c r="Y281" s="340"/>
      <c r="Z281" s="340"/>
      <c r="AA281" s="340"/>
      <c r="AB281" s="340"/>
      <c r="AC281" s="340"/>
      <c r="AD281" s="340"/>
      <c r="AE281" s="340"/>
      <c r="AF281" s="340"/>
      <c r="AG281" s="340"/>
    </row>
    <row r="282" ht="15.75" customHeight="1">
      <c r="A282" s="340"/>
      <c r="B282" s="340"/>
      <c r="C282" s="340"/>
      <c r="D282" s="340"/>
      <c r="E282" s="340"/>
      <c r="F282" s="340"/>
      <c r="G282" s="340"/>
      <c r="H282" s="340"/>
      <c r="I282" s="340"/>
      <c r="J282" s="340"/>
      <c r="K282" s="340"/>
      <c r="L282" s="340"/>
      <c r="M282" s="340"/>
      <c r="N282" s="340"/>
      <c r="O282" s="340"/>
      <c r="P282" s="340"/>
      <c r="Q282" s="340"/>
      <c r="R282" s="340"/>
      <c r="S282" s="340"/>
      <c r="T282" s="340"/>
      <c r="U282" s="340"/>
      <c r="V282" s="340"/>
      <c r="W282" s="340"/>
      <c r="X282" s="340"/>
      <c r="Y282" s="340"/>
      <c r="Z282" s="340"/>
      <c r="AA282" s="340"/>
      <c r="AB282" s="340"/>
      <c r="AC282" s="340"/>
      <c r="AD282" s="340"/>
      <c r="AE282" s="340"/>
      <c r="AF282" s="340"/>
      <c r="AG282" s="340"/>
    </row>
    <row r="283" ht="15.75" customHeight="1">
      <c r="A283" s="340"/>
      <c r="B283" s="340"/>
      <c r="C283" s="340"/>
      <c r="D283" s="340"/>
      <c r="E283" s="340"/>
      <c r="F283" s="340"/>
      <c r="G283" s="340"/>
      <c r="H283" s="340"/>
      <c r="I283" s="340"/>
      <c r="J283" s="340"/>
      <c r="K283" s="340"/>
      <c r="L283" s="340"/>
      <c r="M283" s="340"/>
      <c r="N283" s="340"/>
      <c r="O283" s="340"/>
      <c r="P283" s="340"/>
      <c r="Q283" s="340"/>
      <c r="R283" s="340"/>
      <c r="S283" s="340"/>
      <c r="T283" s="340"/>
      <c r="U283" s="340"/>
      <c r="V283" s="340"/>
      <c r="W283" s="340"/>
      <c r="X283" s="340"/>
      <c r="Y283" s="340"/>
      <c r="Z283" s="340"/>
      <c r="AA283" s="340"/>
      <c r="AB283" s="340"/>
      <c r="AC283" s="340"/>
      <c r="AD283" s="340"/>
      <c r="AE283" s="340"/>
      <c r="AF283" s="340"/>
      <c r="AG283" s="340"/>
    </row>
    <row r="284" ht="15.75" customHeight="1">
      <c r="A284" s="340"/>
      <c r="B284" s="340"/>
      <c r="C284" s="340"/>
      <c r="D284" s="340"/>
      <c r="E284" s="340"/>
      <c r="F284" s="340"/>
      <c r="G284" s="340"/>
      <c r="H284" s="340"/>
      <c r="I284" s="340"/>
      <c r="J284" s="340"/>
      <c r="K284" s="340"/>
      <c r="L284" s="340"/>
      <c r="M284" s="340"/>
      <c r="N284" s="340"/>
      <c r="O284" s="340"/>
      <c r="P284" s="340"/>
      <c r="Q284" s="340"/>
      <c r="R284" s="340"/>
      <c r="S284" s="340"/>
      <c r="T284" s="340"/>
      <c r="U284" s="340"/>
      <c r="V284" s="340"/>
      <c r="W284" s="340"/>
      <c r="X284" s="340"/>
      <c r="Y284" s="340"/>
      <c r="Z284" s="340"/>
      <c r="AA284" s="340"/>
      <c r="AB284" s="340"/>
      <c r="AC284" s="340"/>
      <c r="AD284" s="340"/>
      <c r="AE284" s="340"/>
      <c r="AF284" s="340"/>
      <c r="AG284" s="340"/>
    </row>
    <row r="285" ht="15.75" customHeight="1">
      <c r="A285" s="340"/>
      <c r="B285" s="340"/>
      <c r="C285" s="340"/>
      <c r="D285" s="340"/>
      <c r="E285" s="340"/>
      <c r="F285" s="340"/>
      <c r="G285" s="340"/>
      <c r="H285" s="340"/>
      <c r="I285" s="340"/>
      <c r="J285" s="340"/>
      <c r="K285" s="340"/>
      <c r="L285" s="340"/>
      <c r="M285" s="340"/>
      <c r="N285" s="340"/>
      <c r="O285" s="340"/>
      <c r="P285" s="340"/>
      <c r="Q285" s="340"/>
      <c r="R285" s="340"/>
      <c r="S285" s="340"/>
      <c r="T285" s="340"/>
      <c r="U285" s="340"/>
      <c r="V285" s="340"/>
      <c r="W285" s="340"/>
      <c r="X285" s="340"/>
      <c r="Y285" s="340"/>
      <c r="Z285" s="340"/>
      <c r="AA285" s="340"/>
      <c r="AB285" s="340"/>
      <c r="AC285" s="340"/>
      <c r="AD285" s="340"/>
      <c r="AE285" s="340"/>
      <c r="AF285" s="340"/>
      <c r="AG285" s="340"/>
    </row>
    <row r="286" ht="15.75" customHeight="1">
      <c r="A286" s="340"/>
      <c r="B286" s="340"/>
      <c r="C286" s="340"/>
      <c r="D286" s="340"/>
      <c r="E286" s="340"/>
      <c r="F286" s="340"/>
      <c r="G286" s="340"/>
      <c r="H286" s="340"/>
      <c r="I286" s="340"/>
      <c r="J286" s="340"/>
      <c r="K286" s="340"/>
      <c r="L286" s="340"/>
      <c r="M286" s="340"/>
      <c r="N286" s="340"/>
      <c r="O286" s="340"/>
      <c r="P286" s="340"/>
      <c r="Q286" s="340"/>
      <c r="R286" s="340"/>
      <c r="S286" s="340"/>
      <c r="T286" s="340"/>
      <c r="U286" s="340"/>
      <c r="V286" s="340"/>
      <c r="W286" s="340"/>
      <c r="X286" s="340"/>
      <c r="Y286" s="340"/>
      <c r="Z286" s="340"/>
      <c r="AA286" s="340"/>
      <c r="AB286" s="340"/>
      <c r="AC286" s="340"/>
      <c r="AD286" s="340"/>
      <c r="AE286" s="340"/>
      <c r="AF286" s="340"/>
      <c r="AG286" s="340"/>
    </row>
    <row r="287" ht="15.75" customHeight="1">
      <c r="A287" s="340"/>
      <c r="B287" s="340"/>
      <c r="C287" s="340"/>
      <c r="D287" s="340"/>
      <c r="E287" s="340"/>
      <c r="F287" s="340"/>
      <c r="G287" s="340"/>
      <c r="H287" s="340"/>
      <c r="I287" s="340"/>
      <c r="J287" s="340"/>
      <c r="K287" s="340"/>
      <c r="L287" s="340"/>
      <c r="M287" s="340"/>
      <c r="N287" s="340"/>
      <c r="O287" s="340"/>
      <c r="P287" s="340"/>
      <c r="Q287" s="340"/>
      <c r="R287" s="340"/>
      <c r="S287" s="340"/>
      <c r="T287" s="340"/>
      <c r="U287" s="340"/>
      <c r="V287" s="340"/>
      <c r="W287" s="340"/>
      <c r="X287" s="340"/>
      <c r="Y287" s="340"/>
      <c r="Z287" s="340"/>
      <c r="AA287" s="340"/>
      <c r="AB287" s="340"/>
      <c r="AC287" s="340"/>
      <c r="AD287" s="340"/>
      <c r="AE287" s="340"/>
      <c r="AF287" s="340"/>
      <c r="AG287" s="340"/>
    </row>
    <row r="288" ht="15.75" customHeight="1">
      <c r="A288" s="340"/>
      <c r="B288" s="340"/>
      <c r="C288" s="340"/>
      <c r="D288" s="340"/>
      <c r="E288" s="340"/>
      <c r="F288" s="340"/>
      <c r="G288" s="340"/>
      <c r="H288" s="340"/>
      <c r="I288" s="340"/>
      <c r="J288" s="340"/>
      <c r="K288" s="340"/>
      <c r="L288" s="340"/>
      <c r="M288" s="340"/>
      <c r="N288" s="340"/>
      <c r="O288" s="340"/>
      <c r="P288" s="340"/>
      <c r="Q288" s="340"/>
      <c r="R288" s="340"/>
      <c r="S288" s="340"/>
      <c r="T288" s="340"/>
      <c r="U288" s="340"/>
      <c r="V288" s="340"/>
      <c r="W288" s="340"/>
      <c r="X288" s="340"/>
      <c r="Y288" s="340"/>
      <c r="Z288" s="340"/>
      <c r="AA288" s="340"/>
      <c r="AB288" s="340"/>
      <c r="AC288" s="340"/>
      <c r="AD288" s="340"/>
      <c r="AE288" s="340"/>
      <c r="AF288" s="340"/>
      <c r="AG288" s="340"/>
    </row>
    <row r="289" ht="15.75" customHeight="1">
      <c r="A289" s="340"/>
      <c r="B289" s="340"/>
      <c r="C289" s="340"/>
      <c r="D289" s="340"/>
      <c r="E289" s="340"/>
      <c r="F289" s="340"/>
      <c r="G289" s="340"/>
      <c r="H289" s="340"/>
      <c r="I289" s="340"/>
      <c r="J289" s="340"/>
      <c r="K289" s="340"/>
      <c r="L289" s="340"/>
      <c r="M289" s="340"/>
      <c r="N289" s="340"/>
      <c r="O289" s="340"/>
      <c r="P289" s="340"/>
      <c r="Q289" s="340"/>
      <c r="R289" s="340"/>
      <c r="S289" s="340"/>
      <c r="T289" s="340"/>
      <c r="U289" s="340"/>
      <c r="V289" s="340"/>
      <c r="W289" s="340"/>
      <c r="X289" s="340"/>
      <c r="Y289" s="340"/>
      <c r="Z289" s="340"/>
      <c r="AA289" s="340"/>
      <c r="AB289" s="340"/>
      <c r="AC289" s="340"/>
      <c r="AD289" s="340"/>
      <c r="AE289" s="340"/>
      <c r="AF289" s="340"/>
      <c r="AG289" s="340"/>
    </row>
    <row r="290" ht="15.75" customHeight="1">
      <c r="A290" s="340"/>
      <c r="B290" s="340"/>
      <c r="C290" s="340"/>
      <c r="D290" s="340"/>
      <c r="E290" s="340"/>
      <c r="F290" s="340"/>
      <c r="G290" s="340"/>
      <c r="H290" s="340"/>
      <c r="I290" s="340"/>
      <c r="J290" s="340"/>
      <c r="K290" s="340"/>
      <c r="L290" s="340"/>
      <c r="M290" s="340"/>
      <c r="N290" s="340"/>
      <c r="O290" s="340"/>
      <c r="P290" s="340"/>
      <c r="Q290" s="340"/>
      <c r="R290" s="340"/>
      <c r="S290" s="340"/>
      <c r="T290" s="340"/>
      <c r="U290" s="340"/>
      <c r="V290" s="340"/>
      <c r="W290" s="340"/>
      <c r="X290" s="340"/>
      <c r="Y290" s="340"/>
      <c r="Z290" s="340"/>
      <c r="AA290" s="340"/>
      <c r="AB290" s="340"/>
      <c r="AC290" s="340"/>
      <c r="AD290" s="340"/>
      <c r="AE290" s="340"/>
      <c r="AF290" s="340"/>
      <c r="AG290" s="340"/>
    </row>
    <row r="291" ht="15.75" customHeight="1">
      <c r="A291" s="340"/>
      <c r="B291" s="340"/>
      <c r="C291" s="340"/>
      <c r="D291" s="340"/>
      <c r="E291" s="340"/>
      <c r="F291" s="340"/>
      <c r="G291" s="340"/>
      <c r="H291" s="340"/>
      <c r="I291" s="340"/>
      <c r="J291" s="340"/>
      <c r="K291" s="340"/>
      <c r="L291" s="340"/>
      <c r="M291" s="340"/>
      <c r="N291" s="340"/>
      <c r="O291" s="340"/>
      <c r="P291" s="340"/>
      <c r="Q291" s="340"/>
      <c r="R291" s="340"/>
      <c r="S291" s="340"/>
      <c r="T291" s="340"/>
      <c r="U291" s="340"/>
      <c r="V291" s="340"/>
      <c r="W291" s="340"/>
      <c r="X291" s="340"/>
      <c r="Y291" s="340"/>
      <c r="Z291" s="340"/>
      <c r="AA291" s="340"/>
      <c r="AB291" s="340"/>
      <c r="AC291" s="340"/>
      <c r="AD291" s="340"/>
      <c r="AE291" s="340"/>
      <c r="AF291" s="340"/>
      <c r="AG291" s="340"/>
    </row>
    <row r="292" ht="15.75" customHeight="1">
      <c r="A292" s="340"/>
      <c r="B292" s="340"/>
      <c r="C292" s="340"/>
      <c r="D292" s="340"/>
      <c r="E292" s="340"/>
      <c r="F292" s="340"/>
      <c r="G292" s="340"/>
      <c r="H292" s="340"/>
      <c r="I292" s="340"/>
      <c r="J292" s="340"/>
      <c r="K292" s="340"/>
      <c r="L292" s="340"/>
      <c r="M292" s="340"/>
      <c r="N292" s="340"/>
      <c r="O292" s="340"/>
      <c r="P292" s="340"/>
      <c r="Q292" s="340"/>
      <c r="R292" s="340"/>
      <c r="S292" s="340"/>
      <c r="T292" s="340"/>
      <c r="U292" s="340"/>
      <c r="V292" s="340"/>
      <c r="W292" s="340"/>
      <c r="X292" s="340"/>
      <c r="Y292" s="340"/>
      <c r="Z292" s="340"/>
      <c r="AA292" s="340"/>
      <c r="AB292" s="340"/>
      <c r="AC292" s="340"/>
      <c r="AD292" s="340"/>
      <c r="AE292" s="340"/>
      <c r="AF292" s="340"/>
      <c r="AG292" s="340"/>
    </row>
    <row r="293" ht="15.75" customHeight="1">
      <c r="A293" s="340"/>
      <c r="B293" s="340"/>
      <c r="C293" s="340"/>
      <c r="D293" s="340"/>
      <c r="E293" s="340"/>
      <c r="F293" s="340"/>
      <c r="G293" s="340"/>
      <c r="H293" s="340"/>
      <c r="I293" s="340"/>
      <c r="J293" s="340"/>
      <c r="K293" s="340"/>
      <c r="L293" s="340"/>
      <c r="M293" s="340"/>
      <c r="N293" s="340"/>
      <c r="O293" s="340"/>
      <c r="P293" s="340"/>
      <c r="Q293" s="340"/>
      <c r="R293" s="340"/>
      <c r="S293" s="340"/>
      <c r="T293" s="340"/>
      <c r="U293" s="340"/>
      <c r="V293" s="340"/>
      <c r="W293" s="340"/>
      <c r="X293" s="340"/>
      <c r="Y293" s="340"/>
      <c r="Z293" s="340"/>
      <c r="AA293" s="340"/>
      <c r="AB293" s="340"/>
      <c r="AC293" s="340"/>
      <c r="AD293" s="340"/>
      <c r="AE293" s="340"/>
      <c r="AF293" s="340"/>
      <c r="AG293" s="340"/>
    </row>
    <row r="294" ht="15.75" customHeight="1">
      <c r="A294" s="340"/>
      <c r="B294" s="340"/>
      <c r="C294" s="340"/>
      <c r="D294" s="340"/>
      <c r="E294" s="340"/>
      <c r="F294" s="340"/>
      <c r="G294" s="340"/>
      <c r="H294" s="340"/>
      <c r="I294" s="340"/>
      <c r="J294" s="340"/>
      <c r="K294" s="340"/>
      <c r="L294" s="340"/>
      <c r="M294" s="340"/>
      <c r="N294" s="340"/>
      <c r="O294" s="340"/>
      <c r="P294" s="340"/>
      <c r="Q294" s="340"/>
      <c r="R294" s="340"/>
      <c r="S294" s="340"/>
      <c r="T294" s="340"/>
      <c r="U294" s="340"/>
      <c r="V294" s="340"/>
      <c r="W294" s="340"/>
      <c r="X294" s="340"/>
      <c r="Y294" s="340"/>
      <c r="Z294" s="340"/>
      <c r="AA294" s="340"/>
      <c r="AB294" s="340"/>
      <c r="AC294" s="340"/>
      <c r="AD294" s="340"/>
      <c r="AE294" s="340"/>
      <c r="AF294" s="340"/>
      <c r="AG294" s="340"/>
    </row>
    <row r="295" ht="15.75" customHeight="1">
      <c r="A295" s="340"/>
      <c r="B295" s="340"/>
      <c r="C295" s="340"/>
      <c r="D295" s="340"/>
      <c r="E295" s="340"/>
      <c r="F295" s="340"/>
      <c r="G295" s="340"/>
      <c r="H295" s="340"/>
      <c r="I295" s="340"/>
      <c r="J295" s="340"/>
      <c r="K295" s="340"/>
      <c r="L295" s="340"/>
      <c r="M295" s="340"/>
      <c r="N295" s="340"/>
      <c r="O295" s="340"/>
      <c r="P295" s="340"/>
      <c r="Q295" s="340"/>
      <c r="R295" s="340"/>
      <c r="S295" s="340"/>
      <c r="T295" s="340"/>
      <c r="U295" s="340"/>
      <c r="V295" s="340"/>
      <c r="W295" s="340"/>
      <c r="X295" s="340"/>
      <c r="Y295" s="340"/>
      <c r="Z295" s="340"/>
      <c r="AA295" s="340"/>
      <c r="AB295" s="340"/>
      <c r="AC295" s="340"/>
      <c r="AD295" s="340"/>
      <c r="AE295" s="340"/>
      <c r="AF295" s="340"/>
      <c r="AG295" s="340"/>
    </row>
    <row r="296" ht="15.75" customHeight="1">
      <c r="A296" s="340"/>
      <c r="B296" s="340"/>
      <c r="C296" s="340"/>
      <c r="D296" s="340"/>
      <c r="E296" s="340"/>
      <c r="F296" s="340"/>
      <c r="G296" s="340"/>
      <c r="H296" s="340"/>
      <c r="I296" s="340"/>
      <c r="J296" s="340"/>
      <c r="K296" s="340"/>
      <c r="L296" s="340"/>
      <c r="M296" s="340"/>
      <c r="N296" s="340"/>
      <c r="O296" s="340"/>
      <c r="P296" s="340"/>
      <c r="Q296" s="340"/>
      <c r="R296" s="340"/>
      <c r="S296" s="340"/>
      <c r="T296" s="340"/>
      <c r="U296" s="340"/>
      <c r="V296" s="340"/>
      <c r="W296" s="340"/>
      <c r="X296" s="340"/>
      <c r="Y296" s="340"/>
      <c r="Z296" s="340"/>
      <c r="AA296" s="340"/>
      <c r="AB296" s="340"/>
      <c r="AC296" s="340"/>
      <c r="AD296" s="340"/>
      <c r="AE296" s="340"/>
      <c r="AF296" s="340"/>
      <c r="AG296" s="340"/>
    </row>
    <row r="297" ht="15.75" customHeight="1">
      <c r="A297" s="340"/>
      <c r="B297" s="340"/>
      <c r="C297" s="340"/>
      <c r="D297" s="340"/>
      <c r="E297" s="340"/>
      <c r="F297" s="340"/>
      <c r="G297" s="340"/>
      <c r="H297" s="340"/>
      <c r="I297" s="340"/>
      <c r="J297" s="340"/>
      <c r="K297" s="340"/>
      <c r="L297" s="340"/>
      <c r="M297" s="340"/>
      <c r="N297" s="340"/>
      <c r="O297" s="340"/>
      <c r="P297" s="340"/>
      <c r="Q297" s="340"/>
      <c r="R297" s="340"/>
      <c r="S297" s="340"/>
      <c r="T297" s="340"/>
      <c r="U297" s="340"/>
      <c r="V297" s="340"/>
      <c r="W297" s="340"/>
      <c r="X297" s="340"/>
      <c r="Y297" s="340"/>
      <c r="Z297" s="340"/>
      <c r="AA297" s="340"/>
      <c r="AB297" s="340"/>
      <c r="AC297" s="340"/>
      <c r="AD297" s="340"/>
      <c r="AE297" s="340"/>
      <c r="AF297" s="340"/>
      <c r="AG297" s="340"/>
    </row>
    <row r="298" ht="15.75" customHeight="1">
      <c r="A298" s="340"/>
      <c r="B298" s="340"/>
      <c r="C298" s="340"/>
      <c r="D298" s="340"/>
      <c r="E298" s="340"/>
      <c r="F298" s="340"/>
      <c r="G298" s="340"/>
      <c r="H298" s="340"/>
      <c r="I298" s="340"/>
      <c r="J298" s="340"/>
      <c r="K298" s="340"/>
      <c r="L298" s="340"/>
      <c r="M298" s="340"/>
      <c r="N298" s="340"/>
      <c r="O298" s="340"/>
      <c r="P298" s="340"/>
      <c r="Q298" s="340"/>
      <c r="R298" s="340"/>
      <c r="S298" s="340"/>
      <c r="T298" s="340"/>
      <c r="U298" s="340"/>
      <c r="V298" s="340"/>
      <c r="W298" s="340"/>
      <c r="X298" s="340"/>
      <c r="Y298" s="340"/>
      <c r="Z298" s="340"/>
      <c r="AA298" s="340"/>
      <c r="AB298" s="340"/>
      <c r="AC298" s="340"/>
      <c r="AD298" s="340"/>
      <c r="AE298" s="340"/>
      <c r="AF298" s="340"/>
      <c r="AG298" s="340"/>
    </row>
    <row r="299" ht="15.75" customHeight="1">
      <c r="A299" s="340"/>
      <c r="B299" s="340"/>
      <c r="C299" s="340"/>
      <c r="D299" s="340"/>
      <c r="E299" s="340"/>
      <c r="F299" s="340"/>
      <c r="G299" s="340"/>
      <c r="H299" s="340"/>
      <c r="I299" s="340"/>
      <c r="J299" s="340"/>
      <c r="K299" s="340"/>
      <c r="L299" s="340"/>
      <c r="M299" s="340"/>
      <c r="N299" s="340"/>
      <c r="O299" s="340"/>
      <c r="P299" s="340"/>
      <c r="Q299" s="340"/>
      <c r="R299" s="340"/>
      <c r="S299" s="340"/>
      <c r="T299" s="340"/>
      <c r="U299" s="340"/>
      <c r="V299" s="340"/>
      <c r="W299" s="340"/>
      <c r="X299" s="340"/>
      <c r="Y299" s="340"/>
      <c r="Z299" s="340"/>
      <c r="AA299" s="340"/>
      <c r="AB299" s="340"/>
      <c r="AC299" s="340"/>
      <c r="AD299" s="340"/>
      <c r="AE299" s="340"/>
      <c r="AF299" s="340"/>
      <c r="AG299" s="340"/>
    </row>
    <row r="300" ht="15.75" customHeight="1">
      <c r="A300" s="340"/>
      <c r="B300" s="340"/>
      <c r="C300" s="340"/>
      <c r="D300" s="340"/>
      <c r="E300" s="340"/>
      <c r="F300" s="340"/>
      <c r="G300" s="340"/>
      <c r="H300" s="340"/>
      <c r="I300" s="340"/>
      <c r="J300" s="340"/>
      <c r="K300" s="340"/>
      <c r="L300" s="340"/>
      <c r="M300" s="340"/>
      <c r="N300" s="340"/>
      <c r="O300" s="340"/>
      <c r="P300" s="340"/>
      <c r="Q300" s="340"/>
      <c r="R300" s="340"/>
      <c r="S300" s="340"/>
      <c r="T300" s="340"/>
      <c r="U300" s="340"/>
      <c r="V300" s="340"/>
      <c r="W300" s="340"/>
      <c r="X300" s="340"/>
      <c r="Y300" s="340"/>
      <c r="Z300" s="340"/>
      <c r="AA300" s="340"/>
      <c r="AB300" s="340"/>
      <c r="AC300" s="340"/>
      <c r="AD300" s="340"/>
      <c r="AE300" s="340"/>
      <c r="AF300" s="340"/>
      <c r="AG300" s="340"/>
    </row>
    <row r="301" ht="15.75" customHeight="1">
      <c r="A301" s="340"/>
      <c r="B301" s="340"/>
      <c r="C301" s="340"/>
      <c r="D301" s="340"/>
      <c r="E301" s="340"/>
      <c r="F301" s="340"/>
      <c r="G301" s="340"/>
      <c r="H301" s="340"/>
      <c r="I301" s="340"/>
      <c r="J301" s="340"/>
      <c r="K301" s="340"/>
      <c r="L301" s="340"/>
      <c r="M301" s="340"/>
      <c r="N301" s="340"/>
      <c r="O301" s="340"/>
      <c r="P301" s="340"/>
      <c r="Q301" s="340"/>
      <c r="R301" s="340"/>
      <c r="S301" s="340"/>
      <c r="T301" s="340"/>
      <c r="U301" s="340"/>
      <c r="V301" s="340"/>
      <c r="W301" s="340"/>
      <c r="X301" s="340"/>
      <c r="Y301" s="340"/>
      <c r="Z301" s="340"/>
      <c r="AA301" s="340"/>
      <c r="AB301" s="340"/>
      <c r="AC301" s="340"/>
      <c r="AD301" s="340"/>
      <c r="AE301" s="340"/>
      <c r="AF301" s="340"/>
      <c r="AG301" s="340"/>
    </row>
    <row r="302" ht="15.75" customHeight="1">
      <c r="A302" s="340"/>
      <c r="B302" s="340"/>
      <c r="C302" s="340"/>
      <c r="D302" s="340"/>
      <c r="E302" s="340"/>
      <c r="F302" s="340"/>
      <c r="G302" s="340"/>
      <c r="H302" s="340"/>
      <c r="I302" s="340"/>
      <c r="J302" s="340"/>
      <c r="K302" s="340"/>
      <c r="L302" s="340"/>
      <c r="M302" s="340"/>
      <c r="N302" s="340"/>
      <c r="O302" s="340"/>
      <c r="P302" s="340"/>
      <c r="Q302" s="340"/>
      <c r="R302" s="340"/>
      <c r="S302" s="340"/>
      <c r="T302" s="340"/>
      <c r="U302" s="340"/>
      <c r="V302" s="340"/>
      <c r="W302" s="340"/>
      <c r="X302" s="340"/>
      <c r="Y302" s="340"/>
      <c r="Z302" s="340"/>
      <c r="AA302" s="340"/>
      <c r="AB302" s="340"/>
      <c r="AC302" s="340"/>
      <c r="AD302" s="340"/>
      <c r="AE302" s="340"/>
      <c r="AF302" s="340"/>
      <c r="AG302" s="340"/>
    </row>
    <row r="303" ht="15.75" customHeight="1">
      <c r="A303" s="340"/>
      <c r="B303" s="340"/>
      <c r="C303" s="340"/>
      <c r="D303" s="340"/>
      <c r="E303" s="340"/>
      <c r="F303" s="340"/>
      <c r="G303" s="340"/>
      <c r="H303" s="340"/>
      <c r="I303" s="340"/>
      <c r="J303" s="340"/>
      <c r="K303" s="340"/>
      <c r="L303" s="340"/>
      <c r="M303" s="340"/>
      <c r="N303" s="340"/>
      <c r="O303" s="340"/>
      <c r="P303" s="340"/>
      <c r="Q303" s="340"/>
      <c r="R303" s="340"/>
      <c r="S303" s="340"/>
      <c r="T303" s="340"/>
      <c r="U303" s="340"/>
      <c r="V303" s="340"/>
      <c r="W303" s="340"/>
      <c r="X303" s="340"/>
      <c r="Y303" s="340"/>
      <c r="Z303" s="340"/>
      <c r="AA303" s="340"/>
      <c r="AB303" s="340"/>
      <c r="AC303" s="340"/>
      <c r="AD303" s="340"/>
      <c r="AE303" s="340"/>
      <c r="AF303" s="340"/>
      <c r="AG303" s="340"/>
    </row>
    <row r="304" ht="15.75" customHeight="1">
      <c r="A304" s="340"/>
      <c r="B304" s="340"/>
      <c r="C304" s="340"/>
      <c r="D304" s="340"/>
      <c r="E304" s="340"/>
      <c r="F304" s="340"/>
      <c r="G304" s="340"/>
      <c r="H304" s="340"/>
      <c r="I304" s="340"/>
      <c r="J304" s="340"/>
      <c r="K304" s="340"/>
      <c r="L304" s="340"/>
      <c r="M304" s="340"/>
      <c r="N304" s="340"/>
      <c r="O304" s="340"/>
      <c r="P304" s="340"/>
      <c r="Q304" s="340"/>
      <c r="R304" s="340"/>
      <c r="S304" s="340"/>
      <c r="T304" s="340"/>
      <c r="U304" s="340"/>
      <c r="V304" s="340"/>
      <c r="W304" s="340"/>
      <c r="X304" s="340"/>
      <c r="Y304" s="340"/>
      <c r="Z304" s="340"/>
      <c r="AA304" s="340"/>
      <c r="AB304" s="340"/>
      <c r="AC304" s="340"/>
      <c r="AD304" s="340"/>
      <c r="AE304" s="340"/>
      <c r="AF304" s="340"/>
      <c r="AG304" s="340"/>
    </row>
    <row r="305" ht="15.75" customHeight="1">
      <c r="A305" s="340"/>
      <c r="B305" s="340"/>
      <c r="C305" s="340"/>
      <c r="D305" s="340"/>
      <c r="E305" s="340"/>
      <c r="F305" s="340"/>
      <c r="G305" s="340"/>
      <c r="H305" s="340"/>
      <c r="I305" s="340"/>
      <c r="J305" s="340"/>
      <c r="K305" s="340"/>
      <c r="L305" s="340"/>
      <c r="M305" s="340"/>
      <c r="N305" s="340"/>
      <c r="O305" s="340"/>
      <c r="P305" s="340"/>
      <c r="Q305" s="340"/>
      <c r="R305" s="340"/>
      <c r="S305" s="340"/>
      <c r="T305" s="340"/>
      <c r="U305" s="340"/>
      <c r="V305" s="340"/>
      <c r="W305" s="340"/>
      <c r="X305" s="340"/>
      <c r="Y305" s="340"/>
      <c r="Z305" s="340"/>
      <c r="AA305" s="340"/>
      <c r="AB305" s="340"/>
      <c r="AC305" s="340"/>
      <c r="AD305" s="340"/>
      <c r="AE305" s="340"/>
      <c r="AF305" s="340"/>
      <c r="AG305" s="340"/>
    </row>
    <row r="306" ht="15.75" customHeight="1">
      <c r="A306" s="340"/>
      <c r="B306" s="340"/>
      <c r="C306" s="340"/>
      <c r="D306" s="340"/>
      <c r="E306" s="340"/>
      <c r="F306" s="340"/>
      <c r="G306" s="340"/>
      <c r="H306" s="340"/>
      <c r="I306" s="340"/>
      <c r="J306" s="340"/>
      <c r="K306" s="340"/>
      <c r="L306" s="340"/>
      <c r="M306" s="340"/>
      <c r="N306" s="340"/>
      <c r="O306" s="340"/>
      <c r="P306" s="340"/>
      <c r="Q306" s="340"/>
      <c r="R306" s="340"/>
      <c r="S306" s="340"/>
      <c r="T306" s="340"/>
      <c r="U306" s="340"/>
      <c r="V306" s="340"/>
      <c r="W306" s="340"/>
      <c r="X306" s="340"/>
      <c r="Y306" s="340"/>
      <c r="Z306" s="340"/>
      <c r="AA306" s="340"/>
      <c r="AB306" s="340"/>
      <c r="AC306" s="340"/>
      <c r="AD306" s="340"/>
      <c r="AE306" s="340"/>
      <c r="AF306" s="340"/>
      <c r="AG306" s="340"/>
    </row>
    <row r="307" ht="15.75" customHeight="1">
      <c r="A307" s="340"/>
      <c r="B307" s="340"/>
      <c r="C307" s="340"/>
      <c r="D307" s="340"/>
      <c r="E307" s="340"/>
      <c r="F307" s="340"/>
      <c r="G307" s="340"/>
      <c r="H307" s="340"/>
      <c r="I307" s="340"/>
      <c r="J307" s="340"/>
      <c r="K307" s="340"/>
      <c r="L307" s="340"/>
      <c r="M307" s="340"/>
      <c r="N307" s="340"/>
      <c r="O307" s="340"/>
      <c r="P307" s="340"/>
      <c r="Q307" s="340"/>
      <c r="R307" s="340"/>
      <c r="S307" s="340"/>
      <c r="T307" s="340"/>
      <c r="U307" s="340"/>
      <c r="V307" s="340"/>
      <c r="W307" s="340"/>
      <c r="X307" s="340"/>
      <c r="Y307" s="340"/>
      <c r="Z307" s="340"/>
      <c r="AA307" s="340"/>
      <c r="AB307" s="340"/>
      <c r="AC307" s="340"/>
      <c r="AD307" s="340"/>
      <c r="AE307" s="340"/>
      <c r="AF307" s="340"/>
      <c r="AG307" s="340"/>
    </row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autoFilter ref="$C$10:$W$51"/>
  <mergeCells count="3">
    <mergeCell ref="C3:E3"/>
    <mergeCell ref="H3:L3"/>
    <mergeCell ref="I9:Q9"/>
  </mergeCells>
  <conditionalFormatting sqref="I11:W99">
    <cfRule type="containsText" dxfId="0" priority="1" operator="containsText" text="0">
      <formula>NOT(ISERROR(SEARCH(("0"),(I11))))</formula>
    </cfRule>
  </conditionalFormatting>
  <conditionalFormatting sqref="I11:W99">
    <cfRule type="containsText" dxfId="1" priority="2" stopIfTrue="1" operator="containsText" text="1">
      <formula>NOT(ISERROR(SEARCH(("1"),(I11))))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25"/>
    <col customWidth="1" min="2" max="2" width="22.5"/>
    <col customWidth="1" min="3" max="3" width="19.25"/>
    <col customWidth="1" min="4" max="5" width="22.13"/>
    <col customWidth="1" min="6" max="6" width="13.13"/>
    <col customWidth="1" min="7" max="7" width="12.25"/>
    <col customWidth="1" min="8" max="8" width="11.63"/>
    <col customWidth="1" min="9" max="9" width="37.5"/>
    <col customWidth="1" min="10" max="10" width="13.25"/>
    <col customWidth="1" min="11" max="11" width="14.5"/>
    <col customWidth="1" min="12" max="12" width="15.88"/>
    <col customWidth="1" min="13" max="13" width="16.5"/>
    <col customWidth="1" min="14" max="14" width="18.5"/>
  </cols>
  <sheetData>
    <row r="1">
      <c r="A1" s="387" t="s">
        <v>317</v>
      </c>
      <c r="B1" s="387" t="s">
        <v>318</v>
      </c>
      <c r="C1" s="388" t="s">
        <v>319</v>
      </c>
      <c r="D1" s="387" t="s">
        <v>320</v>
      </c>
      <c r="E1" s="387" t="s">
        <v>299</v>
      </c>
      <c r="F1" s="388" t="s">
        <v>321</v>
      </c>
      <c r="G1" s="388" t="s">
        <v>322</v>
      </c>
      <c r="H1" s="388" t="s">
        <v>323</v>
      </c>
      <c r="I1" s="388" t="s">
        <v>324</v>
      </c>
      <c r="J1" s="388" t="s">
        <v>325</v>
      </c>
      <c r="K1" s="388" t="s">
        <v>326</v>
      </c>
      <c r="L1" s="388" t="s">
        <v>327</v>
      </c>
      <c r="M1" s="388" t="s">
        <v>328</v>
      </c>
      <c r="N1" s="388" t="s">
        <v>329</v>
      </c>
      <c r="O1" s="389"/>
      <c r="P1" s="389"/>
      <c r="Q1" s="389"/>
      <c r="R1" s="389"/>
      <c r="S1" s="389"/>
      <c r="T1" s="389"/>
      <c r="U1" s="389"/>
      <c r="V1" s="389"/>
      <c r="W1" s="389"/>
      <c r="X1" s="389"/>
      <c r="Y1" s="389"/>
      <c r="Z1" s="389"/>
      <c r="AA1" s="389"/>
      <c r="AB1" s="389"/>
      <c r="AC1" s="389"/>
    </row>
    <row r="2">
      <c r="A2" s="390" t="s">
        <v>330</v>
      </c>
      <c r="B2" s="391">
        <v>24.0</v>
      </c>
      <c r="C2" s="392" t="s">
        <v>330</v>
      </c>
      <c r="D2" s="393">
        <v>45047.0</v>
      </c>
      <c r="E2" s="394">
        <v>1.0</v>
      </c>
      <c r="F2" s="395">
        <v>7.0</v>
      </c>
      <c r="G2" s="396">
        <v>15000.0</v>
      </c>
      <c r="H2" s="392" t="s">
        <v>331</v>
      </c>
      <c r="I2" s="392" t="s">
        <v>332</v>
      </c>
      <c r="J2" s="392" t="s">
        <v>75</v>
      </c>
      <c r="K2" s="395">
        <v>2500.0</v>
      </c>
      <c r="L2" s="395">
        <v>68.0</v>
      </c>
      <c r="M2" s="395">
        <v>6.0</v>
      </c>
      <c r="N2" s="395">
        <v>0.0</v>
      </c>
    </row>
    <row r="3">
      <c r="A3" s="390" t="s">
        <v>283</v>
      </c>
      <c r="B3" s="391">
        <v>36.0</v>
      </c>
      <c r="C3" s="392" t="s">
        <v>333</v>
      </c>
      <c r="D3" s="397">
        <v>45292.0</v>
      </c>
      <c r="E3" s="394">
        <v>1.0</v>
      </c>
      <c r="F3" s="391">
        <v>5.0</v>
      </c>
      <c r="G3" s="398">
        <v>35000.0</v>
      </c>
      <c r="H3" s="392" t="s">
        <v>334</v>
      </c>
      <c r="I3" s="392" t="s">
        <v>335</v>
      </c>
      <c r="J3" s="392" t="s">
        <v>336</v>
      </c>
      <c r="K3" s="395">
        <v>30000.0</v>
      </c>
      <c r="L3" s="395">
        <v>3000.0</v>
      </c>
      <c r="M3" s="395">
        <v>35.0</v>
      </c>
      <c r="N3" s="395">
        <v>4.0</v>
      </c>
    </row>
    <row r="4">
      <c r="A4" s="399" t="s">
        <v>337</v>
      </c>
      <c r="B4" s="391">
        <v>36.0</v>
      </c>
      <c r="C4" s="394" t="s">
        <v>338</v>
      </c>
      <c r="D4" s="397">
        <v>45292.0</v>
      </c>
      <c r="E4" s="394">
        <v>1.0</v>
      </c>
      <c r="F4" s="391">
        <v>5.0</v>
      </c>
      <c r="G4" s="398">
        <v>35000.0</v>
      </c>
      <c r="H4" s="392" t="s">
        <v>334</v>
      </c>
      <c r="I4" s="392" t="s">
        <v>335</v>
      </c>
      <c r="J4" s="392" t="s">
        <v>336</v>
      </c>
      <c r="K4" s="395">
        <v>30000.0</v>
      </c>
      <c r="L4" s="395">
        <v>3000.0</v>
      </c>
      <c r="M4" s="395">
        <v>35.0</v>
      </c>
      <c r="N4" s="395">
        <v>4.0</v>
      </c>
    </row>
    <row r="5">
      <c r="A5" s="390" t="s">
        <v>339</v>
      </c>
      <c r="B5" s="391">
        <v>24.0</v>
      </c>
      <c r="C5" s="392" t="s">
        <v>340</v>
      </c>
      <c r="D5" s="397">
        <v>45200.0</v>
      </c>
      <c r="E5" s="394">
        <v>2.0</v>
      </c>
      <c r="F5" s="395">
        <v>3.0</v>
      </c>
      <c r="G5" s="396">
        <v>10000.0</v>
      </c>
      <c r="H5" s="392" t="s">
        <v>341</v>
      </c>
      <c r="I5" s="392" t="s">
        <v>342</v>
      </c>
      <c r="J5" s="392" t="s">
        <v>75</v>
      </c>
      <c r="K5" s="395">
        <v>3500.0</v>
      </c>
      <c r="L5" s="395">
        <v>102.0</v>
      </c>
      <c r="M5" s="395">
        <v>4.0</v>
      </c>
      <c r="N5" s="395">
        <v>0.0</v>
      </c>
    </row>
    <row r="6">
      <c r="A6" s="390" t="s">
        <v>343</v>
      </c>
      <c r="B6" s="391">
        <v>24.0</v>
      </c>
      <c r="C6" s="392" t="s">
        <v>344</v>
      </c>
      <c r="D6" s="397">
        <v>45261.0</v>
      </c>
      <c r="E6" s="394">
        <v>2.0</v>
      </c>
      <c r="F6" s="395">
        <v>3.0</v>
      </c>
      <c r="G6" s="396">
        <v>15000.0</v>
      </c>
      <c r="H6" s="392" t="s">
        <v>331</v>
      </c>
      <c r="I6" s="392" t="s">
        <v>345</v>
      </c>
      <c r="J6" s="392" t="s">
        <v>346</v>
      </c>
      <c r="K6" s="395">
        <v>207.0</v>
      </c>
      <c r="L6" s="395">
        <v>16.0</v>
      </c>
      <c r="M6" s="395">
        <v>2.0</v>
      </c>
      <c r="N6" s="395">
        <v>0.0</v>
      </c>
    </row>
    <row r="7">
      <c r="A7" s="390" t="s">
        <v>347</v>
      </c>
      <c r="B7" s="391">
        <v>48.0</v>
      </c>
      <c r="C7" s="392" t="s">
        <v>348</v>
      </c>
      <c r="D7" s="397">
        <v>45292.0</v>
      </c>
      <c r="E7" s="394">
        <v>2.0</v>
      </c>
      <c r="F7" s="395">
        <v>80.0</v>
      </c>
      <c r="G7" s="396">
        <v>52500.0</v>
      </c>
      <c r="H7" s="392" t="s">
        <v>331</v>
      </c>
      <c r="I7" s="392" t="s">
        <v>349</v>
      </c>
      <c r="J7" s="392" t="s">
        <v>346</v>
      </c>
      <c r="K7" s="395">
        <v>3200.0</v>
      </c>
      <c r="L7" s="395">
        <v>143.0</v>
      </c>
      <c r="M7" s="395">
        <v>4.0</v>
      </c>
      <c r="N7" s="395">
        <v>0.0</v>
      </c>
    </row>
    <row r="8">
      <c r="A8" s="390" t="s">
        <v>350</v>
      </c>
      <c r="B8" s="394">
        <v>24.0</v>
      </c>
      <c r="C8" s="392" t="s">
        <v>351</v>
      </c>
      <c r="D8" s="397">
        <v>45352.0</v>
      </c>
      <c r="E8" s="394">
        <v>2.0</v>
      </c>
      <c r="F8" s="394">
        <v>-1.0</v>
      </c>
      <c r="G8" s="396">
        <v>25000.0</v>
      </c>
      <c r="H8" s="392" t="s">
        <v>331</v>
      </c>
      <c r="I8" s="392" t="s">
        <v>352</v>
      </c>
      <c r="J8" s="392" t="s">
        <v>75</v>
      </c>
      <c r="K8" s="395">
        <v>1600.0</v>
      </c>
      <c r="L8" s="395">
        <v>90.0</v>
      </c>
      <c r="M8" s="395">
        <v>7.0</v>
      </c>
      <c r="N8" s="395">
        <v>0.0</v>
      </c>
    </row>
    <row r="9">
      <c r="A9" s="390" t="s">
        <v>353</v>
      </c>
      <c r="B9" s="391">
        <v>24.0</v>
      </c>
      <c r="C9" s="392" t="s">
        <v>354</v>
      </c>
      <c r="D9" s="397">
        <v>45261.0</v>
      </c>
      <c r="E9" s="394">
        <v>2.0</v>
      </c>
      <c r="F9" s="395">
        <v>5.0</v>
      </c>
      <c r="G9" s="396">
        <v>12500.0</v>
      </c>
      <c r="H9" s="392" t="s">
        <v>331</v>
      </c>
      <c r="I9" s="392" t="s">
        <v>355</v>
      </c>
      <c r="J9" s="392" t="s">
        <v>75</v>
      </c>
      <c r="K9" s="395">
        <v>1300.0</v>
      </c>
      <c r="L9" s="395">
        <v>34.0</v>
      </c>
      <c r="M9" s="395">
        <v>2.0</v>
      </c>
      <c r="N9" s="395">
        <v>0.0</v>
      </c>
    </row>
    <row r="10">
      <c r="A10" s="390" t="s">
        <v>356</v>
      </c>
      <c r="B10" s="391">
        <v>24.0</v>
      </c>
      <c r="C10" s="392" t="s">
        <v>357</v>
      </c>
      <c r="D10" s="397">
        <v>45139.0</v>
      </c>
      <c r="E10" s="394">
        <v>1.0</v>
      </c>
      <c r="F10" s="395">
        <v>7.0</v>
      </c>
      <c r="G10" s="396">
        <v>25000.0</v>
      </c>
      <c r="H10" s="392" t="s">
        <v>358</v>
      </c>
      <c r="I10" s="392" t="s">
        <v>349</v>
      </c>
      <c r="J10" s="392" t="s">
        <v>75</v>
      </c>
      <c r="K10" s="395">
        <v>11000.0</v>
      </c>
      <c r="L10" s="395">
        <v>218.0</v>
      </c>
      <c r="M10" s="395">
        <v>8.0</v>
      </c>
      <c r="N10" s="395">
        <v>0.0</v>
      </c>
    </row>
    <row r="11">
      <c r="A11" s="390" t="s">
        <v>288</v>
      </c>
      <c r="B11" s="391">
        <v>24.0</v>
      </c>
      <c r="C11" s="392" t="s">
        <v>359</v>
      </c>
      <c r="D11" s="397">
        <v>45352.0</v>
      </c>
      <c r="E11" s="394">
        <v>1.0</v>
      </c>
      <c r="F11" s="395">
        <v>3.0</v>
      </c>
      <c r="G11" s="396">
        <v>20000.0</v>
      </c>
      <c r="H11" s="392" t="s">
        <v>360</v>
      </c>
      <c r="I11" s="392" t="s">
        <v>361</v>
      </c>
      <c r="J11" s="392" t="s">
        <v>75</v>
      </c>
      <c r="K11" s="395">
        <v>4000.0</v>
      </c>
      <c r="L11" s="395">
        <v>120.0</v>
      </c>
      <c r="M11" s="395">
        <v>2.0</v>
      </c>
      <c r="N11" s="395">
        <v>0.0</v>
      </c>
    </row>
    <row r="12">
      <c r="A12" s="390" t="s">
        <v>362</v>
      </c>
      <c r="B12" s="391">
        <v>12.0</v>
      </c>
      <c r="C12" s="392" t="s">
        <v>363</v>
      </c>
      <c r="D12" s="397">
        <v>45505.0</v>
      </c>
      <c r="E12" s="394">
        <v>2.0</v>
      </c>
      <c r="F12" s="395">
        <v>2.0</v>
      </c>
      <c r="G12" s="396">
        <v>2000.0</v>
      </c>
      <c r="H12" s="392" t="s">
        <v>364</v>
      </c>
      <c r="I12" s="392" t="s">
        <v>365</v>
      </c>
      <c r="J12" s="392" t="s">
        <v>366</v>
      </c>
      <c r="K12" s="395">
        <v>853.0</v>
      </c>
      <c r="L12" s="395">
        <v>70.0</v>
      </c>
      <c r="M12" s="395">
        <v>4.0</v>
      </c>
      <c r="N12" s="395">
        <v>0.0</v>
      </c>
    </row>
    <row r="13">
      <c r="A13" s="390" t="s">
        <v>367</v>
      </c>
      <c r="B13" s="391">
        <v>12.0</v>
      </c>
      <c r="C13" s="392" t="s">
        <v>368</v>
      </c>
      <c r="D13" s="393">
        <v>45047.0</v>
      </c>
      <c r="E13" s="394">
        <v>1.0</v>
      </c>
      <c r="F13" s="395">
        <v>5.0</v>
      </c>
      <c r="G13" s="396">
        <v>5000.0</v>
      </c>
      <c r="H13" s="392" t="s">
        <v>331</v>
      </c>
      <c r="I13" s="392" t="s">
        <v>369</v>
      </c>
      <c r="J13" s="392" t="s">
        <v>75</v>
      </c>
      <c r="K13" s="395">
        <v>1500.0</v>
      </c>
      <c r="L13" s="395">
        <v>46.0</v>
      </c>
      <c r="M13" s="395">
        <v>1.0</v>
      </c>
      <c r="N13" s="395">
        <v>0.0</v>
      </c>
    </row>
    <row r="14">
      <c r="A14" s="390" t="s">
        <v>370</v>
      </c>
      <c r="B14" s="391">
        <v>24.0</v>
      </c>
      <c r="C14" s="392" t="s">
        <v>371</v>
      </c>
      <c r="D14" s="397">
        <v>45323.0</v>
      </c>
      <c r="E14" s="394">
        <v>2.0</v>
      </c>
      <c r="F14" s="395">
        <v>5.0</v>
      </c>
      <c r="G14" s="396">
        <v>15000.0</v>
      </c>
      <c r="H14" s="392" t="s">
        <v>358</v>
      </c>
      <c r="I14" s="392" t="s">
        <v>372</v>
      </c>
      <c r="J14" s="392" t="s">
        <v>75</v>
      </c>
      <c r="K14" s="395">
        <v>3900.0</v>
      </c>
      <c r="L14" s="395">
        <v>196.0</v>
      </c>
      <c r="M14" s="395">
        <v>7.0</v>
      </c>
      <c r="N14" s="395">
        <v>0.0</v>
      </c>
    </row>
    <row r="15">
      <c r="A15" s="390" t="s">
        <v>285</v>
      </c>
      <c r="B15" s="391">
        <v>12.0</v>
      </c>
      <c r="C15" s="392" t="s">
        <v>373</v>
      </c>
      <c r="D15" s="397">
        <v>45292.0</v>
      </c>
      <c r="E15" s="394">
        <v>1.0</v>
      </c>
      <c r="F15" s="395">
        <v>4.0</v>
      </c>
      <c r="G15" s="396">
        <v>5000.0</v>
      </c>
      <c r="H15" s="392" t="s">
        <v>360</v>
      </c>
      <c r="I15" s="392" t="s">
        <v>374</v>
      </c>
      <c r="J15" s="392" t="s">
        <v>75</v>
      </c>
      <c r="K15" s="395">
        <v>471.0</v>
      </c>
      <c r="L15" s="395">
        <v>30.0</v>
      </c>
      <c r="M15" s="395">
        <v>5.0</v>
      </c>
      <c r="N15" s="395">
        <v>0.0</v>
      </c>
    </row>
    <row r="16">
      <c r="A16" s="390" t="s">
        <v>286</v>
      </c>
      <c r="B16" s="391">
        <v>12.0</v>
      </c>
      <c r="C16" s="392" t="s">
        <v>375</v>
      </c>
      <c r="D16" s="397">
        <v>45292.0</v>
      </c>
      <c r="E16" s="394">
        <v>1.0</v>
      </c>
      <c r="F16" s="395">
        <v>2.0</v>
      </c>
      <c r="G16" s="396">
        <v>12000.0</v>
      </c>
      <c r="H16" s="392" t="s">
        <v>360</v>
      </c>
      <c r="I16" s="392" t="s">
        <v>376</v>
      </c>
      <c r="J16" s="392" t="s">
        <v>336</v>
      </c>
      <c r="K16" s="395">
        <v>1000.0</v>
      </c>
      <c r="L16" s="395">
        <v>36.0</v>
      </c>
      <c r="M16" s="395">
        <v>1.0</v>
      </c>
      <c r="N16" s="395">
        <v>0.0</v>
      </c>
    </row>
    <row r="17">
      <c r="A17" s="390" t="s">
        <v>377</v>
      </c>
      <c r="B17" s="391">
        <v>24.0</v>
      </c>
      <c r="C17" s="392" t="s">
        <v>378</v>
      </c>
      <c r="D17" s="397">
        <v>45139.0</v>
      </c>
      <c r="E17" s="394">
        <v>1.0</v>
      </c>
      <c r="F17" s="395">
        <v>8.0</v>
      </c>
      <c r="G17" s="396">
        <v>20000.0</v>
      </c>
      <c r="H17" s="392" t="s">
        <v>341</v>
      </c>
      <c r="I17" s="392" t="s">
        <v>379</v>
      </c>
      <c r="J17" s="392" t="s">
        <v>75</v>
      </c>
      <c r="K17" s="395">
        <v>854.0</v>
      </c>
      <c r="L17" s="395">
        <v>50.0</v>
      </c>
      <c r="M17" s="395">
        <v>7.0</v>
      </c>
      <c r="N17" s="395">
        <v>1.0</v>
      </c>
    </row>
    <row r="18">
      <c r="A18" s="390" t="s">
        <v>380</v>
      </c>
      <c r="B18" s="391">
        <v>48.0</v>
      </c>
      <c r="C18" s="392" t="s">
        <v>381</v>
      </c>
      <c r="D18" s="397">
        <v>45170.0</v>
      </c>
      <c r="E18" s="394">
        <v>1.0</v>
      </c>
      <c r="F18" s="395">
        <v>150.0</v>
      </c>
      <c r="G18" s="396">
        <v>40000.0</v>
      </c>
      <c r="H18" s="392" t="s">
        <v>341</v>
      </c>
      <c r="I18" s="392" t="s">
        <v>382</v>
      </c>
      <c r="J18" s="392" t="s">
        <v>75</v>
      </c>
      <c r="K18" s="395">
        <v>1300.0</v>
      </c>
      <c r="L18" s="395">
        <v>75.0</v>
      </c>
      <c r="M18" s="395">
        <v>3.0</v>
      </c>
      <c r="N18" s="395">
        <v>5.0</v>
      </c>
    </row>
    <row r="19">
      <c r="A19" s="390" t="s">
        <v>383</v>
      </c>
      <c r="B19" s="391">
        <v>36.0</v>
      </c>
      <c r="C19" s="392" t="s">
        <v>384</v>
      </c>
      <c r="D19" s="393">
        <v>45078.0</v>
      </c>
      <c r="E19" s="394">
        <v>1.0</v>
      </c>
      <c r="F19" s="395">
        <v>4.0</v>
      </c>
      <c r="G19" s="396">
        <v>25000.0</v>
      </c>
      <c r="H19" s="392" t="s">
        <v>331</v>
      </c>
      <c r="I19" s="392" t="s">
        <v>361</v>
      </c>
      <c r="J19" s="392" t="s">
        <v>346</v>
      </c>
      <c r="K19" s="395">
        <v>2200.0</v>
      </c>
      <c r="L19" s="395">
        <v>129.0</v>
      </c>
      <c r="M19" s="395">
        <v>8.0</v>
      </c>
      <c r="N19" s="395">
        <v>1.0</v>
      </c>
    </row>
    <row r="20">
      <c r="A20" s="390" t="s">
        <v>385</v>
      </c>
      <c r="B20" s="391">
        <v>36.0</v>
      </c>
      <c r="C20" s="392" t="s">
        <v>386</v>
      </c>
      <c r="D20" s="393">
        <v>45047.0</v>
      </c>
      <c r="E20" s="394">
        <v>1.0</v>
      </c>
      <c r="F20" s="395">
        <v>5.0</v>
      </c>
      <c r="G20" s="396">
        <v>30000.0</v>
      </c>
      <c r="H20" s="392" t="s">
        <v>341</v>
      </c>
      <c r="I20" s="392" t="s">
        <v>387</v>
      </c>
      <c r="J20" s="392" t="s">
        <v>75</v>
      </c>
      <c r="K20" s="395">
        <v>9200.0</v>
      </c>
      <c r="L20" s="395">
        <v>147.0</v>
      </c>
      <c r="M20" s="395">
        <v>10.0</v>
      </c>
      <c r="N20" s="395">
        <v>2.0</v>
      </c>
    </row>
    <row r="21">
      <c r="A21" s="390" t="s">
        <v>388</v>
      </c>
      <c r="B21" s="391">
        <v>24.0</v>
      </c>
      <c r="C21" s="392" t="s">
        <v>389</v>
      </c>
      <c r="D21" s="397">
        <v>45323.0</v>
      </c>
      <c r="E21" s="394">
        <v>2.0</v>
      </c>
      <c r="F21" s="395">
        <v>5.0</v>
      </c>
      <c r="G21" s="396">
        <v>13000.0</v>
      </c>
      <c r="H21" s="392" t="s">
        <v>331</v>
      </c>
      <c r="I21" s="392" t="s">
        <v>390</v>
      </c>
      <c r="J21" s="392" t="s">
        <v>75</v>
      </c>
      <c r="K21" s="395">
        <v>1500.0</v>
      </c>
      <c r="L21" s="395">
        <v>65.0</v>
      </c>
      <c r="M21" s="395">
        <v>1.0</v>
      </c>
      <c r="N21" s="395">
        <v>1.0</v>
      </c>
    </row>
    <row r="22">
      <c r="A22" s="400" t="s">
        <v>391</v>
      </c>
      <c r="B22" s="391">
        <v>24.0</v>
      </c>
      <c r="C22" s="392" t="s">
        <v>392</v>
      </c>
      <c r="D22" s="397">
        <v>45261.0</v>
      </c>
      <c r="E22" s="394">
        <v>2.0</v>
      </c>
      <c r="F22" s="395">
        <v>3.0</v>
      </c>
      <c r="G22" s="396">
        <v>15000.0</v>
      </c>
      <c r="H22" s="392" t="s">
        <v>331</v>
      </c>
      <c r="I22" s="392" t="s">
        <v>393</v>
      </c>
      <c r="J22" s="392" t="s">
        <v>346</v>
      </c>
      <c r="K22" s="395">
        <v>1700.0</v>
      </c>
      <c r="L22" s="395">
        <v>54.0</v>
      </c>
      <c r="M22" s="395">
        <v>2.0</v>
      </c>
      <c r="N22" s="395">
        <v>0.0</v>
      </c>
    </row>
    <row r="23">
      <c r="A23" s="390" t="s">
        <v>394</v>
      </c>
      <c r="B23" s="391">
        <v>12.0</v>
      </c>
      <c r="C23" s="392" t="s">
        <v>395</v>
      </c>
      <c r="D23" s="397">
        <v>45352.0</v>
      </c>
      <c r="E23" s="394">
        <v>3.0</v>
      </c>
      <c r="F23" s="395">
        <v>3.0</v>
      </c>
      <c r="G23" s="396">
        <v>10000.0</v>
      </c>
      <c r="H23" s="392" t="s">
        <v>358</v>
      </c>
      <c r="I23" s="392" t="s">
        <v>379</v>
      </c>
      <c r="J23" s="392" t="s">
        <v>75</v>
      </c>
      <c r="K23" s="395">
        <v>12000.0</v>
      </c>
      <c r="L23" s="395">
        <v>275.0</v>
      </c>
      <c r="M23" s="395">
        <v>15.0</v>
      </c>
      <c r="N23" s="395">
        <v>3.0</v>
      </c>
    </row>
    <row r="24">
      <c r="A24" s="401" t="s">
        <v>396</v>
      </c>
      <c r="B24" s="391">
        <v>24.0</v>
      </c>
      <c r="C24" s="392" t="s">
        <v>397</v>
      </c>
      <c r="D24" s="397">
        <v>45352.0</v>
      </c>
      <c r="E24" s="394">
        <v>1.0</v>
      </c>
      <c r="F24" s="395">
        <v>7.0</v>
      </c>
      <c r="G24" s="396">
        <v>18000.0</v>
      </c>
      <c r="H24" s="392" t="s">
        <v>360</v>
      </c>
      <c r="I24" s="392" t="s">
        <v>398</v>
      </c>
      <c r="J24" s="392" t="s">
        <v>75</v>
      </c>
      <c r="K24" s="395">
        <v>3500.0</v>
      </c>
      <c r="L24" s="395">
        <v>111.0</v>
      </c>
      <c r="M24" s="395">
        <v>3.0</v>
      </c>
      <c r="N24" s="395">
        <v>1.0</v>
      </c>
    </row>
    <row r="25">
      <c r="A25" s="390" t="s">
        <v>399</v>
      </c>
      <c r="B25" s="391">
        <v>12.0</v>
      </c>
      <c r="C25" s="392" t="s">
        <v>400</v>
      </c>
      <c r="D25" s="397">
        <v>45139.0</v>
      </c>
      <c r="E25" s="394">
        <v>1.0</v>
      </c>
      <c r="F25" s="395">
        <v>2.0</v>
      </c>
      <c r="G25" s="396">
        <v>5000.0</v>
      </c>
      <c r="H25" s="392" t="s">
        <v>331</v>
      </c>
      <c r="I25" s="392" t="s">
        <v>352</v>
      </c>
      <c r="J25" s="392" t="s">
        <v>75</v>
      </c>
      <c r="K25" s="395">
        <v>2400.0</v>
      </c>
      <c r="L25" s="395">
        <v>85.0</v>
      </c>
      <c r="M25" s="395">
        <v>3.0</v>
      </c>
      <c r="N25" s="395">
        <v>0.0</v>
      </c>
    </row>
    <row r="26">
      <c r="A26" s="390" t="s">
        <v>287</v>
      </c>
      <c r="B26" s="391">
        <v>24.0</v>
      </c>
      <c r="C26" s="392" t="s">
        <v>401</v>
      </c>
      <c r="D26" s="397">
        <v>45323.0</v>
      </c>
      <c r="E26" s="394">
        <v>1.0</v>
      </c>
      <c r="F26" s="395">
        <v>4.0</v>
      </c>
      <c r="G26" s="396">
        <v>17000.0</v>
      </c>
      <c r="H26" s="392" t="s">
        <v>358</v>
      </c>
      <c r="I26" s="392" t="s">
        <v>372</v>
      </c>
      <c r="J26" s="392" t="s">
        <v>75</v>
      </c>
      <c r="K26" s="395">
        <v>250.0</v>
      </c>
      <c r="L26" s="395">
        <v>17.0</v>
      </c>
      <c r="M26" s="395">
        <v>2.0</v>
      </c>
      <c r="N26" s="395">
        <v>1.0</v>
      </c>
    </row>
    <row r="27">
      <c r="A27" s="390" t="s">
        <v>402</v>
      </c>
      <c r="B27" s="394">
        <v>36.0</v>
      </c>
      <c r="C27" s="392" t="s">
        <v>403</v>
      </c>
      <c r="D27" s="397">
        <v>45352.0</v>
      </c>
      <c r="E27" s="394">
        <v>2.0</v>
      </c>
      <c r="F27" s="394">
        <v>-1.0</v>
      </c>
      <c r="G27" s="396">
        <v>20000.0</v>
      </c>
      <c r="H27" s="392" t="s">
        <v>331</v>
      </c>
      <c r="I27" s="392" t="s">
        <v>361</v>
      </c>
      <c r="J27" s="392" t="s">
        <v>76</v>
      </c>
      <c r="K27" s="395">
        <v>4900.0</v>
      </c>
      <c r="L27" s="395">
        <v>195.0</v>
      </c>
      <c r="M27" s="395">
        <v>12.0</v>
      </c>
      <c r="N27" s="395">
        <v>1.0</v>
      </c>
    </row>
    <row r="28">
      <c r="A28" s="3" t="s">
        <v>404</v>
      </c>
      <c r="B28" s="391">
        <v>12.0</v>
      </c>
      <c r="C28" s="392" t="s">
        <v>405</v>
      </c>
      <c r="D28" s="397">
        <v>45352.0</v>
      </c>
      <c r="E28" s="394">
        <v>1.0</v>
      </c>
      <c r="F28" s="395">
        <v>5.0</v>
      </c>
      <c r="G28" s="396">
        <v>12000.0</v>
      </c>
      <c r="H28" s="392" t="s">
        <v>360</v>
      </c>
      <c r="I28" s="392" t="s">
        <v>406</v>
      </c>
      <c r="J28" s="392" t="s">
        <v>75</v>
      </c>
      <c r="K28" s="395">
        <v>315.0</v>
      </c>
      <c r="L28" s="395">
        <v>15.0</v>
      </c>
      <c r="M28" s="395">
        <v>2.0</v>
      </c>
      <c r="N28" s="395">
        <v>0.0</v>
      </c>
    </row>
    <row r="29">
      <c r="A29" s="390" t="s">
        <v>407</v>
      </c>
      <c r="B29" s="391">
        <v>36.0</v>
      </c>
      <c r="C29" s="392" t="s">
        <v>408</v>
      </c>
      <c r="D29" s="397">
        <v>45170.0</v>
      </c>
      <c r="E29" s="394">
        <v>1.0</v>
      </c>
      <c r="F29" s="395">
        <v>2.0</v>
      </c>
      <c r="G29" s="396">
        <v>27000.0</v>
      </c>
      <c r="H29" s="392" t="s">
        <v>341</v>
      </c>
      <c r="I29" s="392" t="s">
        <v>379</v>
      </c>
      <c r="J29" s="392" t="s">
        <v>75</v>
      </c>
      <c r="K29" s="395">
        <v>2000.0</v>
      </c>
      <c r="L29" s="395">
        <v>87.0</v>
      </c>
      <c r="M29" s="395">
        <v>0.0</v>
      </c>
      <c r="N29" s="395">
        <v>2.0</v>
      </c>
    </row>
    <row r="30">
      <c r="A30" s="390" t="s">
        <v>409</v>
      </c>
      <c r="B30" s="391">
        <v>36.0</v>
      </c>
      <c r="C30" s="392" t="s">
        <v>410</v>
      </c>
      <c r="D30" s="397">
        <v>45292.0</v>
      </c>
      <c r="E30" s="394">
        <v>3.0</v>
      </c>
      <c r="F30" s="395">
        <v>25.0</v>
      </c>
      <c r="G30" s="396">
        <v>20000.0</v>
      </c>
      <c r="H30" s="392" t="s">
        <v>331</v>
      </c>
      <c r="I30" s="392" t="s">
        <v>411</v>
      </c>
      <c r="J30" s="392" t="s">
        <v>75</v>
      </c>
      <c r="K30" s="395">
        <v>833.0</v>
      </c>
      <c r="L30" s="395">
        <v>69.0</v>
      </c>
      <c r="M30" s="395">
        <v>4.0</v>
      </c>
      <c r="N30" s="395">
        <v>0.0</v>
      </c>
    </row>
    <row r="31">
      <c r="A31" s="399" t="s">
        <v>412</v>
      </c>
      <c r="B31" s="391">
        <v>12.0</v>
      </c>
      <c r="C31" s="392" t="s">
        <v>413</v>
      </c>
      <c r="D31" s="397">
        <v>45231.0</v>
      </c>
      <c r="E31" s="394">
        <v>2.0</v>
      </c>
      <c r="F31" s="395">
        <v>3.0</v>
      </c>
      <c r="G31" s="396">
        <v>5000.0</v>
      </c>
      <c r="H31" s="392" t="s">
        <v>331</v>
      </c>
      <c r="I31" s="392" t="s">
        <v>393</v>
      </c>
      <c r="J31" s="392" t="s">
        <v>75</v>
      </c>
      <c r="K31" s="395">
        <v>452.0</v>
      </c>
      <c r="L31" s="395">
        <v>19.0</v>
      </c>
      <c r="M31" s="395">
        <v>1.0</v>
      </c>
      <c r="N31" s="395">
        <v>0.0</v>
      </c>
    </row>
    <row r="32">
      <c r="A32" s="390" t="s">
        <v>414</v>
      </c>
      <c r="B32" s="391">
        <v>24.0</v>
      </c>
      <c r="C32" s="392" t="s">
        <v>415</v>
      </c>
      <c r="D32" s="397">
        <v>45200.0</v>
      </c>
      <c r="E32" s="394">
        <v>1.0</v>
      </c>
      <c r="F32" s="395">
        <v>15.0</v>
      </c>
      <c r="G32" s="396">
        <v>20000.0</v>
      </c>
      <c r="H32" s="392" t="s">
        <v>331</v>
      </c>
      <c r="I32" s="392" t="s">
        <v>416</v>
      </c>
      <c r="J32" s="392" t="s">
        <v>75</v>
      </c>
      <c r="K32" s="395">
        <v>21000.0</v>
      </c>
      <c r="L32" s="395">
        <v>595.0</v>
      </c>
      <c r="M32" s="395">
        <v>7.0</v>
      </c>
      <c r="N32" s="395">
        <v>0.0</v>
      </c>
    </row>
    <row r="33">
      <c r="A33" s="390" t="s">
        <v>417</v>
      </c>
      <c r="B33" s="391">
        <v>12.0</v>
      </c>
      <c r="C33" s="392" t="s">
        <v>418</v>
      </c>
      <c r="D33" s="397">
        <v>45170.0</v>
      </c>
      <c r="E33" s="394">
        <v>1.0</v>
      </c>
      <c r="F33" s="395">
        <v>4.0</v>
      </c>
      <c r="G33" s="396">
        <v>5000.0</v>
      </c>
      <c r="H33" s="392" t="s">
        <v>331</v>
      </c>
      <c r="I33" s="392" t="s">
        <v>369</v>
      </c>
      <c r="J33" s="392" t="s">
        <v>75</v>
      </c>
      <c r="K33" s="395">
        <v>13000.0</v>
      </c>
      <c r="L33" s="395">
        <v>483.0</v>
      </c>
      <c r="M33" s="395">
        <v>25.0</v>
      </c>
      <c r="N33" s="395">
        <v>0.0</v>
      </c>
    </row>
    <row r="34">
      <c r="A34" s="390" t="s">
        <v>282</v>
      </c>
      <c r="B34" s="391">
        <v>12.0</v>
      </c>
      <c r="C34" s="392" t="s">
        <v>419</v>
      </c>
      <c r="D34" s="397">
        <v>45261.0</v>
      </c>
      <c r="E34" s="394">
        <v>1.0</v>
      </c>
      <c r="F34" s="395">
        <v>9.0</v>
      </c>
      <c r="G34" s="396">
        <v>12000.0</v>
      </c>
      <c r="H34" s="392" t="s">
        <v>331</v>
      </c>
      <c r="I34" s="392" t="s">
        <v>361</v>
      </c>
      <c r="J34" s="392" t="s">
        <v>76</v>
      </c>
      <c r="K34" s="395">
        <v>2000.0</v>
      </c>
      <c r="L34" s="395">
        <v>67.0</v>
      </c>
      <c r="M34" s="395">
        <v>2.0</v>
      </c>
      <c r="N34" s="395">
        <v>0.0</v>
      </c>
    </row>
    <row r="35">
      <c r="A35" s="390" t="s">
        <v>420</v>
      </c>
      <c r="B35" s="391">
        <v>12.0</v>
      </c>
      <c r="C35" s="392" t="s">
        <v>421</v>
      </c>
      <c r="D35" s="397">
        <v>45200.0</v>
      </c>
      <c r="E35" s="394">
        <v>1.0</v>
      </c>
      <c r="F35" s="395">
        <v>1.0</v>
      </c>
      <c r="G35" s="396">
        <v>2000.0</v>
      </c>
      <c r="H35" s="392" t="s">
        <v>331</v>
      </c>
      <c r="I35" s="392" t="s">
        <v>376</v>
      </c>
      <c r="J35" s="392" t="s">
        <v>366</v>
      </c>
      <c r="K35" s="395">
        <v>153.0</v>
      </c>
      <c r="L35" s="395">
        <v>6.0</v>
      </c>
      <c r="M35" s="395">
        <v>1.0</v>
      </c>
      <c r="N35" s="395">
        <v>0.0</v>
      </c>
    </row>
    <row r="36">
      <c r="A36" s="390" t="s">
        <v>422</v>
      </c>
      <c r="B36" s="391">
        <v>24.0</v>
      </c>
      <c r="C36" s="392" t="s">
        <v>423</v>
      </c>
      <c r="D36" s="397">
        <v>45170.0</v>
      </c>
      <c r="E36" s="394">
        <v>1.0</v>
      </c>
      <c r="F36" s="395">
        <v>9.0</v>
      </c>
      <c r="G36" s="396">
        <v>23000.0</v>
      </c>
      <c r="H36" s="392" t="s">
        <v>358</v>
      </c>
      <c r="I36" s="392" t="s">
        <v>424</v>
      </c>
      <c r="J36" s="392" t="s">
        <v>75</v>
      </c>
      <c r="K36" s="395">
        <v>2000.0</v>
      </c>
      <c r="L36" s="395">
        <v>140.0</v>
      </c>
      <c r="M36" s="395">
        <v>11.0</v>
      </c>
      <c r="N36" s="395">
        <v>1.0</v>
      </c>
    </row>
    <row r="37">
      <c r="A37" s="390" t="s">
        <v>425</v>
      </c>
      <c r="B37" s="391">
        <v>12.0</v>
      </c>
      <c r="C37" s="392" t="s">
        <v>426</v>
      </c>
      <c r="D37" s="397">
        <v>45170.0</v>
      </c>
      <c r="E37" s="394">
        <v>1.0</v>
      </c>
      <c r="F37" s="395">
        <v>5.0</v>
      </c>
      <c r="G37" s="396">
        <v>5000.0</v>
      </c>
      <c r="H37" s="392" t="s">
        <v>358</v>
      </c>
      <c r="I37" s="392" t="s">
        <v>427</v>
      </c>
      <c r="J37" s="392" t="s">
        <v>75</v>
      </c>
      <c r="K37" s="395">
        <v>75.0</v>
      </c>
      <c r="L37" s="395">
        <v>8.0</v>
      </c>
      <c r="M37" s="395">
        <v>1.0</v>
      </c>
      <c r="N37" s="395">
        <v>0.0</v>
      </c>
    </row>
    <row r="38">
      <c r="A38" s="390" t="s">
        <v>428</v>
      </c>
      <c r="B38" s="391">
        <v>24.0</v>
      </c>
      <c r="C38" s="392" t="s">
        <v>429</v>
      </c>
      <c r="D38" s="397">
        <v>45261.0</v>
      </c>
      <c r="E38" s="394">
        <v>1.0</v>
      </c>
      <c r="F38" s="395">
        <v>8.0</v>
      </c>
      <c r="G38" s="396">
        <v>22500.0</v>
      </c>
      <c r="H38" s="392" t="s">
        <v>334</v>
      </c>
      <c r="I38" s="392" t="s">
        <v>361</v>
      </c>
      <c r="J38" s="392" t="s">
        <v>76</v>
      </c>
      <c r="K38" s="395">
        <v>650.0</v>
      </c>
      <c r="L38" s="395">
        <v>25.0</v>
      </c>
      <c r="M38" s="395">
        <v>1.0</v>
      </c>
      <c r="N38" s="395">
        <v>0.0</v>
      </c>
    </row>
    <row r="39">
      <c r="A39" s="390" t="s">
        <v>430</v>
      </c>
      <c r="B39" s="391">
        <v>24.0</v>
      </c>
      <c r="C39" s="392" t="s">
        <v>431</v>
      </c>
      <c r="D39" s="397">
        <v>45261.0</v>
      </c>
      <c r="E39" s="394">
        <v>2.0</v>
      </c>
      <c r="F39" s="395">
        <v>8.0</v>
      </c>
      <c r="G39" s="396">
        <v>15000.0</v>
      </c>
      <c r="H39" s="392" t="s">
        <v>341</v>
      </c>
      <c r="I39" s="392" t="s">
        <v>432</v>
      </c>
      <c r="J39" s="392" t="s">
        <v>75</v>
      </c>
      <c r="K39" s="395">
        <v>304.0</v>
      </c>
      <c r="L39" s="395">
        <v>33.0</v>
      </c>
      <c r="M39" s="395">
        <v>1.0</v>
      </c>
      <c r="N39" s="395">
        <v>0.0</v>
      </c>
    </row>
    <row r="40">
      <c r="A40" s="390" t="s">
        <v>433</v>
      </c>
      <c r="B40" s="391">
        <v>24.0</v>
      </c>
      <c r="C40" s="392" t="s">
        <v>434</v>
      </c>
      <c r="D40" s="397">
        <v>45139.0</v>
      </c>
      <c r="E40" s="394">
        <v>1.0</v>
      </c>
      <c r="F40" s="395">
        <v>5.0</v>
      </c>
      <c r="G40" s="396">
        <v>15000.0</v>
      </c>
      <c r="H40" s="392" t="s">
        <v>331</v>
      </c>
      <c r="I40" s="392" t="s">
        <v>435</v>
      </c>
      <c r="J40" s="392" t="s">
        <v>75</v>
      </c>
      <c r="K40" s="395">
        <v>1700.0</v>
      </c>
      <c r="L40" s="395">
        <v>121.0</v>
      </c>
      <c r="M40" s="395">
        <v>72.0</v>
      </c>
      <c r="N40" s="395">
        <v>1.0</v>
      </c>
    </row>
    <row r="41">
      <c r="A41" s="390" t="s">
        <v>436</v>
      </c>
      <c r="B41" s="391">
        <v>24.0</v>
      </c>
      <c r="C41" s="392" t="s">
        <v>437</v>
      </c>
      <c r="D41" s="393">
        <v>45047.0</v>
      </c>
      <c r="E41" s="394">
        <v>1.0</v>
      </c>
      <c r="F41" s="395">
        <v>10.0</v>
      </c>
      <c r="G41" s="396">
        <v>20000.0</v>
      </c>
      <c r="H41" s="392" t="s">
        <v>331</v>
      </c>
      <c r="I41" s="392" t="s">
        <v>352</v>
      </c>
      <c r="J41" s="392" t="s">
        <v>75</v>
      </c>
      <c r="K41" s="395">
        <v>1100.0</v>
      </c>
      <c r="L41" s="395">
        <v>232.0</v>
      </c>
      <c r="M41" s="395">
        <v>4.0</v>
      </c>
      <c r="N41" s="395">
        <v>0.0</v>
      </c>
    </row>
    <row r="42">
      <c r="A42" s="390" t="s">
        <v>438</v>
      </c>
      <c r="B42" s="391">
        <v>12.0</v>
      </c>
      <c r="C42" s="392" t="s">
        <v>439</v>
      </c>
      <c r="D42" s="397">
        <v>45383.0</v>
      </c>
      <c r="E42" s="394">
        <v>2.0</v>
      </c>
      <c r="F42" s="395">
        <v>3.0</v>
      </c>
      <c r="G42" s="396">
        <v>10000.0</v>
      </c>
      <c r="H42" s="392" t="s">
        <v>341</v>
      </c>
      <c r="I42" s="392" t="s">
        <v>440</v>
      </c>
      <c r="J42" s="392" t="s">
        <v>75</v>
      </c>
      <c r="K42" s="395">
        <v>815.0</v>
      </c>
      <c r="L42" s="395">
        <v>28.0</v>
      </c>
      <c r="M42" s="395">
        <v>3.0</v>
      </c>
      <c r="N42" s="395">
        <v>0.0</v>
      </c>
    </row>
    <row r="43">
      <c r="A43" s="399" t="s">
        <v>441</v>
      </c>
      <c r="B43" s="391">
        <v>24.0</v>
      </c>
      <c r="C43" s="392" t="s">
        <v>442</v>
      </c>
      <c r="D43" s="397">
        <v>45139.0</v>
      </c>
      <c r="E43" s="394">
        <v>2.0</v>
      </c>
      <c r="F43" s="395">
        <v>5.0</v>
      </c>
      <c r="G43" s="396">
        <v>8000.0</v>
      </c>
      <c r="H43" s="392" t="s">
        <v>331</v>
      </c>
      <c r="I43" s="392" t="s">
        <v>443</v>
      </c>
      <c r="J43" s="392" t="s">
        <v>75</v>
      </c>
      <c r="K43" s="395">
        <v>1000.0</v>
      </c>
      <c r="L43" s="395">
        <v>58.0</v>
      </c>
      <c r="M43" s="395">
        <v>2.0</v>
      </c>
      <c r="N43" s="395">
        <v>0.0</v>
      </c>
    </row>
    <row r="44">
      <c r="A44" s="390" t="s">
        <v>444</v>
      </c>
      <c r="B44" s="391">
        <v>24.0</v>
      </c>
      <c r="C44" s="392" t="s">
        <v>445</v>
      </c>
      <c r="D44" s="397">
        <v>45170.0</v>
      </c>
      <c r="E44" s="394">
        <v>1.0</v>
      </c>
      <c r="F44" s="395">
        <v>4.0</v>
      </c>
      <c r="G44" s="396">
        <v>32000.0</v>
      </c>
      <c r="H44" s="392" t="s">
        <v>358</v>
      </c>
      <c r="I44" s="392" t="s">
        <v>446</v>
      </c>
      <c r="J44" s="392" t="s">
        <v>336</v>
      </c>
      <c r="K44" s="395">
        <v>8500.0</v>
      </c>
      <c r="L44" s="395">
        <v>487.0</v>
      </c>
      <c r="M44" s="395">
        <v>23.0</v>
      </c>
      <c r="N44" s="395">
        <v>0.0</v>
      </c>
    </row>
    <row r="45">
      <c r="A45" s="390" t="s">
        <v>447</v>
      </c>
      <c r="B45" s="391">
        <v>12.0</v>
      </c>
      <c r="C45" s="392" t="s">
        <v>448</v>
      </c>
      <c r="D45" s="397">
        <v>45170.0</v>
      </c>
      <c r="E45" s="394">
        <v>1.0</v>
      </c>
      <c r="F45" s="395">
        <v>5.0</v>
      </c>
      <c r="G45" s="396">
        <v>15000.0</v>
      </c>
      <c r="H45" s="392" t="s">
        <v>358</v>
      </c>
      <c r="I45" s="392" t="s">
        <v>449</v>
      </c>
      <c r="J45" s="392" t="s">
        <v>346</v>
      </c>
      <c r="K45" s="395">
        <v>505.0</v>
      </c>
      <c r="L45" s="395">
        <v>32.0</v>
      </c>
      <c r="M45" s="395">
        <v>0.0</v>
      </c>
      <c r="N45" s="395">
        <v>0.0</v>
      </c>
    </row>
  </sheetData>
  <autoFilter ref="$A$1:$AC$997">
    <sortState ref="A1:AC997">
      <sortCondition ref="A1:A997"/>
      <sortCondition ref="D1:D997"/>
      <sortCondition ref="C1:C997"/>
    </sortState>
  </autoFil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12.75"/>
    <col customWidth="1" min="3" max="3" width="21.13"/>
    <col customWidth="1" min="4" max="5" width="15.25"/>
  </cols>
  <sheetData>
    <row r="1">
      <c r="A1" s="7" t="s">
        <v>450</v>
      </c>
      <c r="B1" s="7" t="s">
        <v>451</v>
      </c>
      <c r="C1" s="7" t="s">
        <v>452</v>
      </c>
      <c r="D1" s="7" t="s">
        <v>453</v>
      </c>
      <c r="E1" s="7" t="s">
        <v>318</v>
      </c>
      <c r="F1" s="7" t="s">
        <v>454</v>
      </c>
      <c r="G1" s="7" t="s">
        <v>455</v>
      </c>
      <c r="H1" s="7" t="s">
        <v>456</v>
      </c>
      <c r="I1" s="7" t="s">
        <v>457</v>
      </c>
      <c r="J1" s="7" t="s">
        <v>458</v>
      </c>
      <c r="K1" s="7" t="s">
        <v>459</v>
      </c>
      <c r="L1" s="7" t="s">
        <v>460</v>
      </c>
      <c r="M1" s="7" t="s">
        <v>461</v>
      </c>
      <c r="N1" s="7" t="s">
        <v>462</v>
      </c>
      <c r="O1" s="7" t="s">
        <v>463</v>
      </c>
      <c r="P1" s="7" t="s">
        <v>464</v>
      </c>
      <c r="Q1" s="7" t="s">
        <v>465</v>
      </c>
      <c r="R1" s="42"/>
      <c r="S1" s="42"/>
      <c r="T1" s="42"/>
      <c r="U1" s="42"/>
      <c r="V1" s="42"/>
      <c r="W1" s="42"/>
      <c r="X1" s="42"/>
      <c r="Y1" s="42"/>
      <c r="Z1" s="42"/>
      <c r="AA1" s="42"/>
    </row>
    <row r="2">
      <c r="A2" s="3" t="s">
        <v>466</v>
      </c>
      <c r="B2" s="3">
        <v>1000.0</v>
      </c>
      <c r="C2" s="3">
        <v>202302.0</v>
      </c>
      <c r="D2" s="3">
        <v>10.0</v>
      </c>
      <c r="E2" s="391">
        <v>12.0</v>
      </c>
      <c r="F2" s="3">
        <v>1.0</v>
      </c>
      <c r="G2" s="3">
        <v>0.0</v>
      </c>
      <c r="H2" s="3">
        <v>3.0</v>
      </c>
      <c r="I2" s="3">
        <v>1.0</v>
      </c>
      <c r="J2" s="3">
        <v>1.0</v>
      </c>
      <c r="K2" s="3">
        <v>0.0</v>
      </c>
      <c r="L2" s="3">
        <v>1.0</v>
      </c>
      <c r="M2" s="3">
        <v>2.0</v>
      </c>
      <c r="N2" s="3">
        <v>1.0</v>
      </c>
      <c r="O2" s="3">
        <v>0.0</v>
      </c>
      <c r="P2" s="3">
        <v>2.0</v>
      </c>
      <c r="Q2" s="3">
        <v>0.0</v>
      </c>
    </row>
    <row r="3">
      <c r="A3" s="3" t="s">
        <v>330</v>
      </c>
      <c r="B3" s="3">
        <v>15000.0</v>
      </c>
      <c r="C3" s="3">
        <v>202305.0</v>
      </c>
      <c r="D3" s="3">
        <v>9.0</v>
      </c>
      <c r="E3" s="391">
        <v>24.0</v>
      </c>
      <c r="F3" s="3">
        <v>3.0</v>
      </c>
      <c r="G3" s="3">
        <v>2.0</v>
      </c>
      <c r="H3" s="3">
        <v>2.0</v>
      </c>
      <c r="I3" s="3">
        <v>0.0</v>
      </c>
      <c r="J3" s="3">
        <v>4.0</v>
      </c>
      <c r="K3" s="3">
        <v>7.0</v>
      </c>
      <c r="L3" s="3">
        <v>4.0</v>
      </c>
      <c r="M3" s="3">
        <v>4.0</v>
      </c>
      <c r="N3" s="3">
        <v>1.0</v>
      </c>
      <c r="O3" s="3">
        <v>3.0</v>
      </c>
      <c r="P3" s="3">
        <v>0.0</v>
      </c>
      <c r="Q3" s="3">
        <v>0.0</v>
      </c>
    </row>
    <row r="4">
      <c r="A4" s="3" t="s">
        <v>367</v>
      </c>
      <c r="B4" s="3">
        <v>5000.0</v>
      </c>
      <c r="C4" s="3">
        <v>202305.0</v>
      </c>
      <c r="D4" s="3">
        <v>5.0</v>
      </c>
      <c r="E4" s="391">
        <v>12.0</v>
      </c>
      <c r="F4" s="3">
        <v>1.0</v>
      </c>
      <c r="G4" s="3">
        <v>0.0</v>
      </c>
      <c r="H4" s="3">
        <v>0.0</v>
      </c>
      <c r="I4" s="3">
        <v>0.0</v>
      </c>
      <c r="J4" s="3">
        <v>0.0</v>
      </c>
      <c r="K4" s="3">
        <v>0.0</v>
      </c>
      <c r="L4" s="3">
        <v>1.0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</row>
    <row r="5">
      <c r="A5" s="3" t="s">
        <v>385</v>
      </c>
      <c r="B5" s="3">
        <v>30000.0</v>
      </c>
      <c r="C5" s="3">
        <v>202305.0</v>
      </c>
      <c r="D5" s="3">
        <v>5.0</v>
      </c>
      <c r="E5" s="391">
        <v>36.0</v>
      </c>
      <c r="F5" s="3">
        <v>9.0</v>
      </c>
      <c r="G5" s="3">
        <v>21.0</v>
      </c>
      <c r="H5" s="3">
        <v>15.0</v>
      </c>
      <c r="I5" s="3">
        <v>8.0</v>
      </c>
      <c r="J5" s="3">
        <v>24.0</v>
      </c>
      <c r="K5" s="3">
        <v>8.0</v>
      </c>
      <c r="L5" s="3">
        <v>11.0</v>
      </c>
      <c r="M5" s="3">
        <v>15.0</v>
      </c>
      <c r="N5" s="3">
        <v>29.0</v>
      </c>
      <c r="O5" s="3">
        <v>6.0</v>
      </c>
      <c r="P5" s="3">
        <v>1.0</v>
      </c>
      <c r="Q5" s="3">
        <v>0.0</v>
      </c>
    </row>
    <row r="6">
      <c r="A6" s="3" t="s">
        <v>436</v>
      </c>
      <c r="B6" s="3">
        <v>20000.0</v>
      </c>
      <c r="C6" s="3">
        <v>202305.0</v>
      </c>
      <c r="D6" s="3">
        <v>10.0</v>
      </c>
      <c r="E6" s="391">
        <v>24.0</v>
      </c>
      <c r="F6" s="3">
        <v>2.0</v>
      </c>
      <c r="G6" s="3">
        <v>6.0</v>
      </c>
      <c r="H6" s="3">
        <v>3.0</v>
      </c>
      <c r="I6" s="3">
        <v>5.0</v>
      </c>
      <c r="J6" s="3">
        <v>6.0</v>
      </c>
      <c r="K6" s="3">
        <v>4.0</v>
      </c>
      <c r="L6" s="3">
        <v>6.0</v>
      </c>
      <c r="M6" s="3">
        <v>9.0</v>
      </c>
      <c r="N6" s="3">
        <v>7.0</v>
      </c>
      <c r="O6" s="3">
        <v>6.0</v>
      </c>
      <c r="P6" s="3">
        <v>1.0</v>
      </c>
      <c r="Q6" s="3">
        <v>0.0</v>
      </c>
    </row>
    <row r="7">
      <c r="A7" s="3" t="s">
        <v>383</v>
      </c>
      <c r="B7" s="3">
        <v>25000.0</v>
      </c>
      <c r="C7" s="3">
        <v>202306.0</v>
      </c>
      <c r="D7" s="3">
        <v>4.0</v>
      </c>
      <c r="E7" s="391">
        <v>36.0</v>
      </c>
      <c r="F7" s="3">
        <v>10.0</v>
      </c>
      <c r="G7" s="3">
        <v>8.0</v>
      </c>
      <c r="H7" s="3">
        <v>9.0</v>
      </c>
      <c r="I7" s="3">
        <v>3.0</v>
      </c>
      <c r="J7" s="3">
        <v>2.0</v>
      </c>
      <c r="K7" s="3">
        <v>3.0</v>
      </c>
      <c r="L7" s="3">
        <v>4.0</v>
      </c>
      <c r="M7" s="3">
        <v>5.0</v>
      </c>
      <c r="N7" s="3">
        <v>0.0</v>
      </c>
      <c r="O7" s="3">
        <v>0.0</v>
      </c>
      <c r="P7" s="3">
        <v>0.0</v>
      </c>
      <c r="Q7" s="3">
        <v>0.0</v>
      </c>
    </row>
    <row r="8">
      <c r="A8" s="3" t="s">
        <v>356</v>
      </c>
      <c r="B8" s="3">
        <v>25000.0</v>
      </c>
      <c r="C8" s="3">
        <v>202308.0</v>
      </c>
      <c r="D8" s="3">
        <v>7.0</v>
      </c>
      <c r="E8" s="391">
        <v>24.0</v>
      </c>
      <c r="F8" s="3">
        <v>3.0</v>
      </c>
      <c r="G8" s="3">
        <v>0.0</v>
      </c>
      <c r="H8" s="3">
        <v>4.0</v>
      </c>
      <c r="I8" s="3">
        <v>5.0</v>
      </c>
      <c r="J8" s="3">
        <v>4.0</v>
      </c>
      <c r="K8" s="3">
        <v>1.0</v>
      </c>
      <c r="L8" s="3">
        <v>7.0</v>
      </c>
      <c r="M8" s="3">
        <v>1.0</v>
      </c>
      <c r="N8" s="3">
        <v>0.0</v>
      </c>
      <c r="O8" s="3">
        <v>0.0</v>
      </c>
      <c r="P8" s="3">
        <v>0.0</v>
      </c>
      <c r="Q8" s="3">
        <v>0.0</v>
      </c>
    </row>
    <row r="9">
      <c r="A9" s="3" t="s">
        <v>377</v>
      </c>
      <c r="B9" s="3">
        <v>20000.0</v>
      </c>
      <c r="C9" s="3">
        <v>202308.0</v>
      </c>
      <c r="D9" s="3">
        <v>10.0</v>
      </c>
      <c r="E9" s="391">
        <v>24.0</v>
      </c>
      <c r="F9" s="3">
        <v>15.0</v>
      </c>
      <c r="G9" s="3">
        <v>17.0</v>
      </c>
      <c r="H9" s="3">
        <v>10.0</v>
      </c>
      <c r="I9" s="3">
        <v>2.0</v>
      </c>
      <c r="J9" s="3">
        <v>6.0</v>
      </c>
      <c r="K9" s="3">
        <v>7.0</v>
      </c>
      <c r="L9" s="3">
        <v>5.0</v>
      </c>
      <c r="M9" s="3">
        <v>8.0</v>
      </c>
      <c r="N9" s="3">
        <v>0.0</v>
      </c>
      <c r="O9" s="3">
        <v>0.0</v>
      </c>
      <c r="P9" s="3">
        <v>0.0</v>
      </c>
      <c r="Q9" s="3">
        <v>0.0</v>
      </c>
    </row>
    <row r="10">
      <c r="A10" s="3" t="s">
        <v>399</v>
      </c>
      <c r="B10" s="3">
        <v>5000.0</v>
      </c>
      <c r="C10" s="3">
        <v>202308.0</v>
      </c>
      <c r="D10" s="3">
        <v>2.0</v>
      </c>
      <c r="E10" s="391">
        <v>12.0</v>
      </c>
      <c r="F10" s="3">
        <v>0.0</v>
      </c>
      <c r="G10" s="3">
        <v>4.0</v>
      </c>
      <c r="H10" s="3">
        <v>0.0</v>
      </c>
      <c r="I10" s="3">
        <v>0.0</v>
      </c>
      <c r="J10" s="3">
        <v>1.0</v>
      </c>
      <c r="K10" s="3">
        <v>6.0</v>
      </c>
      <c r="L10" s="3">
        <v>4.0</v>
      </c>
      <c r="M10" s="3">
        <v>1.0</v>
      </c>
      <c r="N10" s="3">
        <v>0.0</v>
      </c>
      <c r="O10" s="3">
        <v>0.0</v>
      </c>
      <c r="P10" s="3">
        <v>0.0</v>
      </c>
      <c r="Q10" s="3">
        <v>0.0</v>
      </c>
    </row>
    <row r="11">
      <c r="A11" s="3" t="s">
        <v>433</v>
      </c>
      <c r="B11" s="3">
        <v>15000.0</v>
      </c>
      <c r="C11" s="3">
        <v>202308.0</v>
      </c>
      <c r="D11" s="3">
        <v>5.0</v>
      </c>
      <c r="E11" s="391">
        <v>24.0</v>
      </c>
      <c r="F11" s="3">
        <v>17.0</v>
      </c>
      <c r="G11" s="3">
        <v>13.0</v>
      </c>
      <c r="H11" s="3">
        <v>6.0</v>
      </c>
      <c r="I11" s="3">
        <v>6.0</v>
      </c>
      <c r="J11" s="3">
        <v>22.0</v>
      </c>
      <c r="K11" s="3">
        <v>15.0</v>
      </c>
      <c r="L11" s="3">
        <v>2.0</v>
      </c>
      <c r="M11" s="3">
        <v>4.0</v>
      </c>
      <c r="N11" s="3">
        <v>0.0</v>
      </c>
      <c r="O11" s="3">
        <v>0.0</v>
      </c>
      <c r="P11" s="3">
        <v>0.0</v>
      </c>
      <c r="Q11" s="3">
        <v>0.0</v>
      </c>
    </row>
    <row r="12">
      <c r="A12" s="3" t="s">
        <v>441</v>
      </c>
      <c r="B12" s="3">
        <v>8000.0</v>
      </c>
      <c r="C12" s="3">
        <v>202308.0</v>
      </c>
      <c r="D12" s="3">
        <v>6.0</v>
      </c>
      <c r="E12" s="391">
        <v>24.0</v>
      </c>
      <c r="F12" s="3">
        <v>5.0</v>
      </c>
      <c r="G12" s="3">
        <v>3.0</v>
      </c>
      <c r="H12" s="3">
        <v>1.0</v>
      </c>
      <c r="I12" s="3">
        <v>3.0</v>
      </c>
      <c r="J12" s="3">
        <v>2.0</v>
      </c>
      <c r="K12" s="3">
        <v>1.0</v>
      </c>
      <c r="L12" s="3">
        <v>4.0</v>
      </c>
      <c r="M12" s="3">
        <v>2.0</v>
      </c>
      <c r="N12" s="3">
        <v>3.0</v>
      </c>
      <c r="O12" s="3">
        <v>3.0</v>
      </c>
      <c r="P12" s="3">
        <v>5.0</v>
      </c>
      <c r="Q12" s="3">
        <v>5.0</v>
      </c>
    </row>
    <row r="13">
      <c r="A13" s="3" t="s">
        <v>362</v>
      </c>
      <c r="B13" s="3">
        <v>3000.0</v>
      </c>
      <c r="C13" s="3">
        <v>202308.0</v>
      </c>
      <c r="D13" s="3">
        <v>2.0</v>
      </c>
      <c r="E13" s="391">
        <v>12.0</v>
      </c>
      <c r="F13" s="3">
        <v>0.0</v>
      </c>
      <c r="G13" s="3">
        <v>0.0</v>
      </c>
      <c r="H13" s="3">
        <v>0.0</v>
      </c>
      <c r="I13" s="3">
        <v>0.0</v>
      </c>
      <c r="J13" s="3">
        <v>1.0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>
        <v>1.0</v>
      </c>
      <c r="Q13" s="3">
        <v>2.0</v>
      </c>
    </row>
    <row r="14">
      <c r="A14" s="3" t="s">
        <v>380</v>
      </c>
      <c r="B14" s="3">
        <v>40000.0</v>
      </c>
      <c r="C14" s="3">
        <v>202309.0</v>
      </c>
      <c r="D14" s="3">
        <v>150.0</v>
      </c>
      <c r="E14" s="391">
        <v>48.0</v>
      </c>
      <c r="F14" s="3">
        <v>14.0</v>
      </c>
      <c r="G14" s="3">
        <v>9.0</v>
      </c>
      <c r="H14" s="3">
        <v>26.0</v>
      </c>
      <c r="I14" s="3">
        <v>1.0</v>
      </c>
      <c r="J14" s="3">
        <v>5.0</v>
      </c>
      <c r="K14" s="3">
        <v>10.0</v>
      </c>
      <c r="L14" s="3">
        <v>2.0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</row>
    <row r="15">
      <c r="A15" s="3" t="s">
        <v>407</v>
      </c>
      <c r="B15" s="3">
        <v>27000.0</v>
      </c>
      <c r="C15" s="3">
        <v>202309.0</v>
      </c>
      <c r="D15" s="3">
        <v>3.0</v>
      </c>
      <c r="E15" s="391">
        <v>36.0</v>
      </c>
      <c r="F15" s="3">
        <v>3.0</v>
      </c>
      <c r="G15" s="3">
        <v>7.0</v>
      </c>
      <c r="H15" s="3">
        <v>4.0</v>
      </c>
      <c r="I15" s="3">
        <v>0.0</v>
      </c>
      <c r="J15" s="3">
        <v>5.0</v>
      </c>
      <c r="K15" s="3">
        <v>31.0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</row>
    <row r="16">
      <c r="A16" s="3" t="s">
        <v>422</v>
      </c>
      <c r="B16" s="3">
        <v>23000.0</v>
      </c>
      <c r="C16" s="3">
        <v>202309.0</v>
      </c>
      <c r="D16" s="3">
        <v>11.0</v>
      </c>
      <c r="E16" s="391">
        <v>24.0</v>
      </c>
      <c r="F16" s="3">
        <v>11.0</v>
      </c>
      <c r="G16" s="3">
        <v>3.0</v>
      </c>
      <c r="H16" s="3">
        <v>8.0</v>
      </c>
      <c r="I16" s="3">
        <v>8.0</v>
      </c>
      <c r="J16" s="3">
        <v>9.0</v>
      </c>
      <c r="K16" s="3">
        <v>7.0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</row>
    <row r="17">
      <c r="A17" s="3" t="s">
        <v>425</v>
      </c>
      <c r="B17" s="3">
        <v>5000.0</v>
      </c>
      <c r="C17" s="3">
        <v>202309.0</v>
      </c>
      <c r="D17" s="3">
        <v>5.0</v>
      </c>
      <c r="E17" s="391">
        <v>12.0</v>
      </c>
      <c r="F17" s="3">
        <v>1.0</v>
      </c>
      <c r="G17" s="3">
        <v>1.0</v>
      </c>
      <c r="H17" s="3">
        <v>2.0</v>
      </c>
      <c r="I17" s="3">
        <v>0.0</v>
      </c>
      <c r="J17" s="3">
        <v>1.0</v>
      </c>
      <c r="K17" s="3">
        <v>1.0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</row>
    <row r="18">
      <c r="A18" s="3" t="s">
        <v>444</v>
      </c>
      <c r="B18" s="3">
        <v>32000.0</v>
      </c>
      <c r="C18" s="3">
        <v>202309.0</v>
      </c>
      <c r="D18" s="3">
        <v>4.0</v>
      </c>
      <c r="E18" s="391">
        <v>24.0</v>
      </c>
      <c r="F18" s="3">
        <v>2.0</v>
      </c>
      <c r="G18" s="3">
        <v>3.0</v>
      </c>
      <c r="H18" s="3">
        <v>2.0</v>
      </c>
      <c r="I18" s="3">
        <v>2.0</v>
      </c>
      <c r="J18" s="3">
        <v>2.0</v>
      </c>
      <c r="K18" s="3">
        <v>2.0</v>
      </c>
      <c r="L18" s="3">
        <v>1.0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</row>
    <row r="19">
      <c r="A19" s="3" t="s">
        <v>447</v>
      </c>
      <c r="B19" s="3">
        <v>15000.0</v>
      </c>
      <c r="C19" s="3">
        <v>202309.0</v>
      </c>
      <c r="D19" s="3">
        <v>4.0</v>
      </c>
      <c r="E19" s="391">
        <v>12.0</v>
      </c>
      <c r="F19" s="3">
        <v>0.0</v>
      </c>
      <c r="G19" s="3">
        <v>0.0</v>
      </c>
      <c r="H19" s="3">
        <v>1.0</v>
      </c>
      <c r="I19" s="3">
        <v>0.0</v>
      </c>
      <c r="J19" s="3">
        <v>1.0</v>
      </c>
      <c r="K19" s="3">
        <v>4.0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</row>
    <row r="20">
      <c r="A20" s="3" t="s">
        <v>339</v>
      </c>
      <c r="B20" s="3">
        <v>10000.0</v>
      </c>
      <c r="C20" s="3">
        <v>202310.0</v>
      </c>
      <c r="D20" s="3">
        <v>5.0</v>
      </c>
      <c r="E20" s="391">
        <v>24.0</v>
      </c>
      <c r="F20" s="3">
        <v>6.0</v>
      </c>
      <c r="G20" s="3">
        <v>2.0</v>
      </c>
      <c r="H20" s="3">
        <v>3.0</v>
      </c>
      <c r="I20" s="3">
        <v>1.0</v>
      </c>
      <c r="J20" s="3">
        <v>0.0</v>
      </c>
      <c r="K20" s="3">
        <v>6.0</v>
      </c>
      <c r="L20" s="3">
        <v>5.0</v>
      </c>
      <c r="M20" s="3">
        <v>0.0</v>
      </c>
      <c r="N20" s="3">
        <v>3.0</v>
      </c>
      <c r="O20" s="3">
        <v>1.0</v>
      </c>
      <c r="P20" s="3">
        <v>7.0</v>
      </c>
      <c r="Q20" s="3">
        <v>1.0</v>
      </c>
    </row>
    <row r="21">
      <c r="A21" s="3" t="s">
        <v>414</v>
      </c>
      <c r="B21" s="3">
        <v>20000.0</v>
      </c>
      <c r="C21" s="3">
        <v>202310.0</v>
      </c>
      <c r="D21" s="3">
        <v>15.0</v>
      </c>
      <c r="E21" s="391">
        <v>24.0</v>
      </c>
      <c r="F21" s="3">
        <v>5.0</v>
      </c>
      <c r="G21" s="3">
        <v>2.0</v>
      </c>
      <c r="H21" s="3">
        <v>3.0</v>
      </c>
      <c r="I21" s="3">
        <v>1.0</v>
      </c>
      <c r="J21" s="3">
        <v>12.0</v>
      </c>
      <c r="K21" s="3">
        <v>1.0</v>
      </c>
      <c r="L21" s="3">
        <v>0.0</v>
      </c>
      <c r="M21" s="3">
        <v>0.0</v>
      </c>
      <c r="N21" s="3">
        <v>0.0</v>
      </c>
      <c r="O21" s="3">
        <v>0.0</v>
      </c>
      <c r="P21" s="3">
        <v>0.0</v>
      </c>
      <c r="Q21" s="3">
        <v>0.0</v>
      </c>
    </row>
    <row r="22">
      <c r="A22" s="3" t="s">
        <v>420</v>
      </c>
      <c r="B22" s="3">
        <v>2000.0</v>
      </c>
      <c r="C22" s="3">
        <v>202310.0</v>
      </c>
      <c r="D22" s="3">
        <v>5.0</v>
      </c>
      <c r="E22" s="391">
        <v>12.0</v>
      </c>
      <c r="F22" s="3">
        <v>0.0</v>
      </c>
      <c r="G22" s="3">
        <v>3.0</v>
      </c>
      <c r="H22" s="3">
        <v>0.0</v>
      </c>
      <c r="I22" s="3">
        <v>1.0</v>
      </c>
      <c r="J22" s="3">
        <v>1.0</v>
      </c>
      <c r="K22" s="3">
        <v>2.0</v>
      </c>
      <c r="L22" s="3">
        <v>0.0</v>
      </c>
      <c r="M22" s="3">
        <v>0.0</v>
      </c>
      <c r="N22" s="3">
        <v>0.0</v>
      </c>
      <c r="O22" s="3">
        <v>0.0</v>
      </c>
      <c r="P22" s="3">
        <v>0.0</v>
      </c>
      <c r="Q22" s="3">
        <v>0.0</v>
      </c>
    </row>
    <row r="23">
      <c r="A23" s="3" t="s">
        <v>412</v>
      </c>
      <c r="B23" s="3">
        <v>2000.0</v>
      </c>
      <c r="C23" s="3">
        <v>202311.0</v>
      </c>
      <c r="D23" s="3">
        <v>2.0</v>
      </c>
      <c r="E23" s="391">
        <v>12.0</v>
      </c>
      <c r="F23" s="3">
        <v>1.0</v>
      </c>
      <c r="G23" s="3">
        <v>1.0</v>
      </c>
      <c r="H23" s="3">
        <v>3.0</v>
      </c>
      <c r="I23" s="3">
        <v>1.0</v>
      </c>
      <c r="J23" s="3">
        <v>2.0</v>
      </c>
      <c r="K23" s="3">
        <v>1.0</v>
      </c>
      <c r="L23" s="3">
        <v>3.0</v>
      </c>
      <c r="M23" s="3">
        <v>3.0</v>
      </c>
      <c r="N23" s="3">
        <v>1.0</v>
      </c>
      <c r="O23" s="3">
        <v>0.0</v>
      </c>
      <c r="P23" s="3">
        <v>4.0</v>
      </c>
      <c r="Q23" s="3">
        <v>1.0</v>
      </c>
    </row>
    <row r="24">
      <c r="A24" s="3" t="s">
        <v>343</v>
      </c>
      <c r="B24" s="3">
        <v>2000.0</v>
      </c>
      <c r="C24" s="3">
        <v>202312.0</v>
      </c>
      <c r="D24" s="3">
        <v>6.0</v>
      </c>
      <c r="E24" s="391">
        <v>24.0</v>
      </c>
      <c r="F24" s="3">
        <v>9.0</v>
      </c>
      <c r="G24" s="3">
        <v>5.0</v>
      </c>
      <c r="H24" s="3">
        <v>2.0</v>
      </c>
      <c r="I24" s="3">
        <v>3.0</v>
      </c>
      <c r="J24" s="3">
        <v>4.0</v>
      </c>
      <c r="K24" s="3">
        <v>1.0</v>
      </c>
      <c r="L24" s="3">
        <v>7.0</v>
      </c>
      <c r="M24" s="3">
        <v>8.0</v>
      </c>
      <c r="N24" s="3">
        <v>2.0</v>
      </c>
      <c r="O24" s="3">
        <v>8.0</v>
      </c>
      <c r="P24" s="3">
        <v>3.0</v>
      </c>
      <c r="Q24" s="3">
        <v>3.0</v>
      </c>
    </row>
    <row r="25">
      <c r="A25" s="3" t="s">
        <v>353</v>
      </c>
      <c r="B25" s="3">
        <v>10000.0</v>
      </c>
      <c r="C25" s="3">
        <v>202312.0</v>
      </c>
      <c r="D25" s="3">
        <v>3.0</v>
      </c>
      <c r="E25" s="391">
        <v>24.0</v>
      </c>
      <c r="F25" s="3">
        <v>3.0</v>
      </c>
      <c r="G25" s="3">
        <v>3.0</v>
      </c>
      <c r="H25" s="3">
        <v>2.0</v>
      </c>
      <c r="I25" s="3">
        <v>1.0</v>
      </c>
      <c r="J25" s="3">
        <v>4.0</v>
      </c>
      <c r="K25" s="3">
        <v>4.0</v>
      </c>
      <c r="L25" s="3">
        <v>1.0</v>
      </c>
      <c r="M25" s="3">
        <v>5.0</v>
      </c>
      <c r="N25" s="3">
        <v>0.0</v>
      </c>
      <c r="O25" s="3">
        <v>2.0</v>
      </c>
      <c r="P25" s="3">
        <v>1.0</v>
      </c>
      <c r="Q25" s="3">
        <v>0.0</v>
      </c>
    </row>
    <row r="26">
      <c r="A26" s="3" t="s">
        <v>391</v>
      </c>
      <c r="B26" s="3">
        <v>10000.0</v>
      </c>
      <c r="C26" s="3">
        <v>202312.0</v>
      </c>
      <c r="D26" s="3">
        <v>4.0</v>
      </c>
      <c r="E26" s="391">
        <v>24.0</v>
      </c>
      <c r="F26" s="3">
        <v>3.0</v>
      </c>
      <c r="G26" s="3">
        <v>4.0</v>
      </c>
      <c r="H26" s="3">
        <v>1.0</v>
      </c>
      <c r="I26" s="3">
        <v>1.0</v>
      </c>
      <c r="J26" s="3">
        <v>7.0</v>
      </c>
      <c r="K26" s="3">
        <v>2.0</v>
      </c>
      <c r="L26" s="3">
        <v>3.0</v>
      </c>
      <c r="M26" s="3">
        <v>6.0</v>
      </c>
      <c r="N26" s="3">
        <v>2.0</v>
      </c>
      <c r="O26" s="3">
        <v>0.0</v>
      </c>
      <c r="P26" s="3">
        <v>0.0</v>
      </c>
      <c r="Q26" s="3">
        <v>0.0</v>
      </c>
    </row>
    <row r="27">
      <c r="A27" s="3" t="s">
        <v>282</v>
      </c>
      <c r="B27" s="3">
        <v>12000.0</v>
      </c>
      <c r="C27" s="3">
        <v>202312.0</v>
      </c>
      <c r="D27" s="3">
        <v>10.0</v>
      </c>
      <c r="E27" s="391">
        <v>12.0</v>
      </c>
      <c r="F27" s="3">
        <v>2.0</v>
      </c>
      <c r="G27" s="3">
        <v>5.0</v>
      </c>
      <c r="H27" s="3">
        <v>0.0</v>
      </c>
      <c r="I27" s="3">
        <v>0.0</v>
      </c>
      <c r="J27" s="3">
        <v>0.0</v>
      </c>
      <c r="K27" s="3">
        <v>0.0</v>
      </c>
      <c r="L27" s="3">
        <v>0.0</v>
      </c>
      <c r="M27" s="3">
        <v>0.0</v>
      </c>
      <c r="N27" s="3">
        <v>0.0</v>
      </c>
      <c r="O27" s="3">
        <v>0.0</v>
      </c>
      <c r="P27" s="3">
        <v>0.0</v>
      </c>
      <c r="Q27" s="3">
        <v>0.0</v>
      </c>
    </row>
    <row r="28">
      <c r="A28" s="3" t="s">
        <v>428</v>
      </c>
      <c r="B28" s="3">
        <v>22500.0</v>
      </c>
      <c r="C28" s="3">
        <v>202312.0</v>
      </c>
      <c r="D28" s="3">
        <v>8.0</v>
      </c>
      <c r="E28" s="391">
        <v>24.0</v>
      </c>
      <c r="F28" s="3">
        <v>5.0</v>
      </c>
      <c r="G28" s="3">
        <v>0.0</v>
      </c>
      <c r="H28" s="3">
        <v>4.0</v>
      </c>
      <c r="I28" s="3">
        <v>0.0</v>
      </c>
      <c r="J28" s="3">
        <v>0.0</v>
      </c>
      <c r="K28" s="3">
        <v>0.0</v>
      </c>
      <c r="L28" s="3">
        <v>0.0</v>
      </c>
      <c r="M28" s="3">
        <v>0.0</v>
      </c>
      <c r="N28" s="3">
        <v>0.0</v>
      </c>
      <c r="O28" s="3">
        <v>0.0</v>
      </c>
      <c r="P28" s="3">
        <v>0.0</v>
      </c>
      <c r="Q28" s="3">
        <v>0.0</v>
      </c>
    </row>
    <row r="29">
      <c r="A29" s="3" t="s">
        <v>430</v>
      </c>
      <c r="B29" s="3">
        <v>3000.0</v>
      </c>
      <c r="C29" s="3">
        <v>202312.0</v>
      </c>
      <c r="D29" s="3">
        <v>26.0</v>
      </c>
      <c r="E29" s="391">
        <v>24.0</v>
      </c>
      <c r="F29" s="3">
        <v>3.0</v>
      </c>
      <c r="G29" s="3">
        <v>5.0</v>
      </c>
      <c r="H29" s="3">
        <v>4.0</v>
      </c>
      <c r="I29" s="3">
        <v>3.0</v>
      </c>
      <c r="J29" s="3">
        <v>7.0</v>
      </c>
      <c r="K29" s="3">
        <v>1.0</v>
      </c>
      <c r="L29" s="3">
        <v>4.0</v>
      </c>
      <c r="M29" s="3">
        <v>5.0</v>
      </c>
      <c r="N29" s="3">
        <v>5.0</v>
      </c>
      <c r="O29" s="3">
        <v>2.0</v>
      </c>
      <c r="P29" s="3">
        <v>8.0</v>
      </c>
      <c r="Q29" s="3">
        <v>3.0</v>
      </c>
    </row>
    <row r="30">
      <c r="A30" s="3" t="s">
        <v>283</v>
      </c>
      <c r="B30" s="3">
        <v>35000.0</v>
      </c>
      <c r="C30" s="3">
        <v>202401.0</v>
      </c>
      <c r="D30" s="3">
        <v>10.0</v>
      </c>
      <c r="E30" s="391">
        <v>36.0</v>
      </c>
      <c r="F30" s="3">
        <v>33.0</v>
      </c>
      <c r="G30" s="3">
        <v>8.0</v>
      </c>
      <c r="H30" s="3">
        <v>3.0</v>
      </c>
      <c r="I30" s="3">
        <v>0.0</v>
      </c>
      <c r="J30" s="3">
        <v>0.0</v>
      </c>
      <c r="K30" s="3">
        <v>0.0</v>
      </c>
      <c r="L30" s="3">
        <v>0.0</v>
      </c>
      <c r="M30" s="3">
        <v>0.0</v>
      </c>
      <c r="N30" s="3">
        <v>0.0</v>
      </c>
      <c r="O30" s="3">
        <v>0.0</v>
      </c>
      <c r="P30" s="3">
        <v>0.0</v>
      </c>
      <c r="Q30" s="3">
        <v>0.0</v>
      </c>
    </row>
    <row r="31">
      <c r="A31" s="3" t="s">
        <v>337</v>
      </c>
      <c r="B31" s="3">
        <v>35000.0</v>
      </c>
      <c r="C31" s="3">
        <v>202401.0</v>
      </c>
      <c r="D31" s="3">
        <v>5.0</v>
      </c>
      <c r="E31" s="391">
        <v>36.0</v>
      </c>
      <c r="F31" s="3">
        <v>1.0</v>
      </c>
      <c r="G31" s="3">
        <v>0.0</v>
      </c>
      <c r="H31" s="3">
        <v>0.0</v>
      </c>
      <c r="I31" s="3">
        <v>0.0</v>
      </c>
      <c r="J31" s="3">
        <v>0.0</v>
      </c>
      <c r="K31" s="3">
        <v>0.0</v>
      </c>
      <c r="L31" s="3">
        <v>0.0</v>
      </c>
      <c r="M31" s="3">
        <v>0.0</v>
      </c>
      <c r="N31" s="3">
        <v>0.0</v>
      </c>
      <c r="O31" s="3">
        <v>0.0</v>
      </c>
      <c r="P31" s="3">
        <v>0.0</v>
      </c>
      <c r="Q31" s="3">
        <v>0.0</v>
      </c>
    </row>
    <row r="32">
      <c r="A32" s="3" t="s">
        <v>347</v>
      </c>
      <c r="B32" s="3">
        <v>50000.0</v>
      </c>
      <c r="C32" s="3">
        <v>202401.0</v>
      </c>
      <c r="D32" s="3">
        <v>80.0</v>
      </c>
      <c r="E32" s="391">
        <v>48.0</v>
      </c>
      <c r="F32" s="3">
        <v>12.0</v>
      </c>
      <c r="G32" s="3">
        <v>8.0</v>
      </c>
      <c r="H32" s="3">
        <v>6.0</v>
      </c>
      <c r="I32" s="3">
        <v>5.0</v>
      </c>
      <c r="J32" s="3">
        <v>5.0</v>
      </c>
      <c r="K32" s="3">
        <v>5.0</v>
      </c>
      <c r="L32" s="3">
        <v>2.0</v>
      </c>
      <c r="M32" s="3">
        <v>11.0</v>
      </c>
      <c r="N32" s="3">
        <v>14.0</v>
      </c>
      <c r="O32" s="3">
        <v>1.0</v>
      </c>
      <c r="P32" s="3">
        <v>4.0</v>
      </c>
      <c r="Q32" s="3">
        <v>8.0</v>
      </c>
    </row>
    <row r="33">
      <c r="A33" s="3" t="s">
        <v>285</v>
      </c>
      <c r="B33" s="3">
        <v>5000.0</v>
      </c>
      <c r="C33" s="3">
        <v>202401.0</v>
      </c>
      <c r="D33" s="3">
        <v>4.0</v>
      </c>
      <c r="E33" s="391">
        <v>12.0</v>
      </c>
      <c r="F33" s="3">
        <v>1.0</v>
      </c>
      <c r="G33" s="3">
        <v>0.0</v>
      </c>
      <c r="H33" s="3">
        <v>0.0</v>
      </c>
      <c r="I33" s="3">
        <v>0.0</v>
      </c>
      <c r="J33" s="3">
        <v>0.0</v>
      </c>
      <c r="K33" s="3">
        <v>0.0</v>
      </c>
      <c r="L33" s="3">
        <v>0.0</v>
      </c>
      <c r="M33" s="3">
        <v>0.0</v>
      </c>
      <c r="N33" s="3">
        <v>0.0</v>
      </c>
      <c r="O33" s="3">
        <v>0.0</v>
      </c>
      <c r="P33" s="3">
        <v>0.0</v>
      </c>
      <c r="Q33" s="3">
        <v>0.0</v>
      </c>
    </row>
    <row r="34">
      <c r="A34" s="3" t="s">
        <v>286</v>
      </c>
      <c r="B34" s="3">
        <v>12000.0</v>
      </c>
      <c r="C34" s="3">
        <v>202401.0</v>
      </c>
      <c r="D34" s="3">
        <v>10.0</v>
      </c>
      <c r="E34" s="391">
        <v>12.0</v>
      </c>
      <c r="F34" s="3">
        <v>6.0</v>
      </c>
      <c r="G34" s="3">
        <v>1.0</v>
      </c>
      <c r="H34" s="3">
        <v>0.0</v>
      </c>
      <c r="I34" s="3">
        <v>0.0</v>
      </c>
      <c r="J34" s="3">
        <v>0.0</v>
      </c>
      <c r="K34" s="3">
        <v>0.0</v>
      </c>
      <c r="L34" s="3">
        <v>0.0</v>
      </c>
      <c r="M34" s="3">
        <v>0.0</v>
      </c>
      <c r="N34" s="3">
        <v>0.0</v>
      </c>
      <c r="O34" s="3">
        <v>0.0</v>
      </c>
      <c r="P34" s="3">
        <v>0.0</v>
      </c>
      <c r="Q34" s="3">
        <v>0.0</v>
      </c>
    </row>
    <row r="35">
      <c r="A35" s="3" t="s">
        <v>409</v>
      </c>
      <c r="B35" s="3">
        <v>7500.0</v>
      </c>
      <c r="C35" s="3">
        <v>202401.0</v>
      </c>
      <c r="D35" s="3">
        <v>26.0</v>
      </c>
      <c r="E35" s="391">
        <v>36.0</v>
      </c>
      <c r="F35" s="3">
        <v>6.0</v>
      </c>
      <c r="G35" s="3">
        <v>8.0</v>
      </c>
      <c r="H35" s="3">
        <v>7.0</v>
      </c>
      <c r="I35" s="3">
        <v>7.0</v>
      </c>
      <c r="J35" s="3">
        <v>7.0</v>
      </c>
      <c r="K35" s="3">
        <v>15.0</v>
      </c>
      <c r="L35" s="3">
        <v>5.0</v>
      </c>
      <c r="M35" s="3">
        <v>4.0</v>
      </c>
      <c r="N35" s="3">
        <v>10.0</v>
      </c>
      <c r="O35" s="3">
        <v>12.0</v>
      </c>
      <c r="P35" s="3">
        <v>11.0</v>
      </c>
      <c r="Q35" s="3">
        <v>22.0</v>
      </c>
    </row>
    <row r="36">
      <c r="A36" s="3" t="s">
        <v>370</v>
      </c>
      <c r="B36" s="3">
        <v>15000.0</v>
      </c>
      <c r="C36" s="3">
        <v>202402.0</v>
      </c>
      <c r="D36" s="3">
        <v>7.0</v>
      </c>
      <c r="E36" s="391">
        <v>24.0</v>
      </c>
      <c r="F36" s="3">
        <v>3.0</v>
      </c>
      <c r="G36" s="3">
        <v>0.0</v>
      </c>
      <c r="H36" s="3">
        <v>0.0</v>
      </c>
      <c r="I36" s="3">
        <v>8.0</v>
      </c>
      <c r="J36" s="3">
        <v>5.0</v>
      </c>
      <c r="K36" s="3">
        <v>13.0</v>
      </c>
      <c r="L36" s="3">
        <v>1.0</v>
      </c>
      <c r="M36" s="3">
        <v>2.0</v>
      </c>
      <c r="N36" s="3">
        <v>0.0</v>
      </c>
      <c r="O36" s="3">
        <v>0.0</v>
      </c>
      <c r="P36" s="3">
        <v>0.0</v>
      </c>
      <c r="Q36" s="3">
        <v>3.0</v>
      </c>
    </row>
    <row r="37">
      <c r="A37" s="3" t="s">
        <v>388</v>
      </c>
      <c r="B37" s="3">
        <v>13000.0</v>
      </c>
      <c r="C37" s="3">
        <v>202402.0</v>
      </c>
      <c r="D37" s="3">
        <v>5.0</v>
      </c>
      <c r="E37" s="391">
        <v>24.0</v>
      </c>
      <c r="F37" s="3">
        <v>4.0</v>
      </c>
      <c r="G37" s="3">
        <v>4.0</v>
      </c>
      <c r="H37" s="3">
        <v>4.0</v>
      </c>
      <c r="I37" s="3">
        <v>7.0</v>
      </c>
      <c r="J37" s="3">
        <v>2.0</v>
      </c>
      <c r="K37" s="3">
        <v>0.0</v>
      </c>
      <c r="L37" s="3">
        <v>2.0</v>
      </c>
      <c r="M37" s="3">
        <v>7.0</v>
      </c>
      <c r="N37" s="3">
        <v>8.0</v>
      </c>
      <c r="O37" s="3">
        <v>13.0</v>
      </c>
      <c r="P37" s="3">
        <v>6.0</v>
      </c>
      <c r="Q37" s="3">
        <v>5.0</v>
      </c>
    </row>
    <row r="38">
      <c r="A38" s="3" t="s">
        <v>287</v>
      </c>
      <c r="B38" s="3">
        <v>15000.0</v>
      </c>
      <c r="C38" s="3">
        <v>202402.0</v>
      </c>
      <c r="D38" s="3">
        <v>4.0</v>
      </c>
      <c r="E38" s="391">
        <v>24.0</v>
      </c>
      <c r="F38" s="3">
        <v>5.0</v>
      </c>
      <c r="G38" s="3">
        <v>0.0</v>
      </c>
      <c r="H38" s="3">
        <v>0.0</v>
      </c>
      <c r="I38" s="3">
        <v>0.0</v>
      </c>
      <c r="J38" s="3">
        <v>0.0</v>
      </c>
      <c r="K38" s="3">
        <v>0.0</v>
      </c>
      <c r="L38" s="3">
        <v>0.0</v>
      </c>
      <c r="M38" s="3">
        <v>0.0</v>
      </c>
      <c r="N38" s="3">
        <v>0.0</v>
      </c>
      <c r="O38" s="3">
        <v>0.0</v>
      </c>
      <c r="P38" s="3">
        <v>0.0</v>
      </c>
      <c r="Q38" s="3">
        <v>0.0</v>
      </c>
    </row>
    <row r="39">
      <c r="A39" s="3" t="s">
        <v>350</v>
      </c>
      <c r="B39" s="3">
        <v>25000.0</v>
      </c>
      <c r="C39" s="3">
        <v>202403.0</v>
      </c>
      <c r="D39" s="3">
        <v>10.0</v>
      </c>
      <c r="E39" s="394">
        <v>24.0</v>
      </c>
      <c r="F39" s="3">
        <v>16.0</v>
      </c>
      <c r="G39" s="3">
        <v>11.0</v>
      </c>
      <c r="H39" s="3">
        <v>10.0</v>
      </c>
      <c r="I39" s="3">
        <v>4.0</v>
      </c>
      <c r="J39" s="3">
        <v>8.0</v>
      </c>
      <c r="K39" s="3">
        <v>8.0</v>
      </c>
      <c r="L39" s="3">
        <v>5.0</v>
      </c>
      <c r="M39" s="3">
        <v>4.0</v>
      </c>
      <c r="N39" s="3">
        <v>12.0</v>
      </c>
      <c r="O39" s="3">
        <v>1.0</v>
      </c>
      <c r="P39" s="3">
        <v>1.0</v>
      </c>
      <c r="Q39" s="3">
        <v>3.0</v>
      </c>
    </row>
    <row r="40">
      <c r="A40" s="3" t="s">
        <v>288</v>
      </c>
      <c r="B40" s="3">
        <v>20000.0</v>
      </c>
      <c r="C40" s="3">
        <v>202403.0</v>
      </c>
      <c r="D40" s="3">
        <v>4.0</v>
      </c>
      <c r="E40" s="391">
        <v>24.0</v>
      </c>
      <c r="F40" s="3">
        <v>2.0</v>
      </c>
      <c r="G40" s="3">
        <v>0.0</v>
      </c>
      <c r="H40" s="3">
        <v>0.0</v>
      </c>
      <c r="I40" s="3">
        <v>0.0</v>
      </c>
      <c r="J40" s="3">
        <v>0.0</v>
      </c>
      <c r="K40" s="3">
        <v>0.0</v>
      </c>
      <c r="L40" s="3">
        <v>0.0</v>
      </c>
      <c r="M40" s="3">
        <v>0.0</v>
      </c>
      <c r="N40" s="3">
        <v>0.0</v>
      </c>
      <c r="O40" s="3">
        <v>0.0</v>
      </c>
      <c r="P40" s="3">
        <v>0.0</v>
      </c>
      <c r="Q40" s="3">
        <v>0.0</v>
      </c>
    </row>
    <row r="41">
      <c r="A41" s="3" t="s">
        <v>394</v>
      </c>
      <c r="B41" s="3">
        <v>10000.0</v>
      </c>
      <c r="C41" s="3">
        <v>202403.0</v>
      </c>
      <c r="D41" s="3">
        <v>3.0</v>
      </c>
      <c r="E41" s="391">
        <v>12.0</v>
      </c>
      <c r="F41" s="3">
        <v>5.0</v>
      </c>
      <c r="G41" s="3">
        <v>0.0</v>
      </c>
      <c r="H41" s="3">
        <v>1.0</v>
      </c>
      <c r="I41" s="3">
        <v>1.0</v>
      </c>
      <c r="J41" s="3">
        <v>0.0</v>
      </c>
      <c r="K41" s="3">
        <v>4.0</v>
      </c>
      <c r="L41" s="3">
        <v>0.0</v>
      </c>
      <c r="M41" s="3">
        <v>5.0</v>
      </c>
      <c r="N41" s="3">
        <v>3.0</v>
      </c>
      <c r="O41" s="3">
        <v>0.0</v>
      </c>
      <c r="P41" s="3">
        <v>0.0</v>
      </c>
      <c r="Q41" s="3">
        <v>0.0</v>
      </c>
    </row>
    <row r="42">
      <c r="A42" s="3" t="s">
        <v>402</v>
      </c>
      <c r="B42" s="3">
        <v>20000.0</v>
      </c>
      <c r="C42" s="3">
        <v>202403.0</v>
      </c>
      <c r="D42" s="3">
        <v>10.0</v>
      </c>
      <c r="E42" s="394">
        <v>36.0</v>
      </c>
      <c r="F42" s="3">
        <v>10.0</v>
      </c>
      <c r="G42" s="3">
        <v>10.0</v>
      </c>
      <c r="H42" s="3">
        <v>9.0</v>
      </c>
      <c r="I42" s="3">
        <v>3.0</v>
      </c>
      <c r="J42" s="3">
        <v>13.0</v>
      </c>
      <c r="K42" s="3">
        <v>5.0</v>
      </c>
      <c r="L42" s="3">
        <v>5.0</v>
      </c>
      <c r="M42" s="3">
        <v>5.0</v>
      </c>
      <c r="N42" s="3">
        <v>5.0</v>
      </c>
      <c r="O42" s="3">
        <v>1.0</v>
      </c>
      <c r="P42" s="3">
        <v>1.0</v>
      </c>
      <c r="Q42" s="3">
        <v>1.0</v>
      </c>
    </row>
    <row r="43">
      <c r="A43" s="3" t="s">
        <v>438</v>
      </c>
      <c r="B43" s="3">
        <v>10000.0</v>
      </c>
      <c r="C43" s="3">
        <v>202404.0</v>
      </c>
      <c r="D43" s="3">
        <v>3.0</v>
      </c>
      <c r="E43" s="391">
        <v>12.0</v>
      </c>
      <c r="F43" s="3">
        <v>9.0</v>
      </c>
      <c r="G43" s="3">
        <v>7.0</v>
      </c>
      <c r="H43" s="3">
        <v>1.0</v>
      </c>
      <c r="I43" s="3">
        <v>1.0</v>
      </c>
      <c r="J43" s="3">
        <v>3.0</v>
      </c>
      <c r="K43" s="3">
        <v>4.0</v>
      </c>
      <c r="L43" s="3">
        <v>2.0</v>
      </c>
      <c r="M43" s="3">
        <v>7.0</v>
      </c>
      <c r="N43" s="3">
        <v>2.0</v>
      </c>
      <c r="O43" s="3">
        <v>1.0</v>
      </c>
      <c r="P43" s="3">
        <v>5.0</v>
      </c>
      <c r="Q43" s="3">
        <v>4.0</v>
      </c>
    </row>
  </sheetData>
  <autoFilter ref="$A$1:$AA$995">
    <sortState ref="A1:AA995">
      <sortCondition ref="C1:C995"/>
      <sortCondition ref="A1:A995"/>
    </sortState>
  </autoFil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workbookViewId="0"/>
  </sheetViews>
  <sheetFormatPr customHeight="1" defaultColWidth="12.63" defaultRowHeight="15.0"/>
  <sheetData>
    <row r="1">
      <c r="A1" s="367"/>
      <c r="B1" s="367"/>
      <c r="C1" s="367"/>
      <c r="D1" s="367"/>
      <c r="E1" s="367"/>
      <c r="F1" s="368"/>
      <c r="G1" s="369"/>
      <c r="H1" s="369"/>
      <c r="I1" s="369"/>
      <c r="J1" s="369"/>
      <c r="K1" s="369"/>
      <c r="L1" s="369"/>
      <c r="M1" s="369"/>
      <c r="N1" s="370"/>
      <c r="O1" s="368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70"/>
    </row>
    <row r="2">
      <c r="A2" s="340"/>
      <c r="B2" s="374" t="s">
        <v>298</v>
      </c>
      <c r="C2" s="374" t="s">
        <v>21</v>
      </c>
      <c r="D2" s="374" t="s">
        <v>467</v>
      </c>
      <c r="E2" s="373" t="s">
        <v>468</v>
      </c>
      <c r="F2" s="377" t="s">
        <v>302</v>
      </c>
      <c r="G2" s="377" t="s">
        <v>303</v>
      </c>
      <c r="H2" s="377" t="s">
        <v>304</v>
      </c>
      <c r="I2" s="377" t="s">
        <v>305</v>
      </c>
      <c r="J2" s="377" t="s">
        <v>306</v>
      </c>
      <c r="K2" s="377" t="s">
        <v>307</v>
      </c>
      <c r="L2" s="377" t="s">
        <v>308</v>
      </c>
      <c r="M2" s="377" t="s">
        <v>309</v>
      </c>
      <c r="N2" s="377" t="s">
        <v>310</v>
      </c>
      <c r="O2" s="377" t="s">
        <v>311</v>
      </c>
      <c r="P2" s="377" t="s">
        <v>312</v>
      </c>
      <c r="Q2" s="377" t="s">
        <v>313</v>
      </c>
      <c r="R2" s="377"/>
      <c r="S2" s="378"/>
      <c r="T2" s="377"/>
      <c r="U2" s="377"/>
      <c r="V2" s="377"/>
      <c r="W2" s="377"/>
      <c r="X2" s="378"/>
      <c r="Y2" s="378"/>
    </row>
    <row r="3">
      <c r="A3" s="379" t="str">
        <f>'Normalized Import'!A2</f>
        <v>safe</v>
      </c>
      <c r="B3" s="402">
        <f>'Normalized Import'!B2</f>
        <v>44958</v>
      </c>
      <c r="C3" s="403">
        <f>'Normalized Import'!C2</f>
        <v>1000</v>
      </c>
      <c r="D3" s="404"/>
      <c r="E3" s="384">
        <f>'Studies (Cum) RAW'!E3/12</f>
        <v>1</v>
      </c>
      <c r="F3" s="405">
        <f>'Normalized Import'!E2</f>
        <v>0</v>
      </c>
      <c r="G3" s="405">
        <f>'Normalized Import'!F2</f>
        <v>2</v>
      </c>
      <c r="H3" s="405">
        <f>'Normalized Import'!G2</f>
        <v>0</v>
      </c>
      <c r="I3" s="405">
        <f>'Normalized Import'!H2</f>
        <v>1</v>
      </c>
      <c r="J3" s="405">
        <f>'Normalized Import'!I2</f>
        <v>2</v>
      </c>
      <c r="K3" s="405">
        <f>'Normalized Import'!J2</f>
        <v>1</v>
      </c>
      <c r="L3" s="405">
        <f>'Normalized Import'!K2</f>
        <v>0</v>
      </c>
      <c r="M3" s="405">
        <f>'Normalized Import'!L2</f>
        <v>1</v>
      </c>
      <c r="N3" s="405">
        <f>'Normalized Import'!M2</f>
        <v>1</v>
      </c>
      <c r="O3" s="405">
        <f>'Normalized Import'!N2</f>
        <v>3</v>
      </c>
      <c r="P3" s="405">
        <f>'Normalized Import'!O2</f>
        <v>0</v>
      </c>
      <c r="Q3" s="405">
        <f>'Normalized Import'!P2</f>
        <v>1</v>
      </c>
      <c r="R3" s="405"/>
      <c r="S3" s="372"/>
      <c r="T3" s="405"/>
      <c r="U3" s="405"/>
      <c r="V3" s="405"/>
      <c r="W3" s="405"/>
      <c r="X3" s="405"/>
      <c r="Y3" s="405"/>
    </row>
    <row r="4">
      <c r="A4" s="379" t="str">
        <f>'Normalized Import'!A3</f>
        <v>8x8</v>
      </c>
      <c r="B4" s="402">
        <f>'Normalized Import'!B3</f>
        <v>45047</v>
      </c>
      <c r="C4" s="403">
        <f>'Normalized Import'!C3</f>
        <v>15000</v>
      </c>
      <c r="D4" s="404"/>
      <c r="E4" s="384">
        <f>'Studies (Cum) RAW'!E4/12</f>
        <v>2</v>
      </c>
      <c r="F4" s="405">
        <f>'Normalized Import'!E3</f>
        <v>0</v>
      </c>
      <c r="G4" s="405">
        <f>'Normalized Import'!F3</f>
        <v>0</v>
      </c>
      <c r="H4" s="405">
        <f>'Normalized Import'!G3</f>
        <v>3</v>
      </c>
      <c r="I4" s="405">
        <f>'Normalized Import'!H3</f>
        <v>1</v>
      </c>
      <c r="J4" s="405">
        <f>'Normalized Import'!I3</f>
        <v>4</v>
      </c>
      <c r="K4" s="405">
        <f>'Normalized Import'!J3</f>
        <v>4</v>
      </c>
      <c r="L4" s="405">
        <f>'Normalized Import'!K3</f>
        <v>7</v>
      </c>
      <c r="M4" s="405">
        <f>'Normalized Import'!L3</f>
        <v>4</v>
      </c>
      <c r="N4" s="405">
        <f>'Normalized Import'!M3</f>
        <v>0</v>
      </c>
      <c r="O4" s="405">
        <f>'Normalized Import'!N3</f>
        <v>2</v>
      </c>
      <c r="P4" s="405">
        <f>'Normalized Import'!O3</f>
        <v>2</v>
      </c>
      <c r="Q4" s="405">
        <f>'Normalized Import'!P3</f>
        <v>3</v>
      </c>
      <c r="R4" s="406"/>
      <c r="S4" s="372"/>
      <c r="T4" s="406"/>
      <c r="U4" s="406"/>
      <c r="V4" s="406"/>
      <c r="W4" s="406"/>
      <c r="X4" s="406"/>
      <c r="Y4" s="406"/>
    </row>
    <row r="5">
      <c r="A5" s="379" t="str">
        <f>'Normalized Import'!A4</f>
        <v>convera</v>
      </c>
      <c r="B5" s="402">
        <f>'Normalized Import'!B4</f>
        <v>45047</v>
      </c>
      <c r="C5" s="403">
        <f>'Normalized Import'!C4</f>
        <v>5000</v>
      </c>
      <c r="D5" s="404"/>
      <c r="E5" s="384">
        <f>'Studies (Cum) RAW'!E5/12</f>
        <v>1</v>
      </c>
      <c r="F5" s="405">
        <f>'Normalized Import'!E4</f>
        <v>0</v>
      </c>
      <c r="G5" s="405">
        <f>'Normalized Import'!F4</f>
        <v>0</v>
      </c>
      <c r="H5" s="405">
        <f>'Normalized Import'!G4</f>
        <v>0</v>
      </c>
      <c r="I5" s="405">
        <f>'Normalized Import'!H4</f>
        <v>0</v>
      </c>
      <c r="J5" s="405">
        <f>'Normalized Import'!I4</f>
        <v>0</v>
      </c>
      <c r="K5" s="405">
        <f>'Normalized Import'!J4</f>
        <v>1</v>
      </c>
      <c r="L5" s="405">
        <f>'Normalized Import'!K4</f>
        <v>0</v>
      </c>
      <c r="M5" s="405">
        <f>'Normalized Import'!L4</f>
        <v>0</v>
      </c>
      <c r="N5" s="405">
        <f>'Normalized Import'!M4</f>
        <v>0</v>
      </c>
      <c r="O5" s="405">
        <f>'Normalized Import'!N4</f>
        <v>0</v>
      </c>
      <c r="P5" s="405">
        <f>'Normalized Import'!O4</f>
        <v>0</v>
      </c>
      <c r="Q5" s="405">
        <f>'Normalized Import'!P4</f>
        <v>1</v>
      </c>
      <c r="R5" s="406"/>
      <c r="S5" s="372"/>
      <c r="T5" s="406"/>
      <c r="U5" s="406"/>
      <c r="V5" s="406"/>
      <c r="W5" s="406"/>
      <c r="X5" s="406"/>
      <c r="Y5" s="406"/>
    </row>
    <row r="6">
      <c r="A6" s="379" t="str">
        <f>'Normalized Import'!A5</f>
        <v>glovo</v>
      </c>
      <c r="B6" s="402">
        <f>'Normalized Import'!B5</f>
        <v>45047</v>
      </c>
      <c r="C6" s="403">
        <f>'Normalized Import'!C5</f>
        <v>30000</v>
      </c>
      <c r="D6" s="404"/>
      <c r="E6" s="384">
        <f>'Studies (Cum) RAW'!E6/12</f>
        <v>3</v>
      </c>
      <c r="F6" s="405">
        <f>'Normalized Import'!E5</f>
        <v>0</v>
      </c>
      <c r="G6" s="405">
        <f>'Normalized Import'!F5</f>
        <v>1</v>
      </c>
      <c r="H6" s="405">
        <f>'Normalized Import'!G5</f>
        <v>6</v>
      </c>
      <c r="I6" s="405">
        <f>'Normalized Import'!H5</f>
        <v>29</v>
      </c>
      <c r="J6" s="405">
        <f>'Normalized Import'!I5</f>
        <v>15</v>
      </c>
      <c r="K6" s="405">
        <f>'Normalized Import'!J5</f>
        <v>11</v>
      </c>
      <c r="L6" s="405">
        <f>'Normalized Import'!K5</f>
        <v>8</v>
      </c>
      <c r="M6" s="405">
        <f>'Normalized Import'!L5</f>
        <v>24</v>
      </c>
      <c r="N6" s="405">
        <f>'Normalized Import'!M5</f>
        <v>8</v>
      </c>
      <c r="O6" s="405">
        <f>'Normalized Import'!N5</f>
        <v>15</v>
      </c>
      <c r="P6" s="405">
        <f>'Normalized Import'!O5</f>
        <v>21</v>
      </c>
      <c r="Q6" s="405">
        <f>'Normalized Import'!P5</f>
        <v>9</v>
      </c>
      <c r="R6" s="406"/>
      <c r="S6" s="372"/>
      <c r="T6" s="406"/>
      <c r="U6" s="406"/>
      <c r="V6" s="406"/>
      <c r="W6" s="406"/>
      <c r="X6" s="406"/>
      <c r="Y6" s="406"/>
    </row>
    <row r="7">
      <c r="A7" s="379" t="str">
        <f>'Normalized Import'!A6</f>
        <v>webflow</v>
      </c>
      <c r="B7" s="402">
        <f>'Normalized Import'!B6</f>
        <v>45047</v>
      </c>
      <c r="C7" s="403">
        <f>'Normalized Import'!C6</f>
        <v>20000</v>
      </c>
      <c r="D7" s="404"/>
      <c r="E7" s="384">
        <f>'Studies (Cum) RAW'!E7/12</f>
        <v>2</v>
      </c>
      <c r="F7" s="405">
        <f>'Normalized Import'!E6</f>
        <v>0</v>
      </c>
      <c r="G7" s="405">
        <f>'Normalized Import'!F6</f>
        <v>1</v>
      </c>
      <c r="H7" s="405">
        <f>'Normalized Import'!G6</f>
        <v>6</v>
      </c>
      <c r="I7" s="405">
        <f>'Normalized Import'!H6</f>
        <v>7</v>
      </c>
      <c r="J7" s="405">
        <f>'Normalized Import'!I6</f>
        <v>9</v>
      </c>
      <c r="K7" s="405">
        <f>'Normalized Import'!J6</f>
        <v>6</v>
      </c>
      <c r="L7" s="405">
        <f>'Normalized Import'!K6</f>
        <v>4</v>
      </c>
      <c r="M7" s="405">
        <f>'Normalized Import'!L6</f>
        <v>6</v>
      </c>
      <c r="N7" s="405">
        <f>'Normalized Import'!M6</f>
        <v>5</v>
      </c>
      <c r="O7" s="405">
        <f>'Normalized Import'!N6</f>
        <v>3</v>
      </c>
      <c r="P7" s="405">
        <f>'Normalized Import'!O6</f>
        <v>6</v>
      </c>
      <c r="Q7" s="405">
        <f>'Normalized Import'!P6</f>
        <v>2</v>
      </c>
      <c r="R7" s="407"/>
      <c r="S7" s="372"/>
      <c r="T7" s="407"/>
      <c r="U7" s="407"/>
      <c r="V7" s="407"/>
      <c r="W7" s="407"/>
      <c r="X7" s="407"/>
      <c r="Y7" s="407"/>
    </row>
    <row r="8">
      <c r="A8" s="379" t="str">
        <f>'Normalized Import'!A7</f>
        <v>gitlab</v>
      </c>
      <c r="B8" s="402">
        <f>'Normalized Import'!B7</f>
        <v>45078</v>
      </c>
      <c r="C8" s="403">
        <f>'Normalized Import'!C7</f>
        <v>25000</v>
      </c>
      <c r="D8" s="404"/>
      <c r="E8" s="384">
        <f>'Studies (Cum) RAW'!E8/12</f>
        <v>3</v>
      </c>
      <c r="F8" s="405">
        <f>'Normalized Import'!E7</f>
        <v>0</v>
      </c>
      <c r="G8" s="405">
        <f>'Normalized Import'!F7</f>
        <v>0</v>
      </c>
      <c r="H8" s="405">
        <f>'Normalized Import'!G7</f>
        <v>0</v>
      </c>
      <c r="I8" s="405">
        <f>'Normalized Import'!H7</f>
        <v>0</v>
      </c>
      <c r="J8" s="405">
        <f>'Normalized Import'!I7</f>
        <v>5</v>
      </c>
      <c r="K8" s="405">
        <f>'Normalized Import'!J7</f>
        <v>4</v>
      </c>
      <c r="L8" s="405">
        <f>'Normalized Import'!K7</f>
        <v>3</v>
      </c>
      <c r="M8" s="405">
        <f>'Normalized Import'!L7</f>
        <v>2</v>
      </c>
      <c r="N8" s="405">
        <f>'Normalized Import'!M7</f>
        <v>3</v>
      </c>
      <c r="O8" s="405">
        <f>'Normalized Import'!N7</f>
        <v>9</v>
      </c>
      <c r="P8" s="405">
        <f>'Normalized Import'!O7</f>
        <v>8</v>
      </c>
      <c r="Q8" s="405">
        <f>'Normalized Import'!P7</f>
        <v>10</v>
      </c>
      <c r="R8" s="407"/>
      <c r="S8" s="372"/>
      <c r="T8" s="407"/>
      <c r="U8" s="407"/>
      <c r="V8" s="407"/>
      <c r="W8" s="407"/>
      <c r="X8" s="407"/>
      <c r="Y8" s="407"/>
    </row>
    <row r="9">
      <c r="A9" s="379" t="str">
        <f>'Normalized Import'!A8</f>
        <v>chegg</v>
      </c>
      <c r="B9" s="402">
        <f>'Normalized Import'!B8</f>
        <v>45139</v>
      </c>
      <c r="C9" s="403">
        <f>'Normalized Import'!C8</f>
        <v>25000</v>
      </c>
      <c r="D9" s="404"/>
      <c r="E9" s="384">
        <f>'Studies (Cum) RAW'!E9/12</f>
        <v>2</v>
      </c>
      <c r="F9" s="405">
        <f>'Normalized Import'!E8</f>
        <v>0</v>
      </c>
      <c r="G9" s="405">
        <f>'Normalized Import'!F8</f>
        <v>0</v>
      </c>
      <c r="H9" s="405">
        <f>'Normalized Import'!G8</f>
        <v>0</v>
      </c>
      <c r="I9" s="405">
        <f>'Normalized Import'!H8</f>
        <v>0</v>
      </c>
      <c r="J9" s="405">
        <f>'Normalized Import'!I8</f>
        <v>1</v>
      </c>
      <c r="K9" s="405">
        <f>'Normalized Import'!J8</f>
        <v>7</v>
      </c>
      <c r="L9" s="405">
        <f>'Normalized Import'!K8</f>
        <v>1</v>
      </c>
      <c r="M9" s="405">
        <f>'Normalized Import'!L8</f>
        <v>4</v>
      </c>
      <c r="N9" s="405">
        <f>'Normalized Import'!M8</f>
        <v>5</v>
      </c>
      <c r="O9" s="405">
        <f>'Normalized Import'!N8</f>
        <v>4</v>
      </c>
      <c r="P9" s="405">
        <f>'Normalized Import'!O8</f>
        <v>0</v>
      </c>
      <c r="Q9" s="405">
        <f>'Normalized Import'!P8</f>
        <v>3</v>
      </c>
      <c r="R9" s="407"/>
      <c r="S9" s="372"/>
      <c r="T9" s="407"/>
      <c r="U9" s="407"/>
      <c r="V9" s="407"/>
      <c r="W9" s="407"/>
      <c r="X9" s="407"/>
      <c r="Y9" s="407"/>
    </row>
    <row r="10">
      <c r="A10" s="379" t="str">
        <f>'Normalized Import'!A9</f>
        <v>ezcater</v>
      </c>
      <c r="B10" s="402">
        <f>'Normalized Import'!B9</f>
        <v>45139</v>
      </c>
      <c r="C10" s="403">
        <f>'Normalized Import'!C9</f>
        <v>20000</v>
      </c>
      <c r="D10" s="404"/>
      <c r="E10" s="384">
        <f>'Studies (Cum) RAW'!E10/12</f>
        <v>2</v>
      </c>
      <c r="F10" s="405">
        <f>'Normalized Import'!E9</f>
        <v>0</v>
      </c>
      <c r="G10" s="405">
        <f>'Normalized Import'!F9</f>
        <v>0</v>
      </c>
      <c r="H10" s="405">
        <f>'Normalized Import'!G9</f>
        <v>0</v>
      </c>
      <c r="I10" s="405">
        <f>'Normalized Import'!H9</f>
        <v>0</v>
      </c>
      <c r="J10" s="405">
        <f>'Normalized Import'!I9</f>
        <v>8</v>
      </c>
      <c r="K10" s="405">
        <f>'Normalized Import'!J9</f>
        <v>5</v>
      </c>
      <c r="L10" s="405">
        <f>'Normalized Import'!K9</f>
        <v>7</v>
      </c>
      <c r="M10" s="405">
        <f>'Normalized Import'!L9</f>
        <v>6</v>
      </c>
      <c r="N10" s="405">
        <f>'Normalized Import'!M9</f>
        <v>2</v>
      </c>
      <c r="O10" s="405">
        <f>'Normalized Import'!N9</f>
        <v>10</v>
      </c>
      <c r="P10" s="405">
        <f>'Normalized Import'!O9</f>
        <v>17</v>
      </c>
      <c r="Q10" s="405">
        <f>'Normalized Import'!P9</f>
        <v>15</v>
      </c>
      <c r="R10" s="407"/>
      <c r="S10" s="372"/>
      <c r="T10" s="407"/>
      <c r="U10" s="407"/>
      <c r="V10" s="407"/>
      <c r="W10" s="407"/>
      <c r="X10" s="407"/>
      <c r="Y10" s="407"/>
    </row>
    <row r="11">
      <c r="A11" s="379" t="str">
        <f>'Normalized Import'!A10</f>
        <v>impact</v>
      </c>
      <c r="B11" s="402">
        <f>'Normalized Import'!B10</f>
        <v>45139</v>
      </c>
      <c r="C11" s="403">
        <f>'Normalized Import'!C10</f>
        <v>5000</v>
      </c>
      <c r="D11" s="404"/>
      <c r="E11" s="384">
        <f>'Studies (Cum) RAW'!E11/12</f>
        <v>1</v>
      </c>
      <c r="F11" s="405">
        <f>'Normalized Import'!E10</f>
        <v>0</v>
      </c>
      <c r="G11" s="405">
        <f>'Normalized Import'!F10</f>
        <v>0</v>
      </c>
      <c r="H11" s="405">
        <f>'Normalized Import'!G10</f>
        <v>0</v>
      </c>
      <c r="I11" s="405">
        <f>'Normalized Import'!H10</f>
        <v>0</v>
      </c>
      <c r="J11" s="405">
        <f>'Normalized Import'!I10</f>
        <v>1</v>
      </c>
      <c r="K11" s="405">
        <f>'Normalized Import'!J10</f>
        <v>4</v>
      </c>
      <c r="L11" s="405">
        <f>'Normalized Import'!K10</f>
        <v>6</v>
      </c>
      <c r="M11" s="405">
        <f>'Normalized Import'!L10</f>
        <v>1</v>
      </c>
      <c r="N11" s="405">
        <f>'Normalized Import'!M10</f>
        <v>0</v>
      </c>
      <c r="O11" s="405">
        <f>'Normalized Import'!N10</f>
        <v>0</v>
      </c>
      <c r="P11" s="405">
        <f>'Normalized Import'!O10</f>
        <v>4</v>
      </c>
      <c r="Q11" s="405">
        <f>'Normalized Import'!P10</f>
        <v>0</v>
      </c>
      <c r="R11" s="407"/>
      <c r="S11" s="372"/>
      <c r="T11" s="407"/>
      <c r="U11" s="407"/>
      <c r="V11" s="407"/>
      <c r="W11" s="407"/>
      <c r="X11" s="407"/>
      <c r="Y11" s="407"/>
    </row>
    <row r="12">
      <c r="A12" s="379" t="str">
        <f>'Normalized Import'!A11</f>
        <v>usertesting</v>
      </c>
      <c r="B12" s="402">
        <f>'Normalized Import'!B11</f>
        <v>45139</v>
      </c>
      <c r="C12" s="403">
        <f>'Normalized Import'!C11</f>
        <v>15000</v>
      </c>
      <c r="D12" s="404"/>
      <c r="E12" s="384">
        <f>'Studies (Cum) RAW'!E12/12</f>
        <v>2</v>
      </c>
      <c r="F12" s="405">
        <f>'Normalized Import'!E11</f>
        <v>0</v>
      </c>
      <c r="G12" s="405">
        <f>'Normalized Import'!F11</f>
        <v>0</v>
      </c>
      <c r="H12" s="405">
        <f>'Normalized Import'!G11</f>
        <v>0</v>
      </c>
      <c r="I12" s="405">
        <f>'Normalized Import'!H11</f>
        <v>0</v>
      </c>
      <c r="J12" s="405">
        <f>'Normalized Import'!I11</f>
        <v>4</v>
      </c>
      <c r="K12" s="405">
        <f>'Normalized Import'!J11</f>
        <v>2</v>
      </c>
      <c r="L12" s="405">
        <f>'Normalized Import'!K11</f>
        <v>15</v>
      </c>
      <c r="M12" s="405">
        <f>'Normalized Import'!L11</f>
        <v>22</v>
      </c>
      <c r="N12" s="405">
        <f>'Normalized Import'!M11</f>
        <v>6</v>
      </c>
      <c r="O12" s="405">
        <f>'Normalized Import'!N11</f>
        <v>6</v>
      </c>
      <c r="P12" s="405">
        <f>'Normalized Import'!O11</f>
        <v>13</v>
      </c>
      <c r="Q12" s="405">
        <f>'Normalized Import'!P11</f>
        <v>17</v>
      </c>
      <c r="R12" s="407"/>
      <c r="S12" s="372"/>
      <c r="T12" s="407"/>
      <c r="U12" s="407"/>
      <c r="V12" s="407"/>
      <c r="W12" s="407"/>
      <c r="X12" s="407"/>
      <c r="Y12" s="407"/>
    </row>
    <row r="13">
      <c r="A13" s="379" t="str">
        <f>'Normalized Import'!A12</f>
        <v>xplor_technologies</v>
      </c>
      <c r="B13" s="402">
        <f>'Normalized Import'!B12</f>
        <v>45139</v>
      </c>
      <c r="C13" s="403">
        <f>'Normalized Import'!C12</f>
        <v>8000</v>
      </c>
      <c r="D13" s="404"/>
      <c r="E13" s="384">
        <f>'Studies (Cum) RAW'!E13/12</f>
        <v>2</v>
      </c>
      <c r="F13" s="405">
        <f>'Normalized Import'!E12</f>
        <v>5</v>
      </c>
      <c r="G13" s="405">
        <f>'Normalized Import'!F12</f>
        <v>5</v>
      </c>
      <c r="H13" s="405">
        <f>'Normalized Import'!G12</f>
        <v>3</v>
      </c>
      <c r="I13" s="405">
        <f>'Normalized Import'!H12</f>
        <v>3</v>
      </c>
      <c r="J13" s="405">
        <f>'Normalized Import'!I12</f>
        <v>2</v>
      </c>
      <c r="K13" s="405">
        <f>'Normalized Import'!J12</f>
        <v>4</v>
      </c>
      <c r="L13" s="405">
        <f>'Normalized Import'!K12</f>
        <v>1</v>
      </c>
      <c r="M13" s="405">
        <f>'Normalized Import'!L12</f>
        <v>2</v>
      </c>
      <c r="N13" s="405">
        <f>'Normalized Import'!M12</f>
        <v>3</v>
      </c>
      <c r="O13" s="405">
        <f>'Normalized Import'!N12</f>
        <v>1</v>
      </c>
      <c r="P13" s="405">
        <f>'Normalized Import'!O12</f>
        <v>3</v>
      </c>
      <c r="Q13" s="405">
        <f>'Normalized Import'!P12</f>
        <v>5</v>
      </c>
      <c r="R13" s="407"/>
      <c r="S13" s="372"/>
      <c r="T13" s="407"/>
      <c r="U13" s="407"/>
      <c r="V13" s="407"/>
      <c r="W13" s="407"/>
      <c r="X13" s="407"/>
      <c r="Y13" s="407"/>
    </row>
    <row r="14">
      <c r="A14" s="379" t="str">
        <f>'Normalized Import'!A13</f>
        <v>consensys</v>
      </c>
      <c r="B14" s="402">
        <f>'Normalized Import'!B13</f>
        <v>45139</v>
      </c>
      <c r="C14" s="403">
        <f>'Normalized Import'!C13</f>
        <v>3000</v>
      </c>
      <c r="D14" s="404"/>
      <c r="E14" s="384">
        <f>'Studies (Cum) RAW'!E14/12</f>
        <v>1</v>
      </c>
      <c r="F14" s="405">
        <f>'Normalized Import'!E13</f>
        <v>2</v>
      </c>
      <c r="G14" s="405">
        <f>'Normalized Import'!F13</f>
        <v>1</v>
      </c>
      <c r="H14" s="405">
        <f>'Normalized Import'!G13</f>
        <v>0</v>
      </c>
      <c r="I14" s="405">
        <f>'Normalized Import'!H13</f>
        <v>0</v>
      </c>
      <c r="J14" s="405">
        <f>'Normalized Import'!I13</f>
        <v>0</v>
      </c>
      <c r="K14" s="405">
        <f>'Normalized Import'!J13</f>
        <v>0</v>
      </c>
      <c r="L14" s="405">
        <f>'Normalized Import'!K13</f>
        <v>0</v>
      </c>
      <c r="M14" s="405">
        <f>'Normalized Import'!L13</f>
        <v>1</v>
      </c>
      <c r="N14" s="405">
        <f>'Normalized Import'!M13</f>
        <v>0</v>
      </c>
      <c r="O14" s="405">
        <f>'Normalized Import'!N13</f>
        <v>0</v>
      </c>
      <c r="P14" s="405">
        <f>'Normalized Import'!O13</f>
        <v>0</v>
      </c>
      <c r="Q14" s="405">
        <f>'Normalized Import'!P13</f>
        <v>0</v>
      </c>
      <c r="R14" s="407"/>
      <c r="S14" s="372"/>
      <c r="T14" s="407"/>
      <c r="U14" s="407"/>
      <c r="V14" s="407"/>
      <c r="W14" s="407"/>
      <c r="X14" s="407"/>
      <c r="Y14" s="407"/>
    </row>
    <row r="15">
      <c r="A15" s="379" t="str">
        <f>'Normalized Import'!A14</f>
        <v>faire</v>
      </c>
      <c r="B15" s="402">
        <f>'Normalized Import'!B14</f>
        <v>45170</v>
      </c>
      <c r="C15" s="403">
        <f>'Normalized Import'!C14</f>
        <v>40000</v>
      </c>
      <c r="D15" s="404"/>
      <c r="E15" s="384">
        <f>'Studies (Cum) RAW'!E15/12</f>
        <v>4</v>
      </c>
      <c r="F15" s="405">
        <f>'Normalized Import'!E14</f>
        <v>0</v>
      </c>
      <c r="G15" s="405">
        <f>'Normalized Import'!F14</f>
        <v>0</v>
      </c>
      <c r="H15" s="405">
        <f>'Normalized Import'!G14</f>
        <v>0</v>
      </c>
      <c r="I15" s="405">
        <f>'Normalized Import'!H14</f>
        <v>0</v>
      </c>
      <c r="J15" s="405">
        <f>'Normalized Import'!I14</f>
        <v>0</v>
      </c>
      <c r="K15" s="405">
        <f>'Normalized Import'!J14</f>
        <v>2</v>
      </c>
      <c r="L15" s="405">
        <f>'Normalized Import'!K14</f>
        <v>10</v>
      </c>
      <c r="M15" s="405">
        <f>'Normalized Import'!L14</f>
        <v>5</v>
      </c>
      <c r="N15" s="405">
        <f>'Normalized Import'!M14</f>
        <v>1</v>
      </c>
      <c r="O15" s="405">
        <f>'Normalized Import'!N14</f>
        <v>26</v>
      </c>
      <c r="P15" s="405">
        <f>'Normalized Import'!O14</f>
        <v>9</v>
      </c>
      <c r="Q15" s="405">
        <f>'Normalized Import'!P14</f>
        <v>14</v>
      </c>
      <c r="R15" s="407"/>
      <c r="S15" s="372"/>
      <c r="T15" s="407"/>
      <c r="U15" s="407"/>
      <c r="V15" s="407"/>
      <c r="W15" s="407"/>
      <c r="X15" s="407"/>
      <c r="Y15" s="407"/>
    </row>
    <row r="16">
      <c r="A16" s="379" t="str">
        <f>'Normalized Import'!A15</f>
        <v>opentable</v>
      </c>
      <c r="B16" s="402">
        <f>'Normalized Import'!B15</f>
        <v>45170</v>
      </c>
      <c r="C16" s="403">
        <f>'Normalized Import'!C15</f>
        <v>27000</v>
      </c>
      <c r="D16" s="404"/>
      <c r="E16" s="384">
        <f>'Studies (Cum) RAW'!E16/12</f>
        <v>3</v>
      </c>
      <c r="F16" s="405">
        <f>'Normalized Import'!E15</f>
        <v>0</v>
      </c>
      <c r="G16" s="405">
        <f>'Normalized Import'!F15</f>
        <v>0</v>
      </c>
      <c r="H16" s="405">
        <f>'Normalized Import'!G15</f>
        <v>0</v>
      </c>
      <c r="I16" s="405">
        <f>'Normalized Import'!H15</f>
        <v>0</v>
      </c>
      <c r="J16" s="405">
        <f>'Normalized Import'!I15</f>
        <v>0</v>
      </c>
      <c r="K16" s="405">
        <f>'Normalized Import'!J15</f>
        <v>0</v>
      </c>
      <c r="L16" s="405">
        <f>'Normalized Import'!K15</f>
        <v>31</v>
      </c>
      <c r="M16" s="405">
        <f>'Normalized Import'!L15</f>
        <v>5</v>
      </c>
      <c r="N16" s="405">
        <f>'Normalized Import'!M15</f>
        <v>0</v>
      </c>
      <c r="O16" s="405">
        <f>'Normalized Import'!N15</f>
        <v>4</v>
      </c>
      <c r="P16" s="405">
        <f>'Normalized Import'!O15</f>
        <v>7</v>
      </c>
      <c r="Q16" s="405">
        <f>'Normalized Import'!P15</f>
        <v>3</v>
      </c>
      <c r="R16" s="407"/>
      <c r="S16" s="372"/>
      <c r="T16" s="407"/>
      <c r="U16" s="407"/>
      <c r="V16" s="407"/>
      <c r="W16" s="407"/>
      <c r="X16" s="407"/>
      <c r="Y16" s="407"/>
    </row>
    <row r="17">
      <c r="A17" s="379" t="str">
        <f>'Normalized Import'!A16</f>
        <v>sonos</v>
      </c>
      <c r="B17" s="402">
        <f>'Normalized Import'!B16</f>
        <v>45170</v>
      </c>
      <c r="C17" s="403">
        <f>'Normalized Import'!C16</f>
        <v>23000</v>
      </c>
      <c r="D17" s="404"/>
      <c r="E17" s="384">
        <f>'Studies (Cum) RAW'!E17/12</f>
        <v>2</v>
      </c>
      <c r="F17" s="405">
        <f>'Normalized Import'!E16</f>
        <v>0</v>
      </c>
      <c r="G17" s="405">
        <f>'Normalized Import'!F16</f>
        <v>0</v>
      </c>
      <c r="H17" s="405">
        <f>'Normalized Import'!G16</f>
        <v>0</v>
      </c>
      <c r="I17" s="405">
        <f>'Normalized Import'!H16</f>
        <v>0</v>
      </c>
      <c r="J17" s="405">
        <f>'Normalized Import'!I16</f>
        <v>0</v>
      </c>
      <c r="K17" s="405">
        <f>'Normalized Import'!J16</f>
        <v>0</v>
      </c>
      <c r="L17" s="405">
        <f>'Normalized Import'!K16</f>
        <v>7</v>
      </c>
      <c r="M17" s="405">
        <f>'Normalized Import'!L16</f>
        <v>9</v>
      </c>
      <c r="N17" s="405">
        <f>'Normalized Import'!M16</f>
        <v>8</v>
      </c>
      <c r="O17" s="405">
        <f>'Normalized Import'!N16</f>
        <v>8</v>
      </c>
      <c r="P17" s="405">
        <f>'Normalized Import'!O16</f>
        <v>3</v>
      </c>
      <c r="Q17" s="405">
        <f>'Normalized Import'!P16</f>
        <v>11</v>
      </c>
      <c r="R17" s="407"/>
      <c r="S17" s="407"/>
      <c r="T17" s="407"/>
      <c r="U17" s="407"/>
      <c r="V17" s="407"/>
      <c r="W17" s="407"/>
      <c r="X17" s="407"/>
      <c r="Y17" s="407"/>
      <c r="Z17" s="340"/>
    </row>
    <row r="18">
      <c r="A18" s="379" t="str">
        <f>'Normalized Import'!A17</f>
        <v>soundtrap</v>
      </c>
      <c r="B18" s="402">
        <f>'Normalized Import'!B17</f>
        <v>45170</v>
      </c>
      <c r="C18" s="403">
        <f>'Normalized Import'!C17</f>
        <v>5000</v>
      </c>
      <c r="D18" s="404"/>
      <c r="E18" s="384">
        <f>'Studies (Cum) RAW'!E18/12</f>
        <v>1</v>
      </c>
      <c r="F18" s="405">
        <f>'Normalized Import'!E17</f>
        <v>0</v>
      </c>
      <c r="G18" s="405">
        <f>'Normalized Import'!F17</f>
        <v>0</v>
      </c>
      <c r="H18" s="405">
        <f>'Normalized Import'!G17</f>
        <v>0</v>
      </c>
      <c r="I18" s="405">
        <f>'Normalized Import'!H17</f>
        <v>0</v>
      </c>
      <c r="J18" s="405">
        <f>'Normalized Import'!I17</f>
        <v>0</v>
      </c>
      <c r="K18" s="405">
        <f>'Normalized Import'!J17</f>
        <v>0</v>
      </c>
      <c r="L18" s="405">
        <f>'Normalized Import'!K17</f>
        <v>1</v>
      </c>
      <c r="M18" s="405">
        <f>'Normalized Import'!L17</f>
        <v>1</v>
      </c>
      <c r="N18" s="405">
        <f>'Normalized Import'!M17</f>
        <v>0</v>
      </c>
      <c r="O18" s="405">
        <f>'Normalized Import'!N17</f>
        <v>2</v>
      </c>
      <c r="P18" s="405">
        <f>'Normalized Import'!O17</f>
        <v>1</v>
      </c>
      <c r="Q18" s="405">
        <f>'Normalized Import'!P17</f>
        <v>1</v>
      </c>
      <c r="R18" s="407"/>
      <c r="S18" s="407"/>
      <c r="T18" s="407" t="str">
        <f t="shared" ref="T18:Y18" si="1">'Studies Published Data Monthly - Cumulative'!AD18</f>
        <v>#REF!</v>
      </c>
      <c r="U18" s="407" t="str">
        <f t="shared" si="1"/>
        <v>#REF!</v>
      </c>
      <c r="V18" s="407" t="str">
        <f t="shared" si="1"/>
        <v>#REF!</v>
      </c>
      <c r="W18" s="407" t="str">
        <f t="shared" si="1"/>
        <v>#REF!</v>
      </c>
      <c r="X18" s="407" t="str">
        <f t="shared" si="1"/>
        <v>#REF!</v>
      </c>
      <c r="Y18" s="407" t="str">
        <f t="shared" si="1"/>
        <v>#REF!</v>
      </c>
      <c r="Z18" s="340"/>
    </row>
    <row r="19">
      <c r="A19" s="379" t="str">
        <f>'Normalized Import'!A18</f>
        <v>yahoo</v>
      </c>
      <c r="B19" s="402">
        <f>'Normalized Import'!B18</f>
        <v>45170</v>
      </c>
      <c r="C19" s="403">
        <f>'Normalized Import'!C18</f>
        <v>32000</v>
      </c>
      <c r="D19" s="404"/>
      <c r="E19" s="384">
        <f>'Studies (Cum) RAW'!E19/12</f>
        <v>2</v>
      </c>
      <c r="F19" s="405">
        <f>'Normalized Import'!E18</f>
        <v>0</v>
      </c>
      <c r="G19" s="405">
        <f>'Normalized Import'!F18</f>
        <v>0</v>
      </c>
      <c r="H19" s="405">
        <f>'Normalized Import'!G18</f>
        <v>0</v>
      </c>
      <c r="I19" s="405">
        <f>'Normalized Import'!H18</f>
        <v>0</v>
      </c>
      <c r="J19" s="405">
        <f>'Normalized Import'!I18</f>
        <v>0</v>
      </c>
      <c r="K19" s="405">
        <f>'Normalized Import'!J18</f>
        <v>1</v>
      </c>
      <c r="L19" s="405">
        <f>'Normalized Import'!K18</f>
        <v>2</v>
      </c>
      <c r="M19" s="405">
        <f>'Normalized Import'!L18</f>
        <v>2</v>
      </c>
      <c r="N19" s="405">
        <f>'Normalized Import'!M18</f>
        <v>2</v>
      </c>
      <c r="O19" s="405">
        <f>'Normalized Import'!N18</f>
        <v>2</v>
      </c>
      <c r="P19" s="405">
        <f>'Normalized Import'!O18</f>
        <v>3</v>
      </c>
      <c r="Q19" s="405">
        <f>'Normalized Import'!P18</f>
        <v>2</v>
      </c>
      <c r="R19" s="407"/>
      <c r="S19" s="407"/>
      <c r="T19" s="407" t="str">
        <f t="shared" ref="T19:Y19" si="2">'Studies Published Data Monthly - Cumulative'!AD19</f>
        <v>#REF!</v>
      </c>
      <c r="U19" s="407" t="str">
        <f t="shared" si="2"/>
        <v>#REF!</v>
      </c>
      <c r="V19" s="407" t="str">
        <f t="shared" si="2"/>
        <v>#REF!</v>
      </c>
      <c r="W19" s="407" t="str">
        <f t="shared" si="2"/>
        <v>#REF!</v>
      </c>
      <c r="X19" s="407" t="str">
        <f t="shared" si="2"/>
        <v>#REF!</v>
      </c>
      <c r="Y19" s="407" t="str">
        <f t="shared" si="2"/>
        <v>#REF!</v>
      </c>
      <c r="Z19" s="340"/>
    </row>
    <row r="20">
      <c r="A20" s="379" t="str">
        <f>'Normalized Import'!A19</f>
        <v>zwift</v>
      </c>
      <c r="B20" s="402">
        <f>'Normalized Import'!B19</f>
        <v>45170</v>
      </c>
      <c r="C20" s="403">
        <f>'Normalized Import'!C19</f>
        <v>15000</v>
      </c>
      <c r="D20" s="404"/>
      <c r="E20" s="384">
        <f>'Studies (Cum) RAW'!E20/12</f>
        <v>1</v>
      </c>
      <c r="F20" s="405">
        <f>'Normalized Import'!E19</f>
        <v>0</v>
      </c>
      <c r="G20" s="405">
        <f>'Normalized Import'!F19</f>
        <v>0</v>
      </c>
      <c r="H20" s="405">
        <f>'Normalized Import'!G19</f>
        <v>0</v>
      </c>
      <c r="I20" s="405">
        <f>'Normalized Import'!H19</f>
        <v>0</v>
      </c>
      <c r="J20" s="405">
        <f>'Normalized Import'!I19</f>
        <v>0</v>
      </c>
      <c r="K20" s="405">
        <f>'Normalized Import'!J19</f>
        <v>0</v>
      </c>
      <c r="L20" s="405">
        <f>'Normalized Import'!K19</f>
        <v>4</v>
      </c>
      <c r="M20" s="405">
        <f>'Normalized Import'!L19</f>
        <v>1</v>
      </c>
      <c r="N20" s="405">
        <f>'Normalized Import'!M19</f>
        <v>0</v>
      </c>
      <c r="O20" s="405">
        <f>'Normalized Import'!N19</f>
        <v>1</v>
      </c>
      <c r="P20" s="405">
        <f>'Normalized Import'!O19</f>
        <v>0</v>
      </c>
      <c r="Q20" s="405">
        <f>'Normalized Import'!P19</f>
        <v>0</v>
      </c>
      <c r="R20" s="407"/>
      <c r="S20" s="407"/>
      <c r="T20" s="407" t="str">
        <f t="shared" ref="T20:Y20" si="3">'Studies Published Data Monthly - Cumulative'!AD20</f>
        <v>#REF!</v>
      </c>
      <c r="U20" s="407" t="str">
        <f t="shared" si="3"/>
        <v>#REF!</v>
      </c>
      <c r="V20" s="407" t="str">
        <f t="shared" si="3"/>
        <v>#REF!</v>
      </c>
      <c r="W20" s="407" t="str">
        <f t="shared" si="3"/>
        <v>#REF!</v>
      </c>
      <c r="X20" s="407" t="str">
        <f t="shared" si="3"/>
        <v>#REF!</v>
      </c>
      <c r="Y20" s="407" t="str">
        <f t="shared" si="3"/>
        <v>#REF!</v>
      </c>
      <c r="Z20" s="340"/>
    </row>
    <row r="21">
      <c r="A21" s="379" t="str">
        <f>'Normalized Import'!A20</f>
        <v>angi</v>
      </c>
      <c r="B21" s="402">
        <f>'Normalized Import'!B20</f>
        <v>45200</v>
      </c>
      <c r="C21" s="403">
        <f>'Normalized Import'!C20</f>
        <v>10000</v>
      </c>
      <c r="D21" s="404"/>
      <c r="E21" s="384">
        <f>'Studies (Cum) RAW'!E21/12</f>
        <v>2</v>
      </c>
      <c r="F21" s="405">
        <f>'Normalized Import'!E20</f>
        <v>1</v>
      </c>
      <c r="G21" s="405">
        <f>'Normalized Import'!F20</f>
        <v>7</v>
      </c>
      <c r="H21" s="405">
        <f>'Normalized Import'!G20</f>
        <v>1</v>
      </c>
      <c r="I21" s="405">
        <f>'Normalized Import'!H20</f>
        <v>3</v>
      </c>
      <c r="J21" s="405">
        <f>'Normalized Import'!I20</f>
        <v>0</v>
      </c>
      <c r="K21" s="405">
        <f>'Normalized Import'!J20</f>
        <v>5</v>
      </c>
      <c r="L21" s="405">
        <f>'Normalized Import'!K20</f>
        <v>6</v>
      </c>
      <c r="M21" s="405">
        <f>'Normalized Import'!L20</f>
        <v>0</v>
      </c>
      <c r="N21" s="405">
        <f>'Normalized Import'!M20</f>
        <v>1</v>
      </c>
      <c r="O21" s="405">
        <f>'Normalized Import'!N20</f>
        <v>3</v>
      </c>
      <c r="P21" s="405">
        <f>'Normalized Import'!O20</f>
        <v>2</v>
      </c>
      <c r="Q21" s="405">
        <f>'Normalized Import'!P20</f>
        <v>6</v>
      </c>
      <c r="R21" s="407"/>
      <c r="S21" s="407"/>
      <c r="T21" s="407" t="str">
        <f t="shared" ref="T21:Y21" si="4">'Studies Published Data Monthly - Cumulative'!AD21</f>
        <v>#REF!</v>
      </c>
      <c r="U21" s="407" t="str">
        <f t="shared" si="4"/>
        <v>#REF!</v>
      </c>
      <c r="V21" s="407" t="str">
        <f t="shared" si="4"/>
        <v>#REF!</v>
      </c>
      <c r="W21" s="407" t="str">
        <f t="shared" si="4"/>
        <v>#REF!</v>
      </c>
      <c r="X21" s="407" t="str">
        <f t="shared" si="4"/>
        <v>#REF!</v>
      </c>
      <c r="Y21" s="407" t="str">
        <f t="shared" si="4"/>
        <v>#REF!</v>
      </c>
      <c r="Z21" s="340"/>
    </row>
    <row r="22">
      <c r="A22" s="379" t="str">
        <f>'Normalized Import'!A21</f>
        <v>rockwell</v>
      </c>
      <c r="B22" s="402">
        <f>'Normalized Import'!B21</f>
        <v>45200</v>
      </c>
      <c r="C22" s="403">
        <f>'Normalized Import'!C21</f>
        <v>20000</v>
      </c>
      <c r="D22" s="404"/>
      <c r="E22" s="384">
        <f>'Studies (Cum) RAW'!E22/12</f>
        <v>2</v>
      </c>
      <c r="F22" s="405">
        <f>'Normalized Import'!E21</f>
        <v>0</v>
      </c>
      <c r="G22" s="405">
        <f>'Normalized Import'!F21</f>
        <v>0</v>
      </c>
      <c r="H22" s="405">
        <f>'Normalized Import'!G21</f>
        <v>0</v>
      </c>
      <c r="I22" s="405">
        <f>'Normalized Import'!H21</f>
        <v>0</v>
      </c>
      <c r="J22" s="405">
        <f>'Normalized Import'!I21</f>
        <v>0</v>
      </c>
      <c r="K22" s="405">
        <f>'Normalized Import'!J21</f>
        <v>0</v>
      </c>
      <c r="L22" s="405">
        <f>'Normalized Import'!K21</f>
        <v>1</v>
      </c>
      <c r="M22" s="405">
        <f>'Normalized Import'!L21</f>
        <v>12</v>
      </c>
      <c r="N22" s="405">
        <f>'Normalized Import'!M21</f>
        <v>1</v>
      </c>
      <c r="O22" s="405">
        <f>'Normalized Import'!N21</f>
        <v>3</v>
      </c>
      <c r="P22" s="405">
        <f>'Normalized Import'!O21</f>
        <v>2</v>
      </c>
      <c r="Q22" s="405">
        <f>'Normalized Import'!P21</f>
        <v>5</v>
      </c>
      <c r="R22" s="407"/>
      <c r="S22" s="407"/>
      <c r="T22" s="407" t="str">
        <f t="shared" ref="T22:Y22" si="5">'Studies Published Data Monthly - Cumulative'!AD22</f>
        <v>#REF!</v>
      </c>
      <c r="U22" s="407" t="str">
        <f t="shared" si="5"/>
        <v>#REF!</v>
      </c>
      <c r="V22" s="407" t="str">
        <f t="shared" si="5"/>
        <v>#REF!</v>
      </c>
      <c r="W22" s="407" t="str">
        <f t="shared" si="5"/>
        <v>#REF!</v>
      </c>
      <c r="X22" s="407" t="str">
        <f t="shared" si="5"/>
        <v>#REF!</v>
      </c>
      <c r="Y22" s="407" t="str">
        <f t="shared" si="5"/>
        <v>#REF!</v>
      </c>
      <c r="Z22" s="340"/>
    </row>
    <row r="23">
      <c r="A23" s="379" t="str">
        <f>'Normalized Import'!A22</f>
        <v>snowplow</v>
      </c>
      <c r="B23" s="402">
        <f>'Normalized Import'!B22</f>
        <v>45200</v>
      </c>
      <c r="C23" s="403">
        <f>'Normalized Import'!C22</f>
        <v>2000</v>
      </c>
      <c r="D23" s="404"/>
      <c r="E23" s="384">
        <f>'Studies (Cum) RAW'!E23/12</f>
        <v>1</v>
      </c>
      <c r="F23" s="405">
        <f>'Normalized Import'!E22</f>
        <v>0</v>
      </c>
      <c r="G23" s="405">
        <f>'Normalized Import'!F22</f>
        <v>0</v>
      </c>
      <c r="H23" s="405">
        <f>'Normalized Import'!G22</f>
        <v>0</v>
      </c>
      <c r="I23" s="405">
        <f>'Normalized Import'!H22</f>
        <v>0</v>
      </c>
      <c r="J23" s="405">
        <f>'Normalized Import'!I22</f>
        <v>0</v>
      </c>
      <c r="K23" s="405">
        <f>'Normalized Import'!J22</f>
        <v>0</v>
      </c>
      <c r="L23" s="405">
        <f>'Normalized Import'!K22</f>
        <v>2</v>
      </c>
      <c r="M23" s="405">
        <f>'Normalized Import'!L22</f>
        <v>1</v>
      </c>
      <c r="N23" s="405">
        <f>'Normalized Import'!M22</f>
        <v>1</v>
      </c>
      <c r="O23" s="405">
        <f>'Normalized Import'!N22</f>
        <v>0</v>
      </c>
      <c r="P23" s="405">
        <f>'Normalized Import'!O22</f>
        <v>3</v>
      </c>
      <c r="Q23" s="405">
        <f>'Normalized Import'!P22</f>
        <v>0</v>
      </c>
      <c r="R23" s="407"/>
      <c r="S23" s="407"/>
      <c r="T23" s="407" t="str">
        <f t="shared" ref="T23:Y23" si="6">'Studies Published Data Monthly - Cumulative'!AE23</f>
        <v>#REF!</v>
      </c>
      <c r="U23" s="407" t="str">
        <f t="shared" si="6"/>
        <v>#REF!</v>
      </c>
      <c r="V23" s="407" t="str">
        <f t="shared" si="6"/>
        <v>#REF!</v>
      </c>
      <c r="W23" s="407" t="str">
        <f t="shared" si="6"/>
        <v>#REF!</v>
      </c>
      <c r="X23" s="407" t="str">
        <f t="shared" si="6"/>
        <v>#REF!</v>
      </c>
      <c r="Y23" s="407" t="str">
        <f t="shared" si="6"/>
        <v>#REF!</v>
      </c>
      <c r="Z23" s="340"/>
    </row>
    <row r="24">
      <c r="A24" s="379" t="str">
        <f>'Normalized Import'!A23</f>
        <v>predictive_index</v>
      </c>
      <c r="B24" s="402">
        <f>'Normalized Import'!B23</f>
        <v>45231</v>
      </c>
      <c r="C24" s="403">
        <f>'Normalized Import'!C23</f>
        <v>2000</v>
      </c>
      <c r="D24" s="404"/>
      <c r="E24" s="384">
        <f>'Studies (Cum) RAW'!E24/12</f>
        <v>1</v>
      </c>
      <c r="F24" s="405">
        <f>'Normalized Import'!E23</f>
        <v>1</v>
      </c>
      <c r="G24" s="405">
        <f>'Normalized Import'!F23</f>
        <v>4</v>
      </c>
      <c r="H24" s="405">
        <f>'Normalized Import'!G23</f>
        <v>0</v>
      </c>
      <c r="I24" s="405">
        <f>'Normalized Import'!H23</f>
        <v>1</v>
      </c>
      <c r="J24" s="405">
        <f>'Normalized Import'!I23</f>
        <v>3</v>
      </c>
      <c r="K24" s="405">
        <f>'Normalized Import'!J23</f>
        <v>3</v>
      </c>
      <c r="L24" s="405">
        <f>'Normalized Import'!K23</f>
        <v>1</v>
      </c>
      <c r="M24" s="405">
        <f>'Normalized Import'!L23</f>
        <v>2</v>
      </c>
      <c r="N24" s="405">
        <f>'Normalized Import'!M23</f>
        <v>1</v>
      </c>
      <c r="O24" s="405">
        <f>'Normalized Import'!N23</f>
        <v>3</v>
      </c>
      <c r="P24" s="405">
        <f>'Normalized Import'!O23</f>
        <v>1</v>
      </c>
      <c r="Q24" s="405">
        <f>'Normalized Import'!P23</f>
        <v>1</v>
      </c>
      <c r="R24" s="407"/>
      <c r="S24" s="407"/>
      <c r="T24" s="407" t="str">
        <f t="shared" ref="T24:Y24" si="7">'Studies Published Data Monthly - Cumulative'!AF24</f>
        <v>#REF!</v>
      </c>
      <c r="U24" s="407" t="str">
        <f t="shared" si="7"/>
        <v>#REF!</v>
      </c>
      <c r="V24" s="407" t="str">
        <f t="shared" si="7"/>
        <v>#REF!</v>
      </c>
      <c r="W24" s="407" t="str">
        <f t="shared" si="7"/>
        <v>#REF!</v>
      </c>
      <c r="X24" s="407" t="str">
        <f t="shared" si="7"/>
        <v>#REF!</v>
      </c>
      <c r="Y24" s="407" t="str">
        <f t="shared" si="7"/>
        <v>#REF!</v>
      </c>
      <c r="Z24" s="340"/>
    </row>
    <row r="25">
      <c r="A25" s="379" t="str">
        <f>'Normalized Import'!A24</f>
        <v>biorender</v>
      </c>
      <c r="B25" s="402">
        <f>'Normalized Import'!B24</f>
        <v>45261</v>
      </c>
      <c r="C25" s="403">
        <f>'Normalized Import'!C24</f>
        <v>2000</v>
      </c>
      <c r="D25" s="404"/>
      <c r="E25" s="384">
        <f>'Studies (Cum) RAW'!E25/12</f>
        <v>2</v>
      </c>
      <c r="F25" s="405">
        <f>'Normalized Import'!E24</f>
        <v>3</v>
      </c>
      <c r="G25" s="405">
        <f>'Normalized Import'!F24</f>
        <v>3</v>
      </c>
      <c r="H25" s="405">
        <f>'Normalized Import'!G24</f>
        <v>8</v>
      </c>
      <c r="I25" s="405">
        <f>'Normalized Import'!H24</f>
        <v>2</v>
      </c>
      <c r="J25" s="405">
        <f>'Normalized Import'!I24</f>
        <v>8</v>
      </c>
      <c r="K25" s="405">
        <f>'Normalized Import'!J24</f>
        <v>7</v>
      </c>
      <c r="L25" s="405">
        <f>'Normalized Import'!K24</f>
        <v>1</v>
      </c>
      <c r="M25" s="405">
        <f>'Normalized Import'!L24</f>
        <v>4</v>
      </c>
      <c r="N25" s="405">
        <f>'Normalized Import'!M24</f>
        <v>3</v>
      </c>
      <c r="O25" s="405">
        <f>'Normalized Import'!N24</f>
        <v>2</v>
      </c>
      <c r="P25" s="405">
        <f>'Normalized Import'!O24</f>
        <v>5</v>
      </c>
      <c r="Q25" s="405">
        <f>'Normalized Import'!P24</f>
        <v>9</v>
      </c>
      <c r="R25" s="407"/>
      <c r="S25" s="407"/>
      <c r="T25" s="407" t="str">
        <f t="shared" ref="T25:Y25" si="8">'Studies Published Data Monthly - Cumulative'!AF25</f>
        <v>#REF!</v>
      </c>
      <c r="U25" s="407" t="str">
        <f t="shared" si="8"/>
        <v>#REF!</v>
      </c>
      <c r="V25" s="407" t="str">
        <f t="shared" si="8"/>
        <v>#REF!</v>
      </c>
      <c r="W25" s="407" t="str">
        <f t="shared" si="8"/>
        <v>#REF!</v>
      </c>
      <c r="X25" s="407" t="str">
        <f t="shared" si="8"/>
        <v>#REF!</v>
      </c>
      <c r="Y25" s="407" t="str">
        <f t="shared" si="8"/>
        <v>#REF!</v>
      </c>
      <c r="Z25" s="340"/>
    </row>
    <row r="26">
      <c r="A26" s="379" t="str">
        <f>'Normalized Import'!A25</f>
        <v>checkr</v>
      </c>
      <c r="B26" s="402">
        <f>'Normalized Import'!B25</f>
        <v>45261</v>
      </c>
      <c r="C26" s="403">
        <f>'Normalized Import'!C25</f>
        <v>10000</v>
      </c>
      <c r="D26" s="404"/>
      <c r="E26" s="384">
        <f>'Studies (Cum) RAW'!E26/12</f>
        <v>2</v>
      </c>
      <c r="F26" s="405">
        <f>'Normalized Import'!E25</f>
        <v>0</v>
      </c>
      <c r="G26" s="405">
        <f>'Normalized Import'!F25</f>
        <v>1</v>
      </c>
      <c r="H26" s="405">
        <f>'Normalized Import'!G25</f>
        <v>2</v>
      </c>
      <c r="I26" s="405">
        <f>'Normalized Import'!H25</f>
        <v>0</v>
      </c>
      <c r="J26" s="405">
        <f>'Normalized Import'!I25</f>
        <v>5</v>
      </c>
      <c r="K26" s="405">
        <f>'Normalized Import'!J25</f>
        <v>1</v>
      </c>
      <c r="L26" s="405">
        <f>'Normalized Import'!K25</f>
        <v>4</v>
      </c>
      <c r="M26" s="405">
        <f>'Normalized Import'!L25</f>
        <v>4</v>
      </c>
      <c r="N26" s="405">
        <f>'Normalized Import'!M25</f>
        <v>1</v>
      </c>
      <c r="O26" s="405">
        <f>'Normalized Import'!N25</f>
        <v>2</v>
      </c>
      <c r="P26" s="405">
        <f>'Normalized Import'!O25</f>
        <v>3</v>
      </c>
      <c r="Q26" s="405">
        <f>'Normalized Import'!P25</f>
        <v>3</v>
      </c>
      <c r="R26" s="407"/>
      <c r="S26" s="407"/>
      <c r="T26" s="407" t="str">
        <f t="shared" ref="T26:Y26" si="9">'Studies Published Data Monthly - Cumulative'!AF26</f>
        <v>#REF!</v>
      </c>
      <c r="U26" s="407" t="str">
        <f t="shared" si="9"/>
        <v>#REF!</v>
      </c>
      <c r="V26" s="407" t="str">
        <f t="shared" si="9"/>
        <v>#REF!</v>
      </c>
      <c r="W26" s="407" t="str">
        <f t="shared" si="9"/>
        <v>#REF!</v>
      </c>
      <c r="X26" s="407" t="str">
        <f t="shared" si="9"/>
        <v>#REF!</v>
      </c>
      <c r="Y26" s="407" t="str">
        <f t="shared" si="9"/>
        <v>#REF!</v>
      </c>
      <c r="Z26" s="340"/>
    </row>
    <row r="27">
      <c r="A27" s="379" t="str">
        <f>'Normalized Import'!A26</f>
        <v>gp-research</v>
      </c>
      <c r="B27" s="402">
        <f>'Normalized Import'!B26</f>
        <v>45261</v>
      </c>
      <c r="C27" s="403">
        <f>'Normalized Import'!C26</f>
        <v>10000</v>
      </c>
      <c r="D27" s="404"/>
      <c r="E27" s="384">
        <f>'Studies (Cum) RAW'!E27/12</f>
        <v>2</v>
      </c>
      <c r="F27" s="405">
        <f>'Normalized Import'!E26</f>
        <v>0</v>
      </c>
      <c r="G27" s="405">
        <f>'Normalized Import'!F26</f>
        <v>0</v>
      </c>
      <c r="H27" s="405">
        <f>'Normalized Import'!G26</f>
        <v>0</v>
      </c>
      <c r="I27" s="405">
        <f>'Normalized Import'!H26</f>
        <v>2</v>
      </c>
      <c r="J27" s="405">
        <f>'Normalized Import'!I26</f>
        <v>6</v>
      </c>
      <c r="K27" s="405">
        <f>'Normalized Import'!J26</f>
        <v>3</v>
      </c>
      <c r="L27" s="405">
        <f>'Normalized Import'!K26</f>
        <v>2</v>
      </c>
      <c r="M27" s="405">
        <f>'Normalized Import'!L26</f>
        <v>7</v>
      </c>
      <c r="N27" s="405">
        <f>'Normalized Import'!M26</f>
        <v>1</v>
      </c>
      <c r="O27" s="405">
        <f>'Normalized Import'!N26</f>
        <v>1</v>
      </c>
      <c r="P27" s="405">
        <f>'Normalized Import'!O26</f>
        <v>4</v>
      </c>
      <c r="Q27" s="405">
        <f>'Normalized Import'!P26</f>
        <v>3</v>
      </c>
      <c r="R27" s="407"/>
      <c r="S27" s="407"/>
      <c r="T27" s="407" t="str">
        <f t="shared" ref="T27:Y27" si="10">'Studies Published Data Monthly - Cumulative'!AF27</f>
        <v>#REF!</v>
      </c>
      <c r="U27" s="407" t="str">
        <f t="shared" si="10"/>
        <v>#REF!</v>
      </c>
      <c r="V27" s="407" t="str">
        <f t="shared" si="10"/>
        <v>#REF!</v>
      </c>
      <c r="W27" s="407" t="str">
        <f t="shared" si="10"/>
        <v>#REF!</v>
      </c>
      <c r="X27" s="407" t="str">
        <f t="shared" si="10"/>
        <v>#REF!</v>
      </c>
      <c r="Y27" s="407" t="str">
        <f t="shared" si="10"/>
        <v>#REF!</v>
      </c>
      <c r="Z27" s="340"/>
    </row>
    <row r="28">
      <c r="A28" s="379" t="str">
        <f>'Normalized Import'!A27</f>
        <v>sailpoint</v>
      </c>
      <c r="B28" s="402">
        <f>'Normalized Import'!B27</f>
        <v>45261</v>
      </c>
      <c r="C28" s="403">
        <f>'Normalized Import'!C27</f>
        <v>12000</v>
      </c>
      <c r="D28" s="404"/>
      <c r="E28" s="384">
        <f>'Studies (Cum) RAW'!E28/12</f>
        <v>1</v>
      </c>
      <c r="F28" s="405">
        <f>'Normalized Import'!E27</f>
        <v>0</v>
      </c>
      <c r="G28" s="405">
        <f>'Normalized Import'!F27</f>
        <v>0</v>
      </c>
      <c r="H28" s="405">
        <f>'Normalized Import'!G27</f>
        <v>0</v>
      </c>
      <c r="I28" s="405">
        <f>'Normalized Import'!H27</f>
        <v>0</v>
      </c>
      <c r="J28" s="405">
        <f>'Normalized Import'!I27</f>
        <v>0</v>
      </c>
      <c r="K28" s="405">
        <f>'Normalized Import'!J27</f>
        <v>0</v>
      </c>
      <c r="L28" s="405">
        <f>'Normalized Import'!K27</f>
        <v>0</v>
      </c>
      <c r="M28" s="405">
        <f>'Normalized Import'!L27</f>
        <v>0</v>
      </c>
      <c r="N28" s="405">
        <f>'Normalized Import'!M27</f>
        <v>0</v>
      </c>
      <c r="O28" s="405">
        <f>'Normalized Import'!N27</f>
        <v>0</v>
      </c>
      <c r="P28" s="405">
        <f>'Normalized Import'!O27</f>
        <v>5</v>
      </c>
      <c r="Q28" s="405">
        <f>'Normalized Import'!P27</f>
        <v>2</v>
      </c>
      <c r="R28" s="407"/>
      <c r="S28" s="407"/>
      <c r="T28" s="407" t="str">
        <f t="shared" ref="T28:Y28" si="11">'Studies Published Data Monthly - Cumulative'!AG28</f>
        <v>#REF!</v>
      </c>
      <c r="U28" s="407" t="str">
        <f t="shared" si="11"/>
        <v>#REF!</v>
      </c>
      <c r="V28" s="407" t="str">
        <f t="shared" si="11"/>
        <v>#REF!</v>
      </c>
      <c r="W28" s="407" t="str">
        <f t="shared" si="11"/>
        <v>#REF!</v>
      </c>
      <c r="X28" s="407" t="str">
        <f t="shared" si="11"/>
        <v>#REF!</v>
      </c>
      <c r="Y28" s="407" t="str">
        <f t="shared" si="11"/>
        <v>#REF!</v>
      </c>
      <c r="Z28" s="340"/>
    </row>
    <row r="29">
      <c r="A29" s="379" t="str">
        <f>'Normalized Import'!A28</f>
        <v>stack_overflow</v>
      </c>
      <c r="B29" s="402">
        <f>'Normalized Import'!B28</f>
        <v>45261</v>
      </c>
      <c r="C29" s="403">
        <f>'Normalized Import'!C28</f>
        <v>22500</v>
      </c>
      <c r="D29" s="404"/>
      <c r="E29" s="384">
        <f>'Studies (Cum) RAW'!E29/12</f>
        <v>2</v>
      </c>
      <c r="F29" s="405">
        <f>'Normalized Import'!E28</f>
        <v>0</v>
      </c>
      <c r="G29" s="405">
        <f>'Normalized Import'!F28</f>
        <v>0</v>
      </c>
      <c r="H29" s="405">
        <f>'Normalized Import'!G28</f>
        <v>0</v>
      </c>
      <c r="I29" s="405">
        <f>'Normalized Import'!H28</f>
        <v>0</v>
      </c>
      <c r="J29" s="405">
        <f>'Normalized Import'!I28</f>
        <v>0</v>
      </c>
      <c r="K29" s="405">
        <f>'Normalized Import'!J28</f>
        <v>0</v>
      </c>
      <c r="L29" s="405">
        <f>'Normalized Import'!K28</f>
        <v>0</v>
      </c>
      <c r="M29" s="405">
        <f>'Normalized Import'!L28</f>
        <v>0</v>
      </c>
      <c r="N29" s="405">
        <f>'Normalized Import'!M28</f>
        <v>0</v>
      </c>
      <c r="O29" s="405">
        <f>'Normalized Import'!N28</f>
        <v>4</v>
      </c>
      <c r="P29" s="405">
        <f>'Normalized Import'!O28</f>
        <v>0</v>
      </c>
      <c r="Q29" s="405">
        <f>'Normalized Import'!P28</f>
        <v>5</v>
      </c>
      <c r="R29" s="407"/>
      <c r="S29" s="407"/>
      <c r="T29" s="407" t="str">
        <f t="shared" ref="T29:Y29" si="12">'Studies Published Data Monthly - Cumulative'!AI29</f>
        <v>#REF!</v>
      </c>
      <c r="U29" s="407" t="str">
        <f t="shared" si="12"/>
        <v>#REF!</v>
      </c>
      <c r="V29" s="407" t="str">
        <f t="shared" si="12"/>
        <v>#REF!</v>
      </c>
      <c r="W29" s="407" t="str">
        <f t="shared" si="12"/>
        <v>#REF!</v>
      </c>
      <c r="X29" s="407" t="str">
        <f t="shared" si="12"/>
        <v>#REF!</v>
      </c>
      <c r="Y29" s="407" t="str">
        <f t="shared" si="12"/>
        <v>#REF!</v>
      </c>
      <c r="Z29" s="340"/>
    </row>
    <row r="30">
      <c r="A30" s="379" t="str">
        <f>'Normalized Import'!A29</f>
        <v>teachable</v>
      </c>
      <c r="B30" s="402">
        <f>'Normalized Import'!B29</f>
        <v>45261</v>
      </c>
      <c r="C30" s="403">
        <f>'Normalized Import'!C29</f>
        <v>3000</v>
      </c>
      <c r="D30" s="404"/>
      <c r="E30" s="384">
        <f>'Studies (Cum) RAW'!E30/12</f>
        <v>2</v>
      </c>
      <c r="F30" s="405">
        <f>'Normalized Import'!E29</f>
        <v>3</v>
      </c>
      <c r="G30" s="405">
        <f>'Normalized Import'!F29</f>
        <v>8</v>
      </c>
      <c r="H30" s="405">
        <f>'Normalized Import'!G29</f>
        <v>2</v>
      </c>
      <c r="I30" s="405">
        <f>'Normalized Import'!H29</f>
        <v>5</v>
      </c>
      <c r="J30" s="405">
        <f>'Normalized Import'!I29</f>
        <v>5</v>
      </c>
      <c r="K30" s="405">
        <f>'Normalized Import'!J29</f>
        <v>4</v>
      </c>
      <c r="L30" s="405">
        <f>'Normalized Import'!K29</f>
        <v>1</v>
      </c>
      <c r="M30" s="405">
        <f>'Normalized Import'!L29</f>
        <v>7</v>
      </c>
      <c r="N30" s="405">
        <f>'Normalized Import'!M29</f>
        <v>3</v>
      </c>
      <c r="O30" s="405">
        <f>'Normalized Import'!N29</f>
        <v>4</v>
      </c>
      <c r="P30" s="405">
        <f>'Normalized Import'!O29</f>
        <v>5</v>
      </c>
      <c r="Q30" s="405">
        <f>'Normalized Import'!P29</f>
        <v>3</v>
      </c>
      <c r="R30" s="407"/>
      <c r="S30" s="407"/>
      <c r="T30" s="407" t="str">
        <f t="shared" ref="T30:Y30" si="13">'Studies Published Data Monthly - Cumulative'!AI30</f>
        <v>#REF!</v>
      </c>
      <c r="U30" s="407" t="str">
        <f t="shared" si="13"/>
        <v>#REF!</v>
      </c>
      <c r="V30" s="407" t="str">
        <f t="shared" si="13"/>
        <v>#REF!</v>
      </c>
      <c r="W30" s="407" t="str">
        <f t="shared" si="13"/>
        <v>#REF!</v>
      </c>
      <c r="X30" s="407" t="str">
        <f t="shared" si="13"/>
        <v>#REF!</v>
      </c>
      <c r="Y30" s="407" t="str">
        <f t="shared" si="13"/>
        <v>#REF!</v>
      </c>
      <c r="Z30" s="340"/>
    </row>
    <row r="31">
      <c r="A31" s="379" t="str">
        <f>'Normalized Import'!A30</f>
        <v>adobe</v>
      </c>
      <c r="B31" s="402">
        <f>'Normalized Import'!B30</f>
        <v>45292</v>
      </c>
      <c r="C31" s="403">
        <f>'Normalized Import'!C30</f>
        <v>35000</v>
      </c>
      <c r="D31" s="404"/>
      <c r="E31" s="384">
        <f>'Studies (Cum) RAW'!E31/12</f>
        <v>3</v>
      </c>
      <c r="F31" s="405">
        <f>'Normalized Import'!E30</f>
        <v>0</v>
      </c>
      <c r="G31" s="405">
        <f>'Normalized Import'!F30</f>
        <v>0</v>
      </c>
      <c r="H31" s="405">
        <f>'Normalized Import'!G30</f>
        <v>0</v>
      </c>
      <c r="I31" s="405">
        <f>'Normalized Import'!H30</f>
        <v>0</v>
      </c>
      <c r="J31" s="405">
        <f>'Normalized Import'!I30</f>
        <v>0</v>
      </c>
      <c r="K31" s="405">
        <f>'Normalized Import'!J30</f>
        <v>0</v>
      </c>
      <c r="L31" s="405">
        <f>'Normalized Import'!K30</f>
        <v>0</v>
      </c>
      <c r="M31" s="405">
        <f>'Normalized Import'!L30</f>
        <v>0</v>
      </c>
      <c r="N31" s="405">
        <f>'Normalized Import'!M30</f>
        <v>0</v>
      </c>
      <c r="O31" s="405">
        <f>'Normalized Import'!N30</f>
        <v>3</v>
      </c>
      <c r="P31" s="405">
        <f>'Normalized Import'!O30</f>
        <v>8</v>
      </c>
      <c r="Q31" s="405">
        <f>'Normalized Import'!P30</f>
        <v>33</v>
      </c>
      <c r="R31" s="407"/>
      <c r="S31" s="407"/>
      <c r="T31" s="407" t="str">
        <f t="shared" ref="T31:Y31" si="14">'Studies Published Data Monthly - Cumulative'!AI31</f>
        <v>#REF!</v>
      </c>
      <c r="U31" s="407" t="str">
        <f t="shared" si="14"/>
        <v>#REF!</v>
      </c>
      <c r="V31" s="407" t="str">
        <f t="shared" si="14"/>
        <v>#REF!</v>
      </c>
      <c r="W31" s="407" t="str">
        <f t="shared" si="14"/>
        <v>#REF!</v>
      </c>
      <c r="X31" s="407" t="str">
        <f t="shared" si="14"/>
        <v>#REF!</v>
      </c>
      <c r="Y31" s="407" t="str">
        <f t="shared" si="14"/>
        <v>#REF!</v>
      </c>
      <c r="Z31" s="340"/>
    </row>
    <row r="32">
      <c r="A32" s="379" t="str">
        <f>'Normalized Import'!A31</f>
        <v>adobe_community</v>
      </c>
      <c r="B32" s="402">
        <f>'Normalized Import'!B31</f>
        <v>45292</v>
      </c>
      <c r="C32" s="403">
        <f>'Normalized Import'!C31</f>
        <v>35000</v>
      </c>
      <c r="D32" s="404"/>
      <c r="E32" s="384">
        <f>'Studies (Cum) RAW'!E32/12</f>
        <v>3</v>
      </c>
      <c r="F32" s="405">
        <f>'Normalized Import'!E31</f>
        <v>0</v>
      </c>
      <c r="G32" s="405">
        <f>'Normalized Import'!F31</f>
        <v>0</v>
      </c>
      <c r="H32" s="405">
        <f>'Normalized Import'!G31</f>
        <v>0</v>
      </c>
      <c r="I32" s="405">
        <f>'Normalized Import'!H31</f>
        <v>0</v>
      </c>
      <c r="J32" s="405">
        <f>'Normalized Import'!I31</f>
        <v>0</v>
      </c>
      <c r="K32" s="405">
        <f>'Normalized Import'!J31</f>
        <v>0</v>
      </c>
      <c r="L32" s="405">
        <f>'Normalized Import'!K31</f>
        <v>0</v>
      </c>
      <c r="M32" s="405">
        <f>'Normalized Import'!L31</f>
        <v>0</v>
      </c>
      <c r="N32" s="405">
        <f>'Normalized Import'!M31</f>
        <v>0</v>
      </c>
      <c r="O32" s="405">
        <f>'Normalized Import'!N31</f>
        <v>0</v>
      </c>
      <c r="P32" s="405">
        <f>'Normalized Import'!O31</f>
        <v>0</v>
      </c>
      <c r="Q32" s="405">
        <f>'Normalized Import'!P31</f>
        <v>1</v>
      </c>
      <c r="R32" s="407"/>
      <c r="S32" s="407"/>
      <c r="T32" s="407" t="str">
        <f t="shared" ref="T32:Y32" si="15">'Studies Published Data Monthly - Cumulative'!AI32</f>
        <v>#REF!</v>
      </c>
      <c r="U32" s="407" t="str">
        <f t="shared" si="15"/>
        <v>#REF!</v>
      </c>
      <c r="V32" s="407" t="str">
        <f t="shared" si="15"/>
        <v>#REF!</v>
      </c>
      <c r="W32" s="407" t="str">
        <f t="shared" si="15"/>
        <v>#REF!</v>
      </c>
      <c r="X32" s="407" t="str">
        <f t="shared" si="15"/>
        <v>#REF!</v>
      </c>
      <c r="Y32" s="407" t="str">
        <f t="shared" si="15"/>
        <v>#REF!</v>
      </c>
      <c r="Z32" s="340"/>
    </row>
    <row r="33">
      <c r="A33" s="379" t="str">
        <f>'Normalized Import'!A32</f>
        <v>blackbaud</v>
      </c>
      <c r="B33" s="402">
        <f>'Normalized Import'!B32</f>
        <v>45292</v>
      </c>
      <c r="C33" s="403">
        <f>'Normalized Import'!C32</f>
        <v>50000</v>
      </c>
      <c r="D33" s="404"/>
      <c r="E33" s="384">
        <f>'Studies (Cum) RAW'!E33/12</f>
        <v>4</v>
      </c>
      <c r="F33" s="405">
        <f>'Normalized Import'!E32</f>
        <v>8</v>
      </c>
      <c r="G33" s="405">
        <f>'Normalized Import'!F32</f>
        <v>4</v>
      </c>
      <c r="H33" s="405">
        <f>'Normalized Import'!G32</f>
        <v>1</v>
      </c>
      <c r="I33" s="405">
        <f>'Normalized Import'!H32</f>
        <v>14</v>
      </c>
      <c r="J33" s="405">
        <f>'Normalized Import'!I32</f>
        <v>11</v>
      </c>
      <c r="K33" s="405">
        <f>'Normalized Import'!J32</f>
        <v>2</v>
      </c>
      <c r="L33" s="405">
        <f>'Normalized Import'!K32</f>
        <v>5</v>
      </c>
      <c r="M33" s="405">
        <f>'Normalized Import'!L32</f>
        <v>5</v>
      </c>
      <c r="N33" s="405">
        <f>'Normalized Import'!M32</f>
        <v>5</v>
      </c>
      <c r="O33" s="405">
        <f>'Normalized Import'!N32</f>
        <v>6</v>
      </c>
      <c r="P33" s="405">
        <f>'Normalized Import'!O32</f>
        <v>8</v>
      </c>
      <c r="Q33" s="405">
        <f>'Normalized Import'!P32</f>
        <v>12</v>
      </c>
      <c r="R33" s="407"/>
      <c r="S33" s="407"/>
      <c r="T33" s="407" t="str">
        <f t="shared" ref="T33:Y33" si="16">'Studies Published Data Monthly - Cumulative'!AJ33</f>
        <v>#REF!</v>
      </c>
      <c r="U33" s="407" t="str">
        <f t="shared" si="16"/>
        <v>#REF!</v>
      </c>
      <c r="V33" s="407" t="str">
        <f t="shared" si="16"/>
        <v>#REF!</v>
      </c>
      <c r="W33" s="407" t="str">
        <f t="shared" si="16"/>
        <v>#REF!</v>
      </c>
      <c r="X33" s="407" t="str">
        <f t="shared" si="16"/>
        <v>#REF!</v>
      </c>
      <c r="Y33" s="407" t="str">
        <f t="shared" si="16"/>
        <v>#REF!</v>
      </c>
      <c r="Z33" s="340"/>
    </row>
    <row r="34">
      <c r="A34" s="379" t="str">
        <f>'Normalized Import'!A33</f>
        <v>docuware</v>
      </c>
      <c r="B34" s="402">
        <f>'Normalized Import'!B33</f>
        <v>45292</v>
      </c>
      <c r="C34" s="403">
        <f>'Normalized Import'!C33</f>
        <v>5000</v>
      </c>
      <c r="D34" s="404"/>
      <c r="E34" s="384">
        <f>'Studies (Cum) RAW'!E34/12</f>
        <v>1</v>
      </c>
      <c r="F34" s="405">
        <f>'Normalized Import'!E33</f>
        <v>0</v>
      </c>
      <c r="G34" s="405">
        <f>'Normalized Import'!F33</f>
        <v>0</v>
      </c>
      <c r="H34" s="405">
        <f>'Normalized Import'!G33</f>
        <v>0</v>
      </c>
      <c r="I34" s="405">
        <f>'Normalized Import'!H33</f>
        <v>0</v>
      </c>
      <c r="J34" s="405">
        <f>'Normalized Import'!I33</f>
        <v>0</v>
      </c>
      <c r="K34" s="405">
        <f>'Normalized Import'!J33</f>
        <v>0</v>
      </c>
      <c r="L34" s="405">
        <f>'Normalized Import'!K33</f>
        <v>0</v>
      </c>
      <c r="M34" s="405">
        <f>'Normalized Import'!L33</f>
        <v>0</v>
      </c>
      <c r="N34" s="405">
        <f>'Normalized Import'!M33</f>
        <v>0</v>
      </c>
      <c r="O34" s="405">
        <f>'Normalized Import'!N33</f>
        <v>0</v>
      </c>
      <c r="P34" s="405">
        <f>'Normalized Import'!O33</f>
        <v>0</v>
      </c>
      <c r="Q34" s="405">
        <f>'Normalized Import'!P33</f>
        <v>1</v>
      </c>
      <c r="R34" s="407"/>
      <c r="S34" s="407"/>
      <c r="T34" s="407" t="str">
        <f t="shared" ref="T34:Y34" si="17">'Studies Published Data Monthly - Cumulative'!AJ34</f>
        <v>#REF!</v>
      </c>
      <c r="U34" s="407" t="str">
        <f t="shared" si="17"/>
        <v>#REF!</v>
      </c>
      <c r="V34" s="407" t="str">
        <f t="shared" si="17"/>
        <v>#REF!</v>
      </c>
      <c r="W34" s="407" t="str">
        <f t="shared" si="17"/>
        <v>#REF!</v>
      </c>
      <c r="X34" s="407" t="str">
        <f t="shared" si="17"/>
        <v>#REF!</v>
      </c>
      <c r="Y34" s="407" t="str">
        <f t="shared" si="17"/>
        <v>#REF!</v>
      </c>
      <c r="Z34" s="340"/>
    </row>
    <row r="35">
      <c r="A35" s="379" t="str">
        <f>'Normalized Import'!A34</f>
        <v>domo</v>
      </c>
      <c r="B35" s="402">
        <f>'Normalized Import'!B34</f>
        <v>45292</v>
      </c>
      <c r="C35" s="403">
        <f>'Normalized Import'!C34</f>
        <v>12000</v>
      </c>
      <c r="D35" s="404"/>
      <c r="E35" s="384">
        <f>'Studies (Cum) RAW'!E35/12</f>
        <v>1</v>
      </c>
      <c r="F35" s="405">
        <f>'Normalized Import'!E34</f>
        <v>0</v>
      </c>
      <c r="G35" s="405">
        <f>'Normalized Import'!F34</f>
        <v>0</v>
      </c>
      <c r="H35" s="405">
        <f>'Normalized Import'!G34</f>
        <v>0</v>
      </c>
      <c r="I35" s="405">
        <f>'Normalized Import'!H34</f>
        <v>0</v>
      </c>
      <c r="J35" s="405">
        <f>'Normalized Import'!I34</f>
        <v>0</v>
      </c>
      <c r="K35" s="405">
        <f>'Normalized Import'!J34</f>
        <v>0</v>
      </c>
      <c r="L35" s="405">
        <f>'Normalized Import'!K34</f>
        <v>0</v>
      </c>
      <c r="M35" s="405">
        <f>'Normalized Import'!L34</f>
        <v>0</v>
      </c>
      <c r="N35" s="405">
        <f>'Normalized Import'!M34</f>
        <v>0</v>
      </c>
      <c r="O35" s="405">
        <f>'Normalized Import'!N34</f>
        <v>0</v>
      </c>
      <c r="P35" s="405">
        <f>'Normalized Import'!O34</f>
        <v>1</v>
      </c>
      <c r="Q35" s="405">
        <f>'Normalized Import'!P34</f>
        <v>6</v>
      </c>
      <c r="R35" s="407"/>
      <c r="S35" s="407"/>
      <c r="T35" s="407" t="str">
        <f t="shared" ref="T35:Y35" si="18">'Studies Published Data Monthly - Cumulative'!AJ35</f>
        <v>#REF!</v>
      </c>
      <c r="U35" s="407" t="str">
        <f t="shared" si="18"/>
        <v>#REF!</v>
      </c>
      <c r="V35" s="407" t="str">
        <f t="shared" si="18"/>
        <v>#REF!</v>
      </c>
      <c r="W35" s="407" t="str">
        <f t="shared" si="18"/>
        <v>#REF!</v>
      </c>
      <c r="X35" s="407" t="str">
        <f t="shared" si="18"/>
        <v>#REF!</v>
      </c>
      <c r="Y35" s="407" t="str">
        <f t="shared" si="18"/>
        <v>#REF!</v>
      </c>
      <c r="Z35" s="340"/>
    </row>
    <row r="36">
      <c r="A36" s="379" t="str">
        <f>'Normalized Import'!A35</f>
        <v>pandadoc</v>
      </c>
      <c r="B36" s="402">
        <f>'Normalized Import'!B35</f>
        <v>45292</v>
      </c>
      <c r="C36" s="403">
        <f>'Normalized Import'!C35</f>
        <v>7500</v>
      </c>
      <c r="D36" s="404"/>
      <c r="E36" s="384">
        <f>'Studies (Cum) RAW'!E36/12</f>
        <v>3</v>
      </c>
      <c r="F36" s="405">
        <f>'Normalized Import'!E35</f>
        <v>22</v>
      </c>
      <c r="G36" s="405">
        <f>'Normalized Import'!F35</f>
        <v>11</v>
      </c>
      <c r="H36" s="405">
        <f>'Normalized Import'!G35</f>
        <v>12</v>
      </c>
      <c r="I36" s="405">
        <f>'Normalized Import'!H35</f>
        <v>10</v>
      </c>
      <c r="J36" s="405">
        <f>'Normalized Import'!I35</f>
        <v>4</v>
      </c>
      <c r="K36" s="405">
        <f>'Normalized Import'!J35</f>
        <v>5</v>
      </c>
      <c r="L36" s="405">
        <f>'Normalized Import'!K35</f>
        <v>15</v>
      </c>
      <c r="M36" s="405">
        <f>'Normalized Import'!L35</f>
        <v>7</v>
      </c>
      <c r="N36" s="405">
        <f>'Normalized Import'!M35</f>
        <v>7</v>
      </c>
      <c r="O36" s="405">
        <f>'Normalized Import'!N35</f>
        <v>7</v>
      </c>
      <c r="P36" s="405">
        <f>'Normalized Import'!O35</f>
        <v>8</v>
      </c>
      <c r="Q36" s="405">
        <f>'Normalized Import'!P35</f>
        <v>6</v>
      </c>
      <c r="R36" s="407"/>
      <c r="S36" s="407"/>
      <c r="T36" s="407" t="str">
        <f t="shared" ref="T36:Y36" si="19">'Studies Published Data Monthly - Cumulative'!AJ36</f>
        <v>#REF!</v>
      </c>
      <c r="U36" s="407" t="str">
        <f t="shared" si="19"/>
        <v>#REF!</v>
      </c>
      <c r="V36" s="407" t="str">
        <f t="shared" si="19"/>
        <v>#REF!</v>
      </c>
      <c r="W36" s="407" t="str">
        <f t="shared" si="19"/>
        <v>#REF!</v>
      </c>
      <c r="X36" s="407" t="str">
        <f t="shared" si="19"/>
        <v>#REF!</v>
      </c>
      <c r="Y36" s="407" t="str">
        <f t="shared" si="19"/>
        <v>#REF!</v>
      </c>
      <c r="Z36" s="340"/>
    </row>
    <row r="37">
      <c r="A37" s="379" t="str">
        <f>'Normalized Import'!A36</f>
        <v>discord</v>
      </c>
      <c r="B37" s="402">
        <f>'Normalized Import'!B36</f>
        <v>45323</v>
      </c>
      <c r="C37" s="403">
        <f>'Normalized Import'!C36</f>
        <v>15000</v>
      </c>
      <c r="D37" s="404"/>
      <c r="E37" s="384">
        <f>'Studies (Cum) RAW'!E37/12</f>
        <v>2</v>
      </c>
      <c r="F37" s="405">
        <f>'Normalized Import'!E36</f>
        <v>3</v>
      </c>
      <c r="G37" s="405">
        <f>'Normalized Import'!F36</f>
        <v>0</v>
      </c>
      <c r="H37" s="405">
        <f>'Normalized Import'!G36</f>
        <v>0</v>
      </c>
      <c r="I37" s="405">
        <f>'Normalized Import'!H36</f>
        <v>0</v>
      </c>
      <c r="J37" s="405">
        <f>'Normalized Import'!I36</f>
        <v>2</v>
      </c>
      <c r="K37" s="405">
        <f>'Normalized Import'!J36</f>
        <v>1</v>
      </c>
      <c r="L37" s="405">
        <f>'Normalized Import'!K36</f>
        <v>13</v>
      </c>
      <c r="M37" s="405">
        <f>'Normalized Import'!L36</f>
        <v>5</v>
      </c>
      <c r="N37" s="405">
        <f>'Normalized Import'!M36</f>
        <v>8</v>
      </c>
      <c r="O37" s="405">
        <f>'Normalized Import'!N36</f>
        <v>0</v>
      </c>
      <c r="P37" s="405">
        <f>'Normalized Import'!O36</f>
        <v>0</v>
      </c>
      <c r="Q37" s="405">
        <f>'Normalized Import'!P36</f>
        <v>3</v>
      </c>
      <c r="R37" s="407"/>
      <c r="S37" s="407"/>
      <c r="T37" s="407" t="str">
        <f t="shared" ref="T37:Y37" si="20">'Studies Published Data Monthly - Cumulative'!AJ37</f>
        <v>#REF!</v>
      </c>
      <c r="U37" s="407" t="str">
        <f t="shared" si="20"/>
        <v>#REF!</v>
      </c>
      <c r="V37" s="407" t="str">
        <f t="shared" si="20"/>
        <v>#REF!</v>
      </c>
      <c r="W37" s="407" t="str">
        <f t="shared" si="20"/>
        <v>#REF!</v>
      </c>
      <c r="X37" s="407" t="str">
        <f t="shared" si="20"/>
        <v>#REF!</v>
      </c>
      <c r="Y37" s="407" t="str">
        <f t="shared" si="20"/>
        <v>#REF!</v>
      </c>
      <c r="Z37" s="340"/>
    </row>
    <row r="38">
      <c r="A38" s="379" t="str">
        <f>'Normalized Import'!A37</f>
        <v>gong</v>
      </c>
      <c r="B38" s="402">
        <f>'Normalized Import'!B37</f>
        <v>45323</v>
      </c>
      <c r="C38" s="403">
        <f>'Normalized Import'!C37</f>
        <v>13000</v>
      </c>
      <c r="D38" s="404"/>
      <c r="E38" s="384">
        <f>'Studies (Cum) RAW'!E38/12</f>
        <v>2</v>
      </c>
      <c r="F38" s="405">
        <f>'Normalized Import'!E37</f>
        <v>5</v>
      </c>
      <c r="G38" s="405">
        <f>'Normalized Import'!F37</f>
        <v>6</v>
      </c>
      <c r="H38" s="405">
        <f>'Normalized Import'!G37</f>
        <v>13</v>
      </c>
      <c r="I38" s="405">
        <f>'Normalized Import'!H37</f>
        <v>8</v>
      </c>
      <c r="J38" s="405">
        <f>'Normalized Import'!I37</f>
        <v>7</v>
      </c>
      <c r="K38" s="405">
        <f>'Normalized Import'!J37</f>
        <v>2</v>
      </c>
      <c r="L38" s="405">
        <f>'Normalized Import'!K37</f>
        <v>0</v>
      </c>
      <c r="M38" s="405">
        <f>'Normalized Import'!L37</f>
        <v>2</v>
      </c>
      <c r="N38" s="405">
        <f>'Normalized Import'!M37</f>
        <v>7</v>
      </c>
      <c r="O38" s="405">
        <f>'Normalized Import'!N37</f>
        <v>4</v>
      </c>
      <c r="P38" s="405">
        <f>'Normalized Import'!O37</f>
        <v>4</v>
      </c>
      <c r="Q38" s="405">
        <f>'Normalized Import'!P37</f>
        <v>4</v>
      </c>
      <c r="R38" s="407"/>
      <c r="S38" s="407"/>
      <c r="T38" s="407" t="str">
        <f t="shared" ref="T38:Y38" si="21">'Studies Published Data Monthly - Cumulative'!AJ38</f>
        <v>#REF!</v>
      </c>
      <c r="U38" s="407" t="str">
        <f t="shared" si="21"/>
        <v>#REF!</v>
      </c>
      <c r="V38" s="407" t="str">
        <f t="shared" si="21"/>
        <v>#REF!</v>
      </c>
      <c r="W38" s="407" t="str">
        <f t="shared" si="21"/>
        <v>#REF!</v>
      </c>
      <c r="X38" s="407" t="str">
        <f t="shared" si="21"/>
        <v>#REF!</v>
      </c>
      <c r="Y38" s="407" t="str">
        <f t="shared" si="21"/>
        <v>#REF!</v>
      </c>
      <c r="Z38" s="340"/>
    </row>
    <row r="39">
      <c r="A39" s="379" t="str">
        <f>'Normalized Import'!A38</f>
        <v>mistplay</v>
      </c>
      <c r="B39" s="402">
        <f>'Normalized Import'!B38</f>
        <v>45323</v>
      </c>
      <c r="C39" s="403">
        <f>'Normalized Import'!C38</f>
        <v>15000</v>
      </c>
      <c r="D39" s="404"/>
      <c r="E39" s="384">
        <f>'Studies (Cum) RAW'!E39/12</f>
        <v>2</v>
      </c>
      <c r="F39" s="405">
        <f>'Normalized Import'!E38</f>
        <v>0</v>
      </c>
      <c r="G39" s="405">
        <f>'Normalized Import'!F38</f>
        <v>0</v>
      </c>
      <c r="H39" s="405">
        <f>'Normalized Import'!G38</f>
        <v>0</v>
      </c>
      <c r="I39" s="405">
        <f>'Normalized Import'!H38</f>
        <v>0</v>
      </c>
      <c r="J39" s="405">
        <f>'Normalized Import'!I38</f>
        <v>0</v>
      </c>
      <c r="K39" s="405">
        <f>'Normalized Import'!J38</f>
        <v>0</v>
      </c>
      <c r="L39" s="405">
        <f>'Normalized Import'!K38</f>
        <v>0</v>
      </c>
      <c r="M39" s="405">
        <f>'Normalized Import'!L38</f>
        <v>0</v>
      </c>
      <c r="N39" s="405">
        <f>'Normalized Import'!M38</f>
        <v>0</v>
      </c>
      <c r="O39" s="405">
        <f>'Normalized Import'!N38</f>
        <v>0</v>
      </c>
      <c r="P39" s="405">
        <f>'Normalized Import'!O38</f>
        <v>0</v>
      </c>
      <c r="Q39" s="405">
        <f>'Normalized Import'!P38</f>
        <v>5</v>
      </c>
      <c r="R39" s="407"/>
      <c r="S39" s="407"/>
      <c r="T39" s="407" t="str">
        <f t="shared" ref="T39:Y39" si="22">'Studies Published Data Monthly - Cumulative'!AJ39</f>
        <v>#REF!</v>
      </c>
      <c r="U39" s="407" t="str">
        <f t="shared" si="22"/>
        <v>#REF!</v>
      </c>
      <c r="V39" s="407" t="str">
        <f t="shared" si="22"/>
        <v>#REF!</v>
      </c>
      <c r="W39" s="407" t="str">
        <f t="shared" si="22"/>
        <v>#REF!</v>
      </c>
      <c r="X39" s="407" t="str">
        <f t="shared" si="22"/>
        <v>#REF!</v>
      </c>
      <c r="Y39" s="407" t="str">
        <f t="shared" si="22"/>
        <v>#REF!</v>
      </c>
      <c r="Z39" s="340"/>
    </row>
    <row r="40">
      <c r="A40" s="379" t="str">
        <f>'Normalized Import'!A39</f>
        <v>braze</v>
      </c>
      <c r="B40" s="402">
        <f>'Normalized Import'!B39</f>
        <v>45352</v>
      </c>
      <c r="C40" s="403">
        <f>'Normalized Import'!C39</f>
        <v>25000</v>
      </c>
      <c r="D40" s="404"/>
      <c r="E40" s="384">
        <f>'Studies (Cum) RAW'!E40/12</f>
        <v>2</v>
      </c>
      <c r="F40" s="405">
        <f>'Normalized Import'!E39</f>
        <v>3</v>
      </c>
      <c r="G40" s="405">
        <f>'Normalized Import'!F39</f>
        <v>1</v>
      </c>
      <c r="H40" s="405">
        <f>'Normalized Import'!G39</f>
        <v>1</v>
      </c>
      <c r="I40" s="405">
        <f>'Normalized Import'!H39</f>
        <v>12</v>
      </c>
      <c r="J40" s="405">
        <f>'Normalized Import'!I39</f>
        <v>4</v>
      </c>
      <c r="K40" s="405">
        <f>'Normalized Import'!J39</f>
        <v>5</v>
      </c>
      <c r="L40" s="405">
        <f>'Normalized Import'!K39</f>
        <v>8</v>
      </c>
      <c r="M40" s="405">
        <f>'Normalized Import'!L39</f>
        <v>8</v>
      </c>
      <c r="N40" s="405">
        <f>'Normalized Import'!M39</f>
        <v>4</v>
      </c>
      <c r="O40" s="405">
        <f>'Normalized Import'!N39</f>
        <v>10</v>
      </c>
      <c r="P40" s="405">
        <f>'Normalized Import'!O39</f>
        <v>11</v>
      </c>
      <c r="Q40" s="405">
        <f>'Normalized Import'!P39</f>
        <v>16</v>
      </c>
      <c r="R40" s="407"/>
      <c r="S40" s="407"/>
      <c r="T40" s="407" t="str">
        <f t="shared" ref="T40:Y40" si="23">'Studies Published Data Monthly - Cumulative'!AK40</f>
        <v>#REF!</v>
      </c>
      <c r="U40" s="407" t="str">
        <f t="shared" si="23"/>
        <v>#REF!</v>
      </c>
      <c r="V40" s="407" t="str">
        <f t="shared" si="23"/>
        <v>#REF!</v>
      </c>
      <c r="W40" s="407" t="str">
        <f t="shared" si="23"/>
        <v>#REF!</v>
      </c>
      <c r="X40" s="407" t="str">
        <f t="shared" si="23"/>
        <v>#REF!</v>
      </c>
      <c r="Y40" s="407" t="str">
        <f t="shared" si="23"/>
        <v>#REF!</v>
      </c>
      <c r="Z40" s="340"/>
    </row>
    <row r="41">
      <c r="A41" s="379" t="str">
        <f>'Normalized Import'!A40</f>
        <v>cloudflare</v>
      </c>
      <c r="B41" s="402">
        <f>'Normalized Import'!B40</f>
        <v>45352</v>
      </c>
      <c r="C41" s="403">
        <f>'Normalized Import'!C40</f>
        <v>20000</v>
      </c>
      <c r="D41" s="404"/>
      <c r="E41" s="384">
        <f>'Studies (Cum) RAW'!E41/12</f>
        <v>2</v>
      </c>
      <c r="F41" s="405">
        <f>'Normalized Import'!E40</f>
        <v>0</v>
      </c>
      <c r="G41" s="405">
        <f>'Normalized Import'!F40</f>
        <v>0</v>
      </c>
      <c r="H41" s="405">
        <f>'Normalized Import'!G40</f>
        <v>0</v>
      </c>
      <c r="I41" s="405">
        <f>'Normalized Import'!H40</f>
        <v>0</v>
      </c>
      <c r="J41" s="405">
        <f>'Normalized Import'!I40</f>
        <v>0</v>
      </c>
      <c r="K41" s="405">
        <f>'Normalized Import'!J40</f>
        <v>0</v>
      </c>
      <c r="L41" s="405">
        <f>'Normalized Import'!K40</f>
        <v>0</v>
      </c>
      <c r="M41" s="405">
        <f>'Normalized Import'!L40</f>
        <v>0</v>
      </c>
      <c r="N41" s="405">
        <f>'Normalized Import'!M40</f>
        <v>0</v>
      </c>
      <c r="O41" s="405">
        <f>'Normalized Import'!N40</f>
        <v>0</v>
      </c>
      <c r="P41" s="405">
        <f>'Normalized Import'!O40</f>
        <v>0</v>
      </c>
      <c r="Q41" s="405">
        <f>'Normalized Import'!P40</f>
        <v>2</v>
      </c>
      <c r="R41" s="407"/>
      <c r="S41" s="407"/>
      <c r="T41" s="407"/>
      <c r="U41" s="407"/>
      <c r="V41" s="407"/>
      <c r="W41" s="340"/>
      <c r="X41" s="340"/>
      <c r="Y41" s="340"/>
      <c r="Z41" s="340"/>
    </row>
    <row r="42">
      <c r="A42" s="379" t="str">
        <f>'Normalized Import'!A41</f>
        <v>hellofresh</v>
      </c>
      <c r="B42" s="402">
        <f>'Normalized Import'!B41</f>
        <v>45352</v>
      </c>
      <c r="C42" s="403">
        <f>'Normalized Import'!C41</f>
        <v>10000</v>
      </c>
      <c r="D42" s="404"/>
      <c r="E42" s="384">
        <f>'Studies (Cum) RAW'!E42/12</f>
        <v>1</v>
      </c>
      <c r="F42" s="405">
        <f>'Normalized Import'!E41</f>
        <v>0</v>
      </c>
      <c r="G42" s="405">
        <f>'Normalized Import'!F41</f>
        <v>0</v>
      </c>
      <c r="H42" s="405">
        <f>'Normalized Import'!G41</f>
        <v>0</v>
      </c>
      <c r="I42" s="405">
        <f>'Normalized Import'!H41</f>
        <v>3</v>
      </c>
      <c r="J42" s="405">
        <f>'Normalized Import'!I41</f>
        <v>5</v>
      </c>
      <c r="K42" s="405">
        <f>'Normalized Import'!J41</f>
        <v>0</v>
      </c>
      <c r="L42" s="405">
        <f>'Normalized Import'!K41</f>
        <v>4</v>
      </c>
      <c r="M42" s="405">
        <f>'Normalized Import'!L41</f>
        <v>0</v>
      </c>
      <c r="N42" s="405">
        <f>'Normalized Import'!M41</f>
        <v>1</v>
      </c>
      <c r="O42" s="405">
        <f>'Normalized Import'!N41</f>
        <v>1</v>
      </c>
      <c r="P42" s="405">
        <f>'Normalized Import'!O41</f>
        <v>0</v>
      </c>
      <c r="Q42" s="405">
        <f>'Normalized Import'!P41</f>
        <v>5</v>
      </c>
      <c r="R42" s="408"/>
      <c r="S42" s="408"/>
      <c r="T42" s="408"/>
      <c r="U42" s="408"/>
      <c r="V42" s="408"/>
      <c r="W42" s="340"/>
      <c r="X42" s="340"/>
      <c r="Y42" s="340"/>
      <c r="Z42" s="340"/>
    </row>
    <row r="43">
      <c r="A43" s="379" t="str">
        <f>'Normalized Import'!A42</f>
        <v>mongodb</v>
      </c>
      <c r="B43" s="402">
        <f>'Normalized Import'!B42</f>
        <v>45352</v>
      </c>
      <c r="C43" s="403">
        <f>'Normalized Import'!C42</f>
        <v>20000</v>
      </c>
      <c r="D43" s="404"/>
      <c r="E43" s="384">
        <f>'Studies (Cum) RAW'!E43/12</f>
        <v>3</v>
      </c>
      <c r="F43" s="405">
        <f>'Normalized Import'!E42</f>
        <v>1</v>
      </c>
      <c r="G43" s="405">
        <f>'Normalized Import'!F42</f>
        <v>1</v>
      </c>
      <c r="H43" s="405">
        <f>'Normalized Import'!G42</f>
        <v>1</v>
      </c>
      <c r="I43" s="405">
        <f>'Normalized Import'!H42</f>
        <v>5</v>
      </c>
      <c r="J43" s="405">
        <f>'Normalized Import'!I42</f>
        <v>5</v>
      </c>
      <c r="K43" s="405">
        <f>'Normalized Import'!J42</f>
        <v>5</v>
      </c>
      <c r="L43" s="405">
        <f>'Normalized Import'!K42</f>
        <v>5</v>
      </c>
      <c r="M43" s="405">
        <f>'Normalized Import'!L42</f>
        <v>13</v>
      </c>
      <c r="N43" s="405">
        <f>'Normalized Import'!M42</f>
        <v>3</v>
      </c>
      <c r="O43" s="405">
        <f>'Normalized Import'!N42</f>
        <v>9</v>
      </c>
      <c r="P43" s="405">
        <f>'Normalized Import'!O42</f>
        <v>10</v>
      </c>
      <c r="Q43" s="405">
        <f>'Normalized Import'!P42</f>
        <v>10</v>
      </c>
      <c r="R43" s="408"/>
      <c r="S43" s="408"/>
      <c r="T43" s="408"/>
      <c r="U43" s="408"/>
      <c r="V43" s="408"/>
      <c r="W43" s="340"/>
      <c r="X43" s="340"/>
      <c r="Y43" s="340"/>
      <c r="Z43" s="340"/>
    </row>
    <row r="44">
      <c r="A44" s="379" t="str">
        <f>'Normalized Import'!A43</f>
        <v>xometry</v>
      </c>
      <c r="B44" s="402">
        <f>'Normalized Import'!B43</f>
        <v>45383</v>
      </c>
      <c r="C44" s="403">
        <f>'Normalized Import'!C43</f>
        <v>10000</v>
      </c>
      <c r="D44" s="404"/>
      <c r="E44" s="384">
        <f>'Studies (Cum) RAW'!E44/12</f>
        <v>1</v>
      </c>
      <c r="F44" s="405">
        <f>'Normalized Import'!E43</f>
        <v>4</v>
      </c>
      <c r="G44" s="405">
        <f>'Normalized Import'!F43</f>
        <v>5</v>
      </c>
      <c r="H44" s="405">
        <f>'Normalized Import'!G43</f>
        <v>1</v>
      </c>
      <c r="I44" s="405">
        <f>'Normalized Import'!H43</f>
        <v>2</v>
      </c>
      <c r="J44" s="405">
        <f>'Normalized Import'!I43</f>
        <v>7</v>
      </c>
      <c r="K44" s="405">
        <f>'Normalized Import'!J43</f>
        <v>2</v>
      </c>
      <c r="L44" s="405">
        <f>'Normalized Import'!K43</f>
        <v>4</v>
      </c>
      <c r="M44" s="405">
        <f>'Normalized Import'!L43</f>
        <v>3</v>
      </c>
      <c r="N44" s="405">
        <f>'Normalized Import'!M43</f>
        <v>1</v>
      </c>
      <c r="O44" s="405">
        <f>'Normalized Import'!N43</f>
        <v>1</v>
      </c>
      <c r="P44" s="405">
        <f>'Normalized Import'!O43</f>
        <v>7</v>
      </c>
      <c r="Q44" s="405">
        <f>'Normalized Import'!P43</f>
        <v>9</v>
      </c>
      <c r="R44" s="408"/>
      <c r="S44" s="408"/>
      <c r="T44" s="408"/>
      <c r="U44" s="408"/>
      <c r="V44" s="408"/>
      <c r="W44" s="340"/>
      <c r="X44" s="340"/>
      <c r="Y44" s="340"/>
      <c r="Z44" s="340"/>
    </row>
    <row r="45">
      <c r="A45" s="379" t="str">
        <f>'Normalized Import'!A44</f>
        <v/>
      </c>
      <c r="B45" s="402" t="str">
        <f>'Normalized Import'!B44</f>
        <v/>
      </c>
      <c r="C45" s="403" t="str">
        <f>'Normalized Import'!C44</f>
        <v/>
      </c>
      <c r="D45" s="404"/>
      <c r="E45" s="384"/>
      <c r="F45" s="405" t="str">
        <f>'Normalized Import'!E44</f>
        <v/>
      </c>
      <c r="G45" s="405" t="str">
        <f>'Normalized Import'!F44</f>
        <v/>
      </c>
      <c r="H45" s="405" t="str">
        <f>'Normalized Import'!G44</f>
        <v/>
      </c>
      <c r="I45" s="405" t="str">
        <f>'Normalized Import'!H44</f>
        <v/>
      </c>
      <c r="J45" s="405" t="str">
        <f>'Normalized Import'!I44</f>
        <v/>
      </c>
      <c r="K45" s="405" t="str">
        <f>'Normalized Import'!J44</f>
        <v/>
      </c>
      <c r="L45" s="405" t="str">
        <f>'Normalized Import'!K44</f>
        <v/>
      </c>
      <c r="M45" s="405" t="str">
        <f>'Normalized Import'!L44</f>
        <v/>
      </c>
      <c r="N45" s="405" t="str">
        <f>'Normalized Import'!M44</f>
        <v/>
      </c>
      <c r="O45" s="405" t="str">
        <f>'Normalized Import'!N44</f>
        <v/>
      </c>
      <c r="P45" s="405" t="str">
        <f>'Normalized Import'!O44</f>
        <v/>
      </c>
      <c r="Q45" s="405" t="str">
        <f>'Normalized Import'!P44</f>
        <v/>
      </c>
      <c r="R45" s="408"/>
      <c r="S45" s="408"/>
      <c r="T45" s="408"/>
      <c r="U45" s="408"/>
      <c r="V45" s="408"/>
      <c r="W45" s="340"/>
      <c r="X45" s="340"/>
      <c r="Y45" s="340"/>
      <c r="Z45" s="340"/>
    </row>
    <row r="46">
      <c r="A46" s="379" t="str">
        <f>'Normalized Import'!A45</f>
        <v/>
      </c>
      <c r="B46" s="402" t="str">
        <f>'Normalized Import'!B45</f>
        <v/>
      </c>
      <c r="C46" s="403" t="str">
        <f>'Normalized Import'!C45</f>
        <v/>
      </c>
      <c r="D46" s="404"/>
      <c r="E46" s="384"/>
      <c r="F46" s="405" t="str">
        <f>'Normalized Import'!E45</f>
        <v/>
      </c>
      <c r="G46" s="405" t="str">
        <f>'Normalized Import'!F45</f>
        <v/>
      </c>
      <c r="H46" s="405" t="str">
        <f>'Normalized Import'!G45</f>
        <v/>
      </c>
      <c r="I46" s="405" t="str">
        <f>'Normalized Import'!H45</f>
        <v/>
      </c>
      <c r="J46" s="405" t="str">
        <f>'Normalized Import'!I45</f>
        <v/>
      </c>
      <c r="K46" s="405" t="str">
        <f>'Normalized Import'!J45</f>
        <v/>
      </c>
      <c r="L46" s="405" t="str">
        <f>'Normalized Import'!K45</f>
        <v/>
      </c>
      <c r="M46" s="405" t="str">
        <f>'Normalized Import'!L45</f>
        <v/>
      </c>
      <c r="N46" s="405" t="str">
        <f>'Normalized Import'!M45</f>
        <v/>
      </c>
      <c r="O46" s="405" t="str">
        <f>'Normalized Import'!N45</f>
        <v/>
      </c>
      <c r="P46" s="405" t="str">
        <f>'Normalized Import'!O45</f>
        <v/>
      </c>
      <c r="Q46" s="405" t="str">
        <f>'Normalized Import'!P45</f>
        <v/>
      </c>
      <c r="R46" s="408"/>
      <c r="S46" s="408"/>
      <c r="T46" s="408"/>
      <c r="U46" s="408"/>
      <c r="V46" s="408"/>
      <c r="W46" s="340"/>
      <c r="X46" s="340"/>
      <c r="Y46" s="340"/>
      <c r="Z46" s="340"/>
    </row>
    <row r="47">
      <c r="A47" s="379" t="str">
        <f>'Normalized Import'!A46</f>
        <v/>
      </c>
      <c r="B47" s="402" t="str">
        <f>'Normalized Import'!B46</f>
        <v/>
      </c>
      <c r="C47" s="403" t="str">
        <f>'Normalized Import'!C46</f>
        <v/>
      </c>
      <c r="D47" s="404"/>
      <c r="E47" s="384"/>
      <c r="F47" s="405" t="str">
        <f>'Normalized Import'!E46</f>
        <v/>
      </c>
      <c r="G47" s="405" t="str">
        <f>'Normalized Import'!F46</f>
        <v/>
      </c>
      <c r="H47" s="405" t="str">
        <f>'Normalized Import'!G46</f>
        <v/>
      </c>
      <c r="I47" s="405" t="str">
        <f>'Normalized Import'!H46</f>
        <v/>
      </c>
      <c r="J47" s="405" t="str">
        <f>'Normalized Import'!I46</f>
        <v/>
      </c>
      <c r="K47" s="405" t="str">
        <f>'Normalized Import'!J46</f>
        <v/>
      </c>
      <c r="L47" s="405" t="str">
        <f>'Normalized Import'!K46</f>
        <v/>
      </c>
      <c r="M47" s="405" t="str">
        <f>'Normalized Import'!L46</f>
        <v/>
      </c>
      <c r="N47" s="405" t="str">
        <f>'Normalized Import'!M46</f>
        <v/>
      </c>
      <c r="O47" s="405" t="str">
        <f>'Normalized Import'!N46</f>
        <v/>
      </c>
      <c r="P47" s="405" t="str">
        <f>'Normalized Import'!O46</f>
        <v/>
      </c>
      <c r="Q47" s="405" t="str">
        <f>'Normalized Import'!P46</f>
        <v/>
      </c>
      <c r="R47" s="408"/>
      <c r="S47" s="408"/>
      <c r="T47" s="408"/>
      <c r="U47" s="408"/>
      <c r="V47" s="408"/>
      <c r="W47" s="340"/>
      <c r="X47" s="340"/>
      <c r="Y47" s="340"/>
      <c r="Z47" s="340"/>
    </row>
    <row r="48">
      <c r="A48" s="379" t="str">
        <f>'Normalized Import'!A47</f>
        <v/>
      </c>
      <c r="B48" s="402" t="str">
        <f>'Normalized Import'!B47</f>
        <v/>
      </c>
      <c r="C48" s="403" t="str">
        <f>'Normalized Import'!C47</f>
        <v/>
      </c>
      <c r="D48" s="404"/>
      <c r="E48" s="384"/>
      <c r="F48" s="405" t="str">
        <f>'Normalized Import'!E47</f>
        <v/>
      </c>
      <c r="G48" s="405" t="str">
        <f>'Normalized Import'!F47</f>
        <v/>
      </c>
      <c r="H48" s="405" t="str">
        <f>'Normalized Import'!G47</f>
        <v/>
      </c>
      <c r="I48" s="405" t="str">
        <f>'Normalized Import'!H47</f>
        <v/>
      </c>
      <c r="J48" s="405" t="str">
        <f>'Normalized Import'!I47</f>
        <v/>
      </c>
      <c r="K48" s="405" t="str">
        <f>'Normalized Import'!J47</f>
        <v/>
      </c>
      <c r="L48" s="405" t="str">
        <f>'Normalized Import'!K47</f>
        <v/>
      </c>
      <c r="M48" s="405" t="str">
        <f>'Normalized Import'!L47</f>
        <v/>
      </c>
      <c r="N48" s="405" t="str">
        <f>'Normalized Import'!M47</f>
        <v/>
      </c>
      <c r="O48" s="405" t="str">
        <f>'Normalized Import'!N47</f>
        <v/>
      </c>
      <c r="P48" s="405" t="str">
        <f>'Normalized Import'!O47</f>
        <v/>
      </c>
      <c r="Q48" s="405" t="str">
        <f>'Normalized Import'!P47</f>
        <v/>
      </c>
      <c r="R48" s="408"/>
      <c r="S48" s="408"/>
      <c r="T48" s="408"/>
      <c r="U48" s="408"/>
      <c r="V48" s="408"/>
      <c r="W48" s="340"/>
      <c r="X48" s="340"/>
      <c r="Y48" s="340"/>
      <c r="Z48" s="340"/>
    </row>
    <row r="49">
      <c r="A49" s="379" t="str">
        <f>'Normalized Import'!A48</f>
        <v/>
      </c>
      <c r="B49" s="402" t="str">
        <f>'Normalized Import'!B48</f>
        <v/>
      </c>
      <c r="C49" s="403" t="str">
        <f>'Normalized Import'!C48</f>
        <v/>
      </c>
      <c r="D49" s="404"/>
      <c r="E49" s="384"/>
      <c r="F49" s="405" t="str">
        <f>'Normalized Import'!E48</f>
        <v/>
      </c>
      <c r="G49" s="405" t="str">
        <f>'Normalized Import'!F48</f>
        <v/>
      </c>
      <c r="H49" s="405" t="str">
        <f>'Normalized Import'!G48</f>
        <v/>
      </c>
      <c r="I49" s="405" t="str">
        <f>'Normalized Import'!H48</f>
        <v/>
      </c>
      <c r="J49" s="405" t="str">
        <f>'Normalized Import'!I48</f>
        <v/>
      </c>
      <c r="K49" s="405" t="str">
        <f>'Normalized Import'!J48</f>
        <v/>
      </c>
      <c r="L49" s="405" t="str">
        <f>'Normalized Import'!K48</f>
        <v/>
      </c>
      <c r="M49" s="405" t="str">
        <f>'Normalized Import'!L48</f>
        <v/>
      </c>
      <c r="N49" s="405" t="str">
        <f>'Normalized Import'!M48</f>
        <v/>
      </c>
      <c r="O49" s="405" t="str">
        <f>'Normalized Import'!N48</f>
        <v/>
      </c>
      <c r="P49" s="405" t="str">
        <f>'Normalized Import'!O48</f>
        <v/>
      </c>
      <c r="Q49" s="405" t="str">
        <f>'Normalized Import'!P48</f>
        <v/>
      </c>
      <c r="R49" s="408"/>
      <c r="S49" s="408"/>
      <c r="T49" s="408"/>
      <c r="U49" s="408"/>
      <c r="V49" s="408"/>
      <c r="W49" s="340"/>
      <c r="X49" s="340"/>
      <c r="Y49" s="340"/>
      <c r="Z49" s="340"/>
    </row>
    <row r="50">
      <c r="A50" s="379" t="str">
        <f>'Normalized Import'!A49</f>
        <v/>
      </c>
      <c r="B50" s="402" t="str">
        <f>'Normalized Import'!B49</f>
        <v/>
      </c>
      <c r="C50" s="403" t="str">
        <f>'Normalized Import'!C49</f>
        <v/>
      </c>
      <c r="D50" s="404"/>
      <c r="E50" s="409"/>
      <c r="F50" s="405" t="str">
        <f>'Normalized Import'!E49</f>
        <v/>
      </c>
      <c r="G50" s="405" t="str">
        <f>'Normalized Import'!F49</f>
        <v/>
      </c>
      <c r="H50" s="405" t="str">
        <f>'Normalized Import'!G49</f>
        <v/>
      </c>
      <c r="I50" s="405" t="str">
        <f>'Normalized Import'!H49</f>
        <v/>
      </c>
      <c r="J50" s="405" t="str">
        <f>'Normalized Import'!I49</f>
        <v/>
      </c>
      <c r="K50" s="405" t="str">
        <f>'Normalized Import'!J49</f>
        <v/>
      </c>
      <c r="L50" s="405" t="str">
        <f>'Normalized Import'!K49</f>
        <v/>
      </c>
      <c r="M50" s="405" t="str">
        <f>'Normalized Import'!L49</f>
        <v/>
      </c>
      <c r="N50" s="405" t="str">
        <f>'Normalized Import'!M49</f>
        <v/>
      </c>
      <c r="O50" s="405" t="str">
        <f>'Normalized Import'!N49</f>
        <v/>
      </c>
      <c r="P50" s="405" t="str">
        <f>'Normalized Import'!O49</f>
        <v/>
      </c>
      <c r="Q50" s="405" t="str">
        <f>'Normalized Import'!P49</f>
        <v/>
      </c>
      <c r="R50" s="408"/>
      <c r="S50" s="408"/>
      <c r="T50" s="408"/>
      <c r="U50" s="408"/>
      <c r="V50" s="408"/>
      <c r="W50" s="340"/>
      <c r="X50" s="340"/>
      <c r="Y50" s="340"/>
      <c r="Z50" s="340"/>
    </row>
    <row r="51">
      <c r="A51" s="379" t="str">
        <f>'Normalized Import'!A50</f>
        <v/>
      </c>
      <c r="B51" s="402" t="str">
        <f>'Normalized Import'!B50</f>
        <v/>
      </c>
      <c r="C51" s="403" t="str">
        <f>'Normalized Import'!C50</f>
        <v/>
      </c>
      <c r="D51" s="404"/>
      <c r="E51" s="409"/>
      <c r="F51" s="405" t="str">
        <f>'Normalized Import'!E50</f>
        <v/>
      </c>
      <c r="G51" s="405" t="str">
        <f>'Normalized Import'!F50</f>
        <v/>
      </c>
      <c r="H51" s="405" t="str">
        <f>'Normalized Import'!G50</f>
        <v/>
      </c>
      <c r="I51" s="405" t="str">
        <f>'Normalized Import'!H50</f>
        <v/>
      </c>
      <c r="J51" s="405" t="str">
        <f>'Normalized Import'!I50</f>
        <v/>
      </c>
      <c r="K51" s="405" t="str">
        <f>'Normalized Import'!J50</f>
        <v/>
      </c>
      <c r="L51" s="405" t="str">
        <f>'Normalized Import'!K50</f>
        <v/>
      </c>
      <c r="M51" s="405" t="str">
        <f>'Normalized Import'!L50</f>
        <v/>
      </c>
      <c r="N51" s="405" t="str">
        <f>'Normalized Import'!M50</f>
        <v/>
      </c>
      <c r="O51" s="405" t="str">
        <f>'Normalized Import'!N50</f>
        <v/>
      </c>
      <c r="P51" s="405" t="str">
        <f>'Normalized Import'!O50</f>
        <v/>
      </c>
      <c r="Q51" s="405" t="str">
        <f>'Normalized Import'!P50</f>
        <v/>
      </c>
      <c r="R51" s="340"/>
      <c r="S51" s="340"/>
      <c r="T51" s="340"/>
      <c r="U51" s="340"/>
      <c r="V51" s="340"/>
      <c r="W51" s="340"/>
      <c r="X51" s="340"/>
      <c r="Y51" s="340"/>
      <c r="Z51" s="340"/>
    </row>
    <row r="52">
      <c r="A52" s="379" t="str">
        <f>'Normalized Import'!A51</f>
        <v/>
      </c>
      <c r="B52" s="402" t="str">
        <f>'Normalized Import'!B51</f>
        <v/>
      </c>
      <c r="C52" s="403" t="str">
        <f>'Normalized Import'!C51</f>
        <v/>
      </c>
      <c r="D52" s="404"/>
      <c r="E52" s="409"/>
      <c r="F52" s="405" t="str">
        <f>'Normalized Import'!E51</f>
        <v/>
      </c>
      <c r="G52" s="405" t="str">
        <f>'Normalized Import'!F51</f>
        <v/>
      </c>
      <c r="H52" s="405" t="str">
        <f>'Normalized Import'!G51</f>
        <v/>
      </c>
      <c r="I52" s="405" t="str">
        <f>'Normalized Import'!H51</f>
        <v/>
      </c>
      <c r="J52" s="405" t="str">
        <f>'Normalized Import'!I51</f>
        <v/>
      </c>
      <c r="K52" s="405" t="str">
        <f>'Normalized Import'!J51</f>
        <v/>
      </c>
      <c r="L52" s="405" t="str">
        <f>'Normalized Import'!K51</f>
        <v/>
      </c>
      <c r="M52" s="405" t="str">
        <f>'Normalized Import'!L51</f>
        <v/>
      </c>
      <c r="N52" s="405" t="str">
        <f>'Normalized Import'!M51</f>
        <v/>
      </c>
      <c r="O52" s="405" t="str">
        <f>'Normalized Import'!N51</f>
        <v/>
      </c>
      <c r="P52" s="405" t="str">
        <f>'Normalized Import'!O51</f>
        <v/>
      </c>
      <c r="Q52" s="405" t="str">
        <f>'Normalized Import'!P51</f>
        <v/>
      </c>
    </row>
    <row r="53">
      <c r="A53" s="379" t="str">
        <f>'Normalized Import'!A52</f>
        <v/>
      </c>
      <c r="B53" s="402" t="str">
        <f>'Normalized Import'!B52</f>
        <v/>
      </c>
      <c r="C53" s="403" t="str">
        <f>'Normalized Import'!C52</f>
        <v/>
      </c>
      <c r="D53" s="404"/>
      <c r="E53" s="409"/>
      <c r="F53" s="405" t="str">
        <f>'Normalized Import'!E52</f>
        <v/>
      </c>
      <c r="G53" s="405" t="str">
        <f>'Normalized Import'!F52</f>
        <v/>
      </c>
      <c r="H53" s="405" t="str">
        <f>'Normalized Import'!G52</f>
        <v/>
      </c>
      <c r="I53" s="405" t="str">
        <f>'Normalized Import'!H52</f>
        <v/>
      </c>
      <c r="J53" s="405" t="str">
        <f>'Normalized Import'!I52</f>
        <v/>
      </c>
      <c r="K53" s="405" t="str">
        <f>'Normalized Import'!J52</f>
        <v/>
      </c>
      <c r="L53" s="405" t="str">
        <f>'Normalized Import'!K52</f>
        <v/>
      </c>
      <c r="M53" s="405" t="str">
        <f>'Normalized Import'!L52</f>
        <v/>
      </c>
      <c r="N53" s="405" t="str">
        <f>'Normalized Import'!M52</f>
        <v/>
      </c>
      <c r="O53" s="405" t="str">
        <f>'Normalized Import'!N52</f>
        <v/>
      </c>
      <c r="P53" s="405" t="str">
        <f>'Normalized Import'!O52</f>
        <v/>
      </c>
      <c r="Q53" s="405" t="str">
        <f>'Normalized Import'!P52</f>
        <v/>
      </c>
    </row>
    <row r="54">
      <c r="A54" s="379" t="str">
        <f>'Normalized Import'!A53</f>
        <v/>
      </c>
      <c r="B54" s="402" t="str">
        <f>'Normalized Import'!B53</f>
        <v/>
      </c>
      <c r="C54" s="403" t="str">
        <f>'Normalized Import'!C53</f>
        <v/>
      </c>
      <c r="D54" s="404"/>
      <c r="E54" s="409"/>
      <c r="F54" s="405" t="str">
        <f>'Normalized Import'!E53</f>
        <v/>
      </c>
      <c r="G54" s="405" t="str">
        <f>'Normalized Import'!F53</f>
        <v/>
      </c>
      <c r="H54" s="405" t="str">
        <f>'Normalized Import'!G53</f>
        <v/>
      </c>
      <c r="I54" s="405" t="str">
        <f>'Normalized Import'!H53</f>
        <v/>
      </c>
      <c r="J54" s="405" t="str">
        <f>'Normalized Import'!I53</f>
        <v/>
      </c>
      <c r="K54" s="405" t="str">
        <f>'Normalized Import'!J53</f>
        <v/>
      </c>
      <c r="L54" s="405" t="str">
        <f>'Normalized Import'!K53</f>
        <v/>
      </c>
      <c r="M54" s="405" t="str">
        <f>'Normalized Import'!L53</f>
        <v/>
      </c>
      <c r="N54" s="405" t="str">
        <f>'Normalized Import'!M53</f>
        <v/>
      </c>
      <c r="O54" s="405" t="str">
        <f>'Normalized Import'!N53</f>
        <v/>
      </c>
      <c r="P54" s="405" t="str">
        <f>'Normalized Import'!O53</f>
        <v/>
      </c>
      <c r="Q54" s="405" t="str">
        <f>'Normalized Import'!P53</f>
        <v/>
      </c>
    </row>
    <row r="55">
      <c r="A55" s="379" t="str">
        <f>'Normalized Import'!A54</f>
        <v/>
      </c>
      <c r="B55" s="402" t="str">
        <f>'Normalized Import'!B54</f>
        <v/>
      </c>
      <c r="C55" s="403" t="str">
        <f>'Normalized Import'!C54</f>
        <v/>
      </c>
      <c r="D55" s="404"/>
      <c r="E55" s="409"/>
      <c r="F55" s="405" t="str">
        <f>'Normalized Import'!E54</f>
        <v/>
      </c>
      <c r="G55" s="405" t="str">
        <f>'Normalized Import'!F54</f>
        <v/>
      </c>
      <c r="H55" s="405" t="str">
        <f>'Normalized Import'!G54</f>
        <v/>
      </c>
      <c r="I55" s="405" t="str">
        <f>'Normalized Import'!H54</f>
        <v/>
      </c>
      <c r="J55" s="405" t="str">
        <f>'Normalized Import'!I54</f>
        <v/>
      </c>
      <c r="K55" s="405" t="str">
        <f>'Normalized Import'!J54</f>
        <v/>
      </c>
      <c r="L55" s="405" t="str">
        <f>'Normalized Import'!K54</f>
        <v/>
      </c>
      <c r="M55" s="405" t="str">
        <f>'Normalized Import'!L54</f>
        <v/>
      </c>
      <c r="N55" s="405" t="str">
        <f>'Normalized Import'!M54</f>
        <v/>
      </c>
      <c r="O55" s="405" t="str">
        <f>'Normalized Import'!N54</f>
        <v/>
      </c>
      <c r="P55" s="405" t="str">
        <f>'Normalized Import'!O54</f>
        <v/>
      </c>
      <c r="Q55" s="405" t="str">
        <f>'Normalized Import'!P54</f>
        <v/>
      </c>
    </row>
    <row r="56">
      <c r="A56" s="379" t="str">
        <f>'Normalized Import'!A55</f>
        <v/>
      </c>
      <c r="B56" s="402" t="str">
        <f>'Normalized Import'!B55</f>
        <v/>
      </c>
      <c r="C56" s="403" t="str">
        <f>'Normalized Import'!C55</f>
        <v/>
      </c>
      <c r="D56" s="404"/>
      <c r="E56" s="409"/>
      <c r="F56" s="405" t="str">
        <f>'Normalized Import'!E55</f>
        <v/>
      </c>
      <c r="G56" s="405" t="str">
        <f>'Normalized Import'!F55</f>
        <v/>
      </c>
      <c r="H56" s="405" t="str">
        <f>'Normalized Import'!G55</f>
        <v/>
      </c>
      <c r="I56" s="405" t="str">
        <f>'Normalized Import'!H55</f>
        <v/>
      </c>
      <c r="J56" s="405" t="str">
        <f>'Normalized Import'!I55</f>
        <v/>
      </c>
      <c r="K56" s="405" t="str">
        <f>'Normalized Import'!J55</f>
        <v/>
      </c>
      <c r="L56" s="405" t="str">
        <f>'Normalized Import'!K55</f>
        <v/>
      </c>
      <c r="M56" s="405" t="str">
        <f>'Normalized Import'!L55</f>
        <v/>
      </c>
      <c r="N56" s="405" t="str">
        <f>'Normalized Import'!M55</f>
        <v/>
      </c>
      <c r="O56" s="405" t="str">
        <f>'Normalized Import'!N55</f>
        <v/>
      </c>
      <c r="P56" s="405" t="str">
        <f>'Normalized Import'!O55</f>
        <v/>
      </c>
      <c r="Q56" s="405" t="str">
        <f>'Normalized Import'!P55</f>
        <v/>
      </c>
    </row>
    <row r="57">
      <c r="A57" s="379" t="str">
        <f>'Normalized Import'!A56</f>
        <v/>
      </c>
      <c r="B57" s="402" t="str">
        <f>'Normalized Import'!B56</f>
        <v/>
      </c>
      <c r="C57" s="403" t="str">
        <f>'Normalized Import'!C56</f>
        <v/>
      </c>
      <c r="D57" s="404"/>
      <c r="E57" s="409"/>
      <c r="F57" s="405" t="str">
        <f>'Normalized Import'!E56</f>
        <v/>
      </c>
      <c r="G57" s="405" t="str">
        <f>'Normalized Import'!F56</f>
        <v/>
      </c>
      <c r="H57" s="405" t="str">
        <f>'Normalized Import'!G56</f>
        <v/>
      </c>
      <c r="I57" s="405" t="str">
        <f>'Normalized Import'!H56</f>
        <v/>
      </c>
      <c r="J57" s="405" t="str">
        <f>'Normalized Import'!I56</f>
        <v/>
      </c>
      <c r="K57" s="405" t="str">
        <f>'Normalized Import'!J56</f>
        <v/>
      </c>
      <c r="L57" s="405" t="str">
        <f>'Normalized Import'!K56</f>
        <v/>
      </c>
      <c r="M57" s="405" t="str">
        <f>'Normalized Import'!L56</f>
        <v/>
      </c>
      <c r="N57" s="405" t="str">
        <f>'Normalized Import'!M56</f>
        <v/>
      </c>
      <c r="O57" s="405" t="str">
        <f>'Normalized Import'!N56</f>
        <v/>
      </c>
      <c r="P57" s="405" t="str">
        <f>'Normalized Import'!O56</f>
        <v/>
      </c>
      <c r="Q57" s="405" t="str">
        <f>'Normalized Import'!P56</f>
        <v/>
      </c>
    </row>
    <row r="58">
      <c r="A58" s="379" t="str">
        <f>'Normalized Import'!A57</f>
        <v/>
      </c>
      <c r="B58" s="402" t="str">
        <f>'Normalized Import'!B57</f>
        <v/>
      </c>
      <c r="C58" s="403" t="str">
        <f>'Normalized Import'!C57</f>
        <v/>
      </c>
      <c r="D58" s="404"/>
      <c r="E58" s="409"/>
      <c r="F58" s="405" t="str">
        <f>'Normalized Import'!E57</f>
        <v/>
      </c>
      <c r="G58" s="405" t="str">
        <f>'Normalized Import'!F57</f>
        <v/>
      </c>
      <c r="H58" s="405" t="str">
        <f>'Normalized Import'!G57</f>
        <v/>
      </c>
      <c r="I58" s="405" t="str">
        <f>'Normalized Import'!H57</f>
        <v/>
      </c>
      <c r="J58" s="405" t="str">
        <f>'Normalized Import'!I57</f>
        <v/>
      </c>
      <c r="K58" s="405" t="str">
        <f>'Normalized Import'!J57</f>
        <v/>
      </c>
      <c r="L58" s="405" t="str">
        <f>'Normalized Import'!K57</f>
        <v/>
      </c>
      <c r="M58" s="405" t="str">
        <f>'Normalized Import'!L57</f>
        <v/>
      </c>
      <c r="N58" s="405" t="str">
        <f>'Normalized Import'!M57</f>
        <v/>
      </c>
      <c r="O58" s="405" t="str">
        <f>'Normalized Import'!N57</f>
        <v/>
      </c>
      <c r="P58" s="405" t="str">
        <f>'Normalized Import'!O57</f>
        <v/>
      </c>
      <c r="Q58" s="405" t="str">
        <f>'Normalized Import'!P57</f>
        <v/>
      </c>
    </row>
    <row r="59">
      <c r="A59" s="379" t="str">
        <f>'Normalized Import'!A58</f>
        <v/>
      </c>
      <c r="B59" s="402" t="str">
        <f>'Normalized Import'!B58</f>
        <v/>
      </c>
      <c r="C59" s="403" t="str">
        <f>'Normalized Import'!C58</f>
        <v/>
      </c>
      <c r="D59" s="404"/>
      <c r="E59" s="409"/>
      <c r="F59" s="405" t="str">
        <f>'Normalized Import'!E58</f>
        <v/>
      </c>
      <c r="G59" s="405" t="str">
        <f>'Normalized Import'!F58</f>
        <v/>
      </c>
      <c r="H59" s="405" t="str">
        <f>'Normalized Import'!G58</f>
        <v/>
      </c>
      <c r="I59" s="405" t="str">
        <f>'Normalized Import'!H58</f>
        <v/>
      </c>
      <c r="J59" s="405" t="str">
        <f>'Normalized Import'!I58</f>
        <v/>
      </c>
      <c r="K59" s="405" t="str">
        <f>'Normalized Import'!J58</f>
        <v/>
      </c>
      <c r="L59" s="405" t="str">
        <f>'Normalized Import'!K58</f>
        <v/>
      </c>
      <c r="M59" s="405" t="str">
        <f>'Normalized Import'!L58</f>
        <v/>
      </c>
      <c r="N59" s="405" t="str">
        <f>'Normalized Import'!M58</f>
        <v/>
      </c>
      <c r="O59" s="405" t="str">
        <f>'Normalized Import'!N58</f>
        <v/>
      </c>
      <c r="P59" s="405" t="str">
        <f>'Normalized Import'!O58</f>
        <v/>
      </c>
      <c r="Q59" s="405" t="str">
        <f>'Normalized Import'!P58</f>
        <v/>
      </c>
    </row>
    <row r="60">
      <c r="A60" s="379" t="str">
        <f>'Normalized Import'!A59</f>
        <v/>
      </c>
      <c r="B60" s="402" t="str">
        <f>'Normalized Import'!B59</f>
        <v/>
      </c>
      <c r="C60" s="403" t="str">
        <f>'Normalized Import'!C59</f>
        <v/>
      </c>
      <c r="D60" s="404"/>
      <c r="E60" s="409"/>
      <c r="F60" s="405" t="str">
        <f>'Normalized Import'!E59</f>
        <v/>
      </c>
      <c r="G60" s="405" t="str">
        <f>'Normalized Import'!F59</f>
        <v/>
      </c>
      <c r="H60" s="405" t="str">
        <f>'Normalized Import'!G59</f>
        <v/>
      </c>
      <c r="I60" s="405" t="str">
        <f>'Normalized Import'!H59</f>
        <v/>
      </c>
      <c r="J60" s="405" t="str">
        <f>'Normalized Import'!I59</f>
        <v/>
      </c>
      <c r="K60" s="405" t="str">
        <f>'Normalized Import'!J59</f>
        <v/>
      </c>
      <c r="L60" s="405" t="str">
        <f>'Normalized Import'!K59</f>
        <v/>
      </c>
      <c r="M60" s="405" t="str">
        <f>'Normalized Import'!L59</f>
        <v/>
      </c>
      <c r="N60" s="405" t="str">
        <f>'Normalized Import'!M59</f>
        <v/>
      </c>
      <c r="O60" s="405" t="str">
        <f>'Normalized Import'!N59</f>
        <v/>
      </c>
      <c r="P60" s="405" t="str">
        <f>'Normalized Import'!O59</f>
        <v/>
      </c>
      <c r="Q60" s="405" t="str">
        <f>'Normalized Import'!P59</f>
        <v/>
      </c>
    </row>
    <row r="61">
      <c r="A61" s="379" t="str">
        <f>'Normalized Import'!A60</f>
        <v/>
      </c>
      <c r="B61" s="402" t="str">
        <f>'Normalized Import'!B60</f>
        <v/>
      </c>
      <c r="C61" s="403" t="str">
        <f>'Normalized Import'!C60</f>
        <v/>
      </c>
      <c r="D61" s="404"/>
      <c r="E61" s="409"/>
      <c r="F61" s="405" t="str">
        <f>'Normalized Import'!E60</f>
        <v/>
      </c>
      <c r="G61" s="405" t="str">
        <f>'Normalized Import'!F60</f>
        <v/>
      </c>
      <c r="H61" s="405" t="str">
        <f>'Normalized Import'!G60</f>
        <v/>
      </c>
      <c r="I61" s="405" t="str">
        <f>'Normalized Import'!H60</f>
        <v/>
      </c>
      <c r="J61" s="405" t="str">
        <f>'Normalized Import'!I60</f>
        <v/>
      </c>
      <c r="K61" s="405" t="str">
        <f>'Normalized Import'!J60</f>
        <v/>
      </c>
      <c r="L61" s="405" t="str">
        <f>'Normalized Import'!K60</f>
        <v/>
      </c>
      <c r="M61" s="405" t="str">
        <f>'Normalized Import'!L60</f>
        <v/>
      </c>
      <c r="N61" s="405" t="str">
        <f>'Normalized Import'!M60</f>
        <v/>
      </c>
      <c r="O61" s="405" t="str">
        <f>'Normalized Import'!N60</f>
        <v/>
      </c>
      <c r="P61" s="405" t="str">
        <f>'Normalized Import'!O60</f>
        <v/>
      </c>
      <c r="Q61" s="405" t="str">
        <f>'Normalized Import'!P60</f>
        <v/>
      </c>
    </row>
    <row r="62">
      <c r="A62" s="379" t="str">
        <f>'Normalized Import'!A61</f>
        <v/>
      </c>
      <c r="B62" s="402" t="str">
        <f>'Normalized Import'!B61</f>
        <v/>
      </c>
      <c r="C62" s="403" t="str">
        <f>'Normalized Import'!C61</f>
        <v/>
      </c>
      <c r="D62" s="404"/>
      <c r="E62" s="409"/>
      <c r="F62" s="405" t="str">
        <f>'Normalized Import'!E61</f>
        <v/>
      </c>
      <c r="G62" s="405" t="str">
        <f>'Normalized Import'!F61</f>
        <v/>
      </c>
      <c r="H62" s="405" t="str">
        <f>'Normalized Import'!G61</f>
        <v/>
      </c>
      <c r="I62" s="405" t="str">
        <f>'Normalized Import'!H61</f>
        <v/>
      </c>
      <c r="J62" s="405" t="str">
        <f>'Normalized Import'!I61</f>
        <v/>
      </c>
      <c r="K62" s="405" t="str">
        <f>'Normalized Import'!J61</f>
        <v/>
      </c>
      <c r="L62" s="405" t="str">
        <f>'Normalized Import'!K61</f>
        <v/>
      </c>
      <c r="M62" s="405" t="str">
        <f>'Normalized Import'!L61</f>
        <v/>
      </c>
      <c r="N62" s="405" t="str">
        <f>'Normalized Import'!M61</f>
        <v/>
      </c>
      <c r="O62" s="405" t="str">
        <f>'Normalized Import'!N61</f>
        <v/>
      </c>
      <c r="P62" s="405" t="str">
        <f>'Normalized Import'!O61</f>
        <v/>
      </c>
      <c r="Q62" s="405" t="str">
        <f>'Normalized Import'!P61</f>
        <v/>
      </c>
    </row>
    <row r="63">
      <c r="A63" s="379" t="str">
        <f>'Normalized Import'!A62</f>
        <v/>
      </c>
      <c r="B63" s="402" t="str">
        <f>'Normalized Import'!B62</f>
        <v/>
      </c>
      <c r="C63" s="403" t="str">
        <f>'Normalized Import'!C62</f>
        <v/>
      </c>
      <c r="D63" s="404"/>
      <c r="E63" s="409"/>
      <c r="F63" s="405" t="str">
        <f>'Normalized Import'!E62</f>
        <v/>
      </c>
      <c r="G63" s="405" t="str">
        <f>'Normalized Import'!F62</f>
        <v/>
      </c>
      <c r="H63" s="405" t="str">
        <f>'Normalized Import'!G62</f>
        <v/>
      </c>
      <c r="I63" s="405" t="str">
        <f>'Normalized Import'!H62</f>
        <v/>
      </c>
      <c r="J63" s="405" t="str">
        <f>'Normalized Import'!I62</f>
        <v/>
      </c>
      <c r="K63" s="405" t="str">
        <f>'Normalized Import'!J62</f>
        <v/>
      </c>
      <c r="L63" s="405" t="str">
        <f>'Normalized Import'!K62</f>
        <v/>
      </c>
      <c r="M63" s="405" t="str">
        <f>'Normalized Import'!L62</f>
        <v/>
      </c>
      <c r="N63" s="405" t="str">
        <f>'Normalized Import'!M62</f>
        <v/>
      </c>
      <c r="O63" s="405" t="str">
        <f>'Normalized Import'!N62</f>
        <v/>
      </c>
      <c r="P63" s="405" t="str">
        <f>'Normalized Import'!O62</f>
        <v/>
      </c>
      <c r="Q63" s="405" t="str">
        <f>'Normalized Import'!P62</f>
        <v/>
      </c>
    </row>
    <row r="64">
      <c r="A64" s="379" t="str">
        <f>'Normalized Import'!A63</f>
        <v/>
      </c>
      <c r="B64" s="402" t="str">
        <f>'Normalized Import'!B63</f>
        <v/>
      </c>
      <c r="C64" s="403" t="str">
        <f>'Normalized Import'!C63</f>
        <v/>
      </c>
      <c r="D64" s="404"/>
      <c r="E64" s="409"/>
      <c r="F64" s="405" t="str">
        <f>'Normalized Import'!E63</f>
        <v/>
      </c>
      <c r="G64" s="405" t="str">
        <f>'Normalized Import'!F63</f>
        <v/>
      </c>
      <c r="H64" s="405" t="str">
        <f>'Normalized Import'!G63</f>
        <v/>
      </c>
      <c r="I64" s="405" t="str">
        <f>'Normalized Import'!H63</f>
        <v/>
      </c>
      <c r="J64" s="405" t="str">
        <f>'Normalized Import'!I63</f>
        <v/>
      </c>
      <c r="K64" s="405" t="str">
        <f>'Normalized Import'!J63</f>
        <v/>
      </c>
      <c r="L64" s="405" t="str">
        <f>'Normalized Import'!K63</f>
        <v/>
      </c>
      <c r="M64" s="405" t="str">
        <f>'Normalized Import'!L63</f>
        <v/>
      </c>
      <c r="N64" s="405" t="str">
        <f>'Normalized Import'!M63</f>
        <v/>
      </c>
      <c r="O64" s="405" t="str">
        <f>'Normalized Import'!N63</f>
        <v/>
      </c>
      <c r="P64" s="405" t="str">
        <f>'Normalized Import'!O63</f>
        <v/>
      </c>
      <c r="Q64" s="405" t="str">
        <f>'Normalized Import'!P63</f>
        <v/>
      </c>
    </row>
    <row r="65">
      <c r="A65" s="379" t="str">
        <f>'Normalized Import'!A64</f>
        <v/>
      </c>
      <c r="B65" s="402" t="str">
        <f>'Normalized Import'!B64</f>
        <v/>
      </c>
      <c r="C65" s="403" t="str">
        <f>'Normalized Import'!C64</f>
        <v/>
      </c>
      <c r="D65" s="404"/>
      <c r="E65" s="409"/>
      <c r="F65" s="405" t="str">
        <f>'Normalized Import'!E64</f>
        <v/>
      </c>
      <c r="G65" s="405" t="str">
        <f>'Normalized Import'!F64</f>
        <v/>
      </c>
      <c r="H65" s="405" t="str">
        <f>'Normalized Import'!G64</f>
        <v/>
      </c>
      <c r="I65" s="405" t="str">
        <f>'Normalized Import'!H64</f>
        <v/>
      </c>
      <c r="J65" s="405" t="str">
        <f>'Normalized Import'!I64</f>
        <v/>
      </c>
      <c r="K65" s="405" t="str">
        <f>'Normalized Import'!J64</f>
        <v/>
      </c>
      <c r="L65" s="405" t="str">
        <f>'Normalized Import'!K64</f>
        <v/>
      </c>
      <c r="M65" s="405" t="str">
        <f>'Normalized Import'!L64</f>
        <v/>
      </c>
      <c r="N65" s="405" t="str">
        <f>'Normalized Import'!M64</f>
        <v/>
      </c>
      <c r="O65" s="405" t="str">
        <f>'Normalized Import'!N64</f>
        <v/>
      </c>
      <c r="P65" s="405" t="str">
        <f>'Normalized Import'!O64</f>
        <v/>
      </c>
      <c r="Q65" s="405" t="str">
        <f>'Normalized Import'!P64</f>
        <v/>
      </c>
    </row>
    <row r="66">
      <c r="A66" s="379" t="str">
        <f>'Normalized Import'!A65</f>
        <v/>
      </c>
      <c r="B66" s="402" t="str">
        <f>'Normalized Import'!B65</f>
        <v/>
      </c>
      <c r="C66" s="403" t="str">
        <f>'Normalized Import'!C65</f>
        <v/>
      </c>
      <c r="D66" s="404"/>
      <c r="E66" s="409"/>
      <c r="F66" s="405" t="str">
        <f>'Normalized Import'!E65</f>
        <v/>
      </c>
      <c r="G66" s="405" t="str">
        <f>'Normalized Import'!F65</f>
        <v/>
      </c>
      <c r="H66" s="405" t="str">
        <f>'Normalized Import'!G65</f>
        <v/>
      </c>
      <c r="I66" s="405" t="str">
        <f>'Normalized Import'!H65</f>
        <v/>
      </c>
      <c r="J66" s="405" t="str">
        <f>'Normalized Import'!I65</f>
        <v/>
      </c>
      <c r="K66" s="405" t="str">
        <f>'Normalized Import'!J65</f>
        <v/>
      </c>
      <c r="L66" s="405" t="str">
        <f>'Normalized Import'!K65</f>
        <v/>
      </c>
      <c r="M66" s="405" t="str">
        <f>'Normalized Import'!L65</f>
        <v/>
      </c>
      <c r="N66" s="405" t="str">
        <f>'Normalized Import'!M65</f>
        <v/>
      </c>
      <c r="O66" s="405" t="str">
        <f>'Normalized Import'!N65</f>
        <v/>
      </c>
      <c r="P66" s="405" t="str">
        <f>'Normalized Import'!O65</f>
        <v/>
      </c>
      <c r="Q66" s="405" t="str">
        <f>'Normalized Import'!P65</f>
        <v/>
      </c>
    </row>
    <row r="67">
      <c r="A67" s="379" t="str">
        <f>'Normalized Import'!A66</f>
        <v/>
      </c>
      <c r="B67" s="402" t="str">
        <f>'Normalized Import'!B66</f>
        <v/>
      </c>
      <c r="C67" s="403" t="str">
        <f>'Normalized Import'!C66</f>
        <v/>
      </c>
      <c r="D67" s="404"/>
      <c r="E67" s="409"/>
      <c r="F67" s="405" t="str">
        <f>'Normalized Import'!E66</f>
        <v/>
      </c>
      <c r="G67" s="405" t="str">
        <f>'Normalized Import'!F66</f>
        <v/>
      </c>
      <c r="H67" s="405" t="str">
        <f>'Normalized Import'!G66</f>
        <v/>
      </c>
      <c r="I67" s="405" t="str">
        <f>'Normalized Import'!H66</f>
        <v/>
      </c>
      <c r="J67" s="405" t="str">
        <f>'Normalized Import'!I66</f>
        <v/>
      </c>
      <c r="K67" s="405" t="str">
        <f>'Normalized Import'!J66</f>
        <v/>
      </c>
      <c r="L67" s="405" t="str">
        <f>'Normalized Import'!K66</f>
        <v/>
      </c>
      <c r="M67" s="405" t="str">
        <f>'Normalized Import'!L66</f>
        <v/>
      </c>
      <c r="N67" s="405" t="str">
        <f>'Normalized Import'!M66</f>
        <v/>
      </c>
      <c r="O67" s="405" t="str">
        <f>'Normalized Import'!N66</f>
        <v/>
      </c>
      <c r="P67" s="405" t="str">
        <f>'Normalized Import'!O66</f>
        <v/>
      </c>
      <c r="Q67" s="405" t="str">
        <f>'Normalized Import'!P66</f>
        <v/>
      </c>
    </row>
    <row r="68">
      <c r="A68" s="379" t="str">
        <f>'Normalized Import'!A67</f>
        <v/>
      </c>
      <c r="B68" s="402" t="str">
        <f>'Normalized Import'!B67</f>
        <v/>
      </c>
      <c r="C68" s="403" t="str">
        <f>'Normalized Import'!C67</f>
        <v/>
      </c>
      <c r="D68" s="404"/>
      <c r="E68" s="409"/>
      <c r="F68" s="405" t="str">
        <f>'Normalized Import'!E67</f>
        <v/>
      </c>
      <c r="G68" s="405" t="str">
        <f>'Normalized Import'!F67</f>
        <v/>
      </c>
      <c r="H68" s="405" t="str">
        <f>'Normalized Import'!G67</f>
        <v/>
      </c>
      <c r="I68" s="405" t="str">
        <f>'Normalized Import'!H67</f>
        <v/>
      </c>
      <c r="J68" s="405" t="str">
        <f>'Normalized Import'!I67</f>
        <v/>
      </c>
      <c r="K68" s="405" t="str">
        <f>'Normalized Import'!J67</f>
        <v/>
      </c>
      <c r="L68" s="405" t="str">
        <f>'Normalized Import'!K67</f>
        <v/>
      </c>
      <c r="M68" s="405" t="str">
        <f>'Normalized Import'!L67</f>
        <v/>
      </c>
      <c r="N68" s="405" t="str">
        <f>'Normalized Import'!M67</f>
        <v/>
      </c>
      <c r="O68" s="405" t="str">
        <f>'Normalized Import'!N67</f>
        <v/>
      </c>
      <c r="P68" s="405" t="str">
        <f>'Normalized Import'!O67</f>
        <v/>
      </c>
      <c r="Q68" s="405" t="str">
        <f>'Normalized Import'!P67</f>
        <v/>
      </c>
    </row>
    <row r="69">
      <c r="A69" s="379" t="str">
        <f>'Normalized Import'!A68</f>
        <v/>
      </c>
      <c r="B69" s="402" t="str">
        <f>'Normalized Import'!B68</f>
        <v/>
      </c>
      <c r="C69" s="403" t="str">
        <f>'Normalized Import'!C68</f>
        <v/>
      </c>
      <c r="D69" s="404"/>
      <c r="E69" s="409"/>
      <c r="F69" s="405" t="str">
        <f>'Normalized Import'!E68</f>
        <v/>
      </c>
      <c r="G69" s="405" t="str">
        <f>'Normalized Import'!F68</f>
        <v/>
      </c>
      <c r="H69" s="405" t="str">
        <f>'Normalized Import'!G68</f>
        <v/>
      </c>
      <c r="I69" s="405" t="str">
        <f>'Normalized Import'!H68</f>
        <v/>
      </c>
      <c r="J69" s="405" t="str">
        <f>'Normalized Import'!I68</f>
        <v/>
      </c>
      <c r="K69" s="405" t="str">
        <f>'Normalized Import'!J68</f>
        <v/>
      </c>
      <c r="L69" s="405" t="str">
        <f>'Normalized Import'!K68</f>
        <v/>
      </c>
      <c r="M69" s="405" t="str">
        <f>'Normalized Import'!L68</f>
        <v/>
      </c>
      <c r="N69" s="405" t="str">
        <f>'Normalized Import'!M68</f>
        <v/>
      </c>
      <c r="O69" s="405" t="str">
        <f>'Normalized Import'!N68</f>
        <v/>
      </c>
      <c r="P69" s="405" t="str">
        <f>'Normalized Import'!O68</f>
        <v/>
      </c>
      <c r="Q69" s="405" t="str">
        <f>'Normalized Import'!P68</f>
        <v/>
      </c>
    </row>
    <row r="70">
      <c r="A70" s="379" t="str">
        <f>'Normalized Import'!A69</f>
        <v/>
      </c>
      <c r="B70" s="402" t="str">
        <f>'Normalized Import'!B69</f>
        <v/>
      </c>
      <c r="C70" s="403" t="str">
        <f>'Normalized Import'!C69</f>
        <v/>
      </c>
      <c r="D70" s="404"/>
      <c r="E70" s="409"/>
      <c r="F70" s="405" t="str">
        <f>'Normalized Import'!E69</f>
        <v/>
      </c>
      <c r="G70" s="405" t="str">
        <f>'Normalized Import'!F69</f>
        <v/>
      </c>
      <c r="H70" s="405" t="str">
        <f>'Normalized Import'!G69</f>
        <v/>
      </c>
      <c r="I70" s="405" t="str">
        <f>'Normalized Import'!H69</f>
        <v/>
      </c>
      <c r="J70" s="405" t="str">
        <f>'Normalized Import'!I69</f>
        <v/>
      </c>
      <c r="K70" s="405" t="str">
        <f>'Normalized Import'!J69</f>
        <v/>
      </c>
      <c r="L70" s="405" t="str">
        <f>'Normalized Import'!K69</f>
        <v/>
      </c>
      <c r="M70" s="405" t="str">
        <f>'Normalized Import'!L69</f>
        <v/>
      </c>
      <c r="N70" s="405" t="str">
        <f>'Normalized Import'!M69</f>
        <v/>
      </c>
      <c r="O70" s="405" t="str">
        <f>'Normalized Import'!N69</f>
        <v/>
      </c>
      <c r="P70" s="405" t="str">
        <f>'Normalized Import'!O69</f>
        <v/>
      </c>
      <c r="Q70" s="405" t="str">
        <f>'Normalized Import'!P69</f>
        <v/>
      </c>
    </row>
    <row r="71">
      <c r="A71" s="379" t="str">
        <f>'Normalized Import'!A70</f>
        <v/>
      </c>
      <c r="B71" s="402" t="str">
        <f>'Normalized Import'!B70</f>
        <v/>
      </c>
      <c r="C71" s="403" t="str">
        <f>'Normalized Import'!C70</f>
        <v/>
      </c>
      <c r="D71" s="404"/>
      <c r="E71" s="409"/>
      <c r="F71" s="405" t="str">
        <f>'Normalized Import'!E70</f>
        <v/>
      </c>
      <c r="G71" s="405" t="str">
        <f>'Normalized Import'!F70</f>
        <v/>
      </c>
      <c r="H71" s="405" t="str">
        <f>'Normalized Import'!G70</f>
        <v/>
      </c>
      <c r="I71" s="405" t="str">
        <f>'Normalized Import'!H70</f>
        <v/>
      </c>
      <c r="J71" s="405" t="str">
        <f>'Normalized Import'!I70</f>
        <v/>
      </c>
      <c r="K71" s="405" t="str">
        <f>'Normalized Import'!J70</f>
        <v/>
      </c>
      <c r="L71" s="405" t="str">
        <f>'Normalized Import'!K70</f>
        <v/>
      </c>
      <c r="M71" s="405" t="str">
        <f>'Normalized Import'!L70</f>
        <v/>
      </c>
      <c r="N71" s="405" t="str">
        <f>'Normalized Import'!M70</f>
        <v/>
      </c>
      <c r="O71" s="405" t="str">
        <f>'Normalized Import'!N70</f>
        <v/>
      </c>
      <c r="P71" s="405" t="str">
        <f>'Normalized Import'!O70</f>
        <v/>
      </c>
      <c r="Q71" s="405" t="str">
        <f>'Normalized Import'!P70</f>
        <v/>
      </c>
    </row>
    <row r="72">
      <c r="A72" s="379" t="str">
        <f>'Normalized Import'!A71</f>
        <v/>
      </c>
      <c r="B72" s="402" t="str">
        <f>'Normalized Import'!B71</f>
        <v/>
      </c>
      <c r="C72" s="403" t="str">
        <f>'Normalized Import'!C71</f>
        <v/>
      </c>
      <c r="D72" s="404"/>
      <c r="E72" s="409"/>
      <c r="F72" s="405" t="str">
        <f>'Normalized Import'!E71</f>
        <v/>
      </c>
      <c r="G72" s="405" t="str">
        <f>'Normalized Import'!F71</f>
        <v/>
      </c>
      <c r="H72" s="405" t="str">
        <f>'Normalized Import'!G71</f>
        <v/>
      </c>
      <c r="I72" s="405" t="str">
        <f>'Normalized Import'!H71</f>
        <v/>
      </c>
      <c r="J72" s="405" t="str">
        <f>'Normalized Import'!I71</f>
        <v/>
      </c>
      <c r="K72" s="405" t="str">
        <f>'Normalized Import'!J71</f>
        <v/>
      </c>
      <c r="L72" s="405" t="str">
        <f>'Normalized Import'!K71</f>
        <v/>
      </c>
      <c r="M72" s="405" t="str">
        <f>'Normalized Import'!L71</f>
        <v/>
      </c>
      <c r="N72" s="405" t="str">
        <f>'Normalized Import'!M71</f>
        <v/>
      </c>
      <c r="O72" s="405" t="str">
        <f>'Normalized Import'!N71</f>
        <v/>
      </c>
      <c r="P72" s="405" t="str">
        <f>'Normalized Import'!O71</f>
        <v/>
      </c>
      <c r="Q72" s="405" t="str">
        <f>'Normalized Import'!P71</f>
        <v/>
      </c>
    </row>
    <row r="73">
      <c r="A73" s="379" t="str">
        <f>'Normalized Import'!A72</f>
        <v/>
      </c>
      <c r="B73" s="402" t="str">
        <f>'Normalized Import'!B72</f>
        <v/>
      </c>
      <c r="C73" s="403" t="str">
        <f>'Normalized Import'!C72</f>
        <v/>
      </c>
      <c r="D73" s="404"/>
      <c r="E73" s="409"/>
      <c r="F73" s="405" t="str">
        <f>'Normalized Import'!E72</f>
        <v/>
      </c>
      <c r="G73" s="405" t="str">
        <f>'Normalized Import'!F72</f>
        <v/>
      </c>
      <c r="H73" s="405" t="str">
        <f>'Normalized Import'!G72</f>
        <v/>
      </c>
      <c r="I73" s="405" t="str">
        <f>'Normalized Import'!H72</f>
        <v/>
      </c>
      <c r="J73" s="405" t="str">
        <f>'Normalized Import'!I72</f>
        <v/>
      </c>
      <c r="K73" s="405" t="str">
        <f>'Normalized Import'!J72</f>
        <v/>
      </c>
      <c r="L73" s="405" t="str">
        <f>'Normalized Import'!K72</f>
        <v/>
      </c>
      <c r="M73" s="405" t="str">
        <f>'Normalized Import'!L72</f>
        <v/>
      </c>
      <c r="N73" s="405" t="str">
        <f>'Normalized Import'!M72</f>
        <v/>
      </c>
      <c r="O73" s="405" t="str">
        <f>'Normalized Import'!N72</f>
        <v/>
      </c>
      <c r="P73" s="405" t="str">
        <f>'Normalized Import'!O72</f>
        <v/>
      </c>
      <c r="Q73" s="405" t="str">
        <f>'Normalized Import'!P72</f>
        <v/>
      </c>
    </row>
    <row r="74">
      <c r="A74" s="379" t="str">
        <f>'Normalized Import'!A73</f>
        <v/>
      </c>
      <c r="B74" s="402" t="str">
        <f>'Normalized Import'!B73</f>
        <v/>
      </c>
      <c r="C74" s="403" t="str">
        <f>'Normalized Import'!C73</f>
        <v/>
      </c>
      <c r="D74" s="404"/>
      <c r="E74" s="409"/>
      <c r="F74" s="405" t="str">
        <f>'Normalized Import'!E73</f>
        <v/>
      </c>
      <c r="G74" s="405" t="str">
        <f>'Normalized Import'!F73</f>
        <v/>
      </c>
      <c r="H74" s="405" t="str">
        <f>'Normalized Import'!G73</f>
        <v/>
      </c>
      <c r="I74" s="405" t="str">
        <f>'Normalized Import'!H73</f>
        <v/>
      </c>
      <c r="J74" s="405" t="str">
        <f>'Normalized Import'!I73</f>
        <v/>
      </c>
      <c r="K74" s="405" t="str">
        <f>'Normalized Import'!J73</f>
        <v/>
      </c>
      <c r="L74" s="405" t="str">
        <f>'Normalized Import'!K73</f>
        <v/>
      </c>
      <c r="M74" s="405" t="str">
        <f>'Normalized Import'!L73</f>
        <v/>
      </c>
      <c r="N74" s="405" t="str">
        <f>'Normalized Import'!M73</f>
        <v/>
      </c>
      <c r="O74" s="405" t="str">
        <f>'Normalized Import'!N73</f>
        <v/>
      </c>
      <c r="P74" s="405" t="str">
        <f>'Normalized Import'!O73</f>
        <v/>
      </c>
      <c r="Q74" s="405" t="str">
        <f>'Normalized Import'!P73</f>
        <v/>
      </c>
    </row>
    <row r="75">
      <c r="A75" s="379" t="str">
        <f>'Normalized Import'!A74</f>
        <v/>
      </c>
      <c r="B75" s="402" t="str">
        <f>'Normalized Import'!B74</f>
        <v/>
      </c>
      <c r="C75" s="403" t="str">
        <f>'Normalized Import'!C74</f>
        <v/>
      </c>
      <c r="D75" s="404"/>
      <c r="E75" s="409"/>
      <c r="F75" s="405" t="str">
        <f>'Normalized Import'!E74</f>
        <v/>
      </c>
      <c r="G75" s="405" t="str">
        <f>'Normalized Import'!F74</f>
        <v/>
      </c>
      <c r="H75" s="405" t="str">
        <f>'Normalized Import'!G74</f>
        <v/>
      </c>
      <c r="I75" s="405" t="str">
        <f>'Normalized Import'!H74</f>
        <v/>
      </c>
      <c r="J75" s="405" t="str">
        <f>'Normalized Import'!I74</f>
        <v/>
      </c>
      <c r="K75" s="405" t="str">
        <f>'Normalized Import'!J74</f>
        <v/>
      </c>
      <c r="L75" s="405" t="str">
        <f>'Normalized Import'!K74</f>
        <v/>
      </c>
      <c r="M75" s="405" t="str">
        <f>'Normalized Import'!L74</f>
        <v/>
      </c>
      <c r="N75" s="405" t="str">
        <f>'Normalized Import'!M74</f>
        <v/>
      </c>
      <c r="O75" s="405" t="str">
        <f>'Normalized Import'!N74</f>
        <v/>
      </c>
      <c r="P75" s="405" t="str">
        <f>'Normalized Import'!O74</f>
        <v/>
      </c>
      <c r="Q75" s="405" t="str">
        <f>'Normalized Import'!P74</f>
        <v/>
      </c>
    </row>
    <row r="76">
      <c r="A76" s="379" t="str">
        <f>'Normalized Import'!A75</f>
        <v/>
      </c>
      <c r="B76" s="402" t="str">
        <f>'Normalized Import'!B75</f>
        <v/>
      </c>
      <c r="C76" s="403" t="str">
        <f>'Normalized Import'!C75</f>
        <v/>
      </c>
      <c r="D76" s="404"/>
      <c r="E76" s="409"/>
      <c r="F76" s="405" t="str">
        <f>'Normalized Import'!E75</f>
        <v/>
      </c>
      <c r="G76" s="405" t="str">
        <f>'Normalized Import'!F75</f>
        <v/>
      </c>
      <c r="H76" s="405" t="str">
        <f>'Normalized Import'!G75</f>
        <v/>
      </c>
      <c r="I76" s="405" t="str">
        <f>'Normalized Import'!H75</f>
        <v/>
      </c>
      <c r="J76" s="405" t="str">
        <f>'Normalized Import'!I75</f>
        <v/>
      </c>
      <c r="K76" s="405" t="str">
        <f>'Normalized Import'!J75</f>
        <v/>
      </c>
      <c r="L76" s="405" t="str">
        <f>'Normalized Import'!K75</f>
        <v/>
      </c>
      <c r="M76" s="405" t="str">
        <f>'Normalized Import'!L75</f>
        <v/>
      </c>
      <c r="N76" s="405" t="str">
        <f>'Normalized Import'!M75</f>
        <v/>
      </c>
      <c r="O76" s="405" t="str">
        <f>'Normalized Import'!N75</f>
        <v/>
      </c>
      <c r="P76" s="405" t="str">
        <f>'Normalized Import'!O75</f>
        <v/>
      </c>
      <c r="Q76" s="405" t="str">
        <f>'Normalized Import'!P75</f>
        <v/>
      </c>
    </row>
    <row r="77">
      <c r="A77" s="379" t="str">
        <f>'Normalized Import'!A76</f>
        <v/>
      </c>
      <c r="B77" s="402" t="str">
        <f>'Normalized Import'!B76</f>
        <v/>
      </c>
      <c r="C77" s="403" t="str">
        <f>'Normalized Import'!C76</f>
        <v/>
      </c>
      <c r="D77" s="404"/>
      <c r="E77" s="409"/>
      <c r="F77" s="405" t="str">
        <f>'Normalized Import'!E76</f>
        <v/>
      </c>
      <c r="G77" s="405" t="str">
        <f>'Normalized Import'!F76</f>
        <v/>
      </c>
      <c r="H77" s="405" t="str">
        <f>'Normalized Import'!G76</f>
        <v/>
      </c>
      <c r="I77" s="405" t="str">
        <f>'Normalized Import'!H76</f>
        <v/>
      </c>
      <c r="J77" s="405" t="str">
        <f>'Normalized Import'!I76</f>
        <v/>
      </c>
      <c r="K77" s="405" t="str">
        <f>'Normalized Import'!J76</f>
        <v/>
      </c>
      <c r="L77" s="405" t="str">
        <f>'Normalized Import'!K76</f>
        <v/>
      </c>
      <c r="M77" s="405" t="str">
        <f>'Normalized Import'!L76</f>
        <v/>
      </c>
      <c r="N77" s="405" t="str">
        <f>'Normalized Import'!M76</f>
        <v/>
      </c>
      <c r="O77" s="405" t="str">
        <f>'Normalized Import'!N76</f>
        <v/>
      </c>
      <c r="P77" s="405" t="str">
        <f>'Normalized Import'!O76</f>
        <v/>
      </c>
      <c r="Q77" s="405" t="str">
        <f>'Normalized Import'!P76</f>
        <v/>
      </c>
    </row>
    <row r="78">
      <c r="A78" s="379" t="str">
        <f>'Normalized Import'!A77</f>
        <v/>
      </c>
      <c r="B78" s="402" t="str">
        <f>'Normalized Import'!B77</f>
        <v/>
      </c>
      <c r="C78" s="403" t="str">
        <f>'Normalized Import'!C77</f>
        <v/>
      </c>
      <c r="D78" s="404"/>
      <c r="E78" s="409"/>
      <c r="F78" s="405" t="str">
        <f>'Normalized Import'!E77</f>
        <v/>
      </c>
      <c r="G78" s="405" t="str">
        <f>'Normalized Import'!F77</f>
        <v/>
      </c>
      <c r="H78" s="405" t="str">
        <f>'Normalized Import'!G77</f>
        <v/>
      </c>
      <c r="I78" s="405" t="str">
        <f>'Normalized Import'!H77</f>
        <v/>
      </c>
      <c r="J78" s="405" t="str">
        <f>'Normalized Import'!I77</f>
        <v/>
      </c>
      <c r="K78" s="405" t="str">
        <f>'Normalized Import'!J77</f>
        <v/>
      </c>
      <c r="L78" s="405" t="str">
        <f>'Normalized Import'!K77</f>
        <v/>
      </c>
      <c r="M78" s="405" t="str">
        <f>'Normalized Import'!L77</f>
        <v/>
      </c>
      <c r="N78" s="405" t="str">
        <f>'Normalized Import'!M77</f>
        <v/>
      </c>
      <c r="O78" s="405" t="str">
        <f>'Normalized Import'!N77</f>
        <v/>
      </c>
      <c r="P78" s="405" t="str">
        <f>'Normalized Import'!O77</f>
        <v/>
      </c>
      <c r="Q78" s="405" t="str">
        <f>'Normalized Import'!P77</f>
        <v/>
      </c>
    </row>
    <row r="79">
      <c r="A79" s="379" t="str">
        <f>'Normalized Import'!A78</f>
        <v/>
      </c>
      <c r="B79" s="402" t="str">
        <f>'Normalized Import'!B78</f>
        <v/>
      </c>
      <c r="C79" s="403" t="str">
        <f>'Normalized Import'!C78</f>
        <v/>
      </c>
      <c r="D79" s="404"/>
      <c r="E79" s="409"/>
      <c r="F79" s="405" t="str">
        <f>'Normalized Import'!E78</f>
        <v/>
      </c>
      <c r="G79" s="405" t="str">
        <f>'Normalized Import'!F78</f>
        <v/>
      </c>
      <c r="H79" s="405" t="str">
        <f>'Normalized Import'!G78</f>
        <v/>
      </c>
      <c r="I79" s="405" t="str">
        <f>'Normalized Import'!H78</f>
        <v/>
      </c>
      <c r="J79" s="405" t="str">
        <f>'Normalized Import'!I78</f>
        <v/>
      </c>
      <c r="K79" s="405" t="str">
        <f>'Normalized Import'!J78</f>
        <v/>
      </c>
      <c r="L79" s="405" t="str">
        <f>'Normalized Import'!K78</f>
        <v/>
      </c>
      <c r="M79" s="405" t="str">
        <f>'Normalized Import'!L78</f>
        <v/>
      </c>
      <c r="N79" s="405" t="str">
        <f>'Normalized Import'!M78</f>
        <v/>
      </c>
      <c r="O79" s="405" t="str">
        <f>'Normalized Import'!N78</f>
        <v/>
      </c>
      <c r="P79" s="405" t="str">
        <f>'Normalized Import'!O78</f>
        <v/>
      </c>
      <c r="Q79" s="405" t="str">
        <f>'Normalized Import'!P78</f>
        <v/>
      </c>
    </row>
    <row r="80">
      <c r="A80" s="379" t="str">
        <f>'Normalized Import'!A79</f>
        <v/>
      </c>
      <c r="B80" s="402" t="str">
        <f>'Normalized Import'!B79</f>
        <v/>
      </c>
      <c r="C80" s="403" t="str">
        <f>'Normalized Import'!C79</f>
        <v/>
      </c>
      <c r="D80" s="404"/>
      <c r="E80" s="409"/>
      <c r="F80" s="405" t="str">
        <f>'Normalized Import'!E79</f>
        <v/>
      </c>
      <c r="G80" s="405" t="str">
        <f>'Normalized Import'!F79</f>
        <v/>
      </c>
      <c r="H80" s="405" t="str">
        <f>'Normalized Import'!G79</f>
        <v/>
      </c>
      <c r="I80" s="405" t="str">
        <f>'Normalized Import'!H79</f>
        <v/>
      </c>
      <c r="J80" s="405" t="str">
        <f>'Normalized Import'!I79</f>
        <v/>
      </c>
      <c r="K80" s="405" t="str">
        <f>'Normalized Import'!J79</f>
        <v/>
      </c>
      <c r="L80" s="405" t="str">
        <f>'Normalized Import'!K79</f>
        <v/>
      </c>
      <c r="M80" s="405" t="str">
        <f>'Normalized Import'!L79</f>
        <v/>
      </c>
      <c r="N80" s="405" t="str">
        <f>'Normalized Import'!M79</f>
        <v/>
      </c>
      <c r="O80" s="405" t="str">
        <f>'Normalized Import'!N79</f>
        <v/>
      </c>
      <c r="P80" s="405" t="str">
        <f>'Normalized Import'!O79</f>
        <v/>
      </c>
      <c r="Q80" s="405" t="str">
        <f>'Normalized Import'!P79</f>
        <v/>
      </c>
    </row>
    <row r="81">
      <c r="A81" s="379" t="str">
        <f>'Normalized Import'!A80</f>
        <v/>
      </c>
      <c r="B81" s="402" t="str">
        <f>'Normalized Import'!B80</f>
        <v/>
      </c>
      <c r="C81" s="403" t="str">
        <f>'Normalized Import'!C80</f>
        <v/>
      </c>
      <c r="D81" s="404"/>
      <c r="E81" s="409"/>
      <c r="F81" s="405" t="str">
        <f>'Normalized Import'!E80</f>
        <v/>
      </c>
      <c r="G81" s="405" t="str">
        <f>'Normalized Import'!F80</f>
        <v/>
      </c>
      <c r="H81" s="405" t="str">
        <f>'Normalized Import'!G80</f>
        <v/>
      </c>
      <c r="I81" s="405" t="str">
        <f>'Normalized Import'!H80</f>
        <v/>
      </c>
      <c r="J81" s="405" t="str">
        <f>'Normalized Import'!I80</f>
        <v/>
      </c>
      <c r="K81" s="405" t="str">
        <f>'Normalized Import'!J80</f>
        <v/>
      </c>
      <c r="L81" s="405" t="str">
        <f>'Normalized Import'!K80</f>
        <v/>
      </c>
      <c r="M81" s="405" t="str">
        <f>'Normalized Import'!L80</f>
        <v/>
      </c>
      <c r="N81" s="405" t="str">
        <f>'Normalized Import'!M80</f>
        <v/>
      </c>
      <c r="O81" s="405" t="str">
        <f>'Normalized Import'!N80</f>
        <v/>
      </c>
      <c r="P81" s="405" t="str">
        <f>'Normalized Import'!O80</f>
        <v/>
      </c>
      <c r="Q81" s="405" t="str">
        <f>'Normalized Import'!P80</f>
        <v/>
      </c>
    </row>
    <row r="82">
      <c r="A82" s="379" t="str">
        <f>'Normalized Import'!A81</f>
        <v/>
      </c>
      <c r="B82" s="402" t="str">
        <f>'Normalized Import'!B81</f>
        <v/>
      </c>
      <c r="C82" s="403" t="str">
        <f>'Normalized Import'!C81</f>
        <v/>
      </c>
      <c r="D82" s="404"/>
      <c r="E82" s="409"/>
      <c r="F82" s="405" t="str">
        <f>'Normalized Import'!E81</f>
        <v/>
      </c>
      <c r="G82" s="405" t="str">
        <f>'Normalized Import'!F81</f>
        <v/>
      </c>
      <c r="H82" s="405" t="str">
        <f>'Normalized Import'!G81</f>
        <v/>
      </c>
      <c r="I82" s="405" t="str">
        <f>'Normalized Import'!H81</f>
        <v/>
      </c>
      <c r="J82" s="405" t="str">
        <f>'Normalized Import'!I81</f>
        <v/>
      </c>
      <c r="K82" s="405" t="str">
        <f>'Normalized Import'!J81</f>
        <v/>
      </c>
      <c r="L82" s="405" t="str">
        <f>'Normalized Import'!K81</f>
        <v/>
      </c>
      <c r="M82" s="405" t="str">
        <f>'Normalized Import'!L81</f>
        <v/>
      </c>
      <c r="N82" s="405" t="str">
        <f>'Normalized Import'!M81</f>
        <v/>
      </c>
      <c r="O82" s="405" t="str">
        <f>'Normalized Import'!N81</f>
        <v/>
      </c>
      <c r="P82" s="405" t="str">
        <f>'Normalized Import'!O81</f>
        <v/>
      </c>
      <c r="Q82" s="405" t="str">
        <f>'Normalized Import'!P81</f>
        <v/>
      </c>
    </row>
    <row r="83">
      <c r="A83" s="379" t="str">
        <f>'Normalized Import'!A82</f>
        <v/>
      </c>
      <c r="B83" s="402" t="str">
        <f>'Normalized Import'!B82</f>
        <v/>
      </c>
      <c r="C83" s="403" t="str">
        <f>'Normalized Import'!C82</f>
        <v/>
      </c>
      <c r="D83" s="404"/>
      <c r="E83" s="409"/>
      <c r="F83" s="405" t="str">
        <f>'Normalized Import'!E82</f>
        <v/>
      </c>
      <c r="G83" s="405" t="str">
        <f>'Normalized Import'!F82</f>
        <v/>
      </c>
      <c r="H83" s="405" t="str">
        <f>'Normalized Import'!G82</f>
        <v/>
      </c>
      <c r="I83" s="405" t="str">
        <f>'Normalized Import'!H82</f>
        <v/>
      </c>
      <c r="J83" s="405" t="str">
        <f>'Normalized Import'!I82</f>
        <v/>
      </c>
      <c r="K83" s="405" t="str">
        <f>'Normalized Import'!J82</f>
        <v/>
      </c>
      <c r="L83" s="405" t="str">
        <f>'Normalized Import'!K82</f>
        <v/>
      </c>
      <c r="M83" s="405" t="str">
        <f>'Normalized Import'!L82</f>
        <v/>
      </c>
      <c r="N83" s="405" t="str">
        <f>'Normalized Import'!M82</f>
        <v/>
      </c>
      <c r="O83" s="405" t="str">
        <f>'Normalized Import'!N82</f>
        <v/>
      </c>
      <c r="P83" s="405" t="str">
        <f>'Normalized Import'!O82</f>
        <v/>
      </c>
      <c r="Q83" s="405" t="str">
        <f>'Normalized Import'!P82</f>
        <v/>
      </c>
    </row>
    <row r="84">
      <c r="A84" s="379" t="str">
        <f>'Normalized Import'!A83</f>
        <v/>
      </c>
      <c r="B84" s="402" t="str">
        <f>'Normalized Import'!B83</f>
        <v/>
      </c>
      <c r="C84" s="403" t="str">
        <f>'Normalized Import'!C83</f>
        <v/>
      </c>
      <c r="D84" s="404"/>
      <c r="E84" s="409"/>
      <c r="F84" s="405" t="str">
        <f>'Normalized Import'!E83</f>
        <v/>
      </c>
      <c r="G84" s="405" t="str">
        <f>'Normalized Import'!F83</f>
        <v/>
      </c>
      <c r="H84" s="405" t="str">
        <f>'Normalized Import'!G83</f>
        <v/>
      </c>
      <c r="I84" s="405" t="str">
        <f>'Normalized Import'!H83</f>
        <v/>
      </c>
      <c r="J84" s="405" t="str">
        <f>'Normalized Import'!I83</f>
        <v/>
      </c>
      <c r="K84" s="405" t="str">
        <f>'Normalized Import'!J83</f>
        <v/>
      </c>
      <c r="L84" s="405" t="str">
        <f>'Normalized Import'!K83</f>
        <v/>
      </c>
      <c r="M84" s="405" t="str">
        <f>'Normalized Import'!L83</f>
        <v/>
      </c>
      <c r="N84" s="405" t="str">
        <f>'Normalized Import'!M83</f>
        <v/>
      </c>
      <c r="O84" s="405" t="str">
        <f>'Normalized Import'!N83</f>
        <v/>
      </c>
      <c r="P84" s="405" t="str">
        <f>'Normalized Import'!O83</f>
        <v/>
      </c>
      <c r="Q84" s="405" t="str">
        <f>'Normalized Import'!P83</f>
        <v/>
      </c>
    </row>
    <row r="85">
      <c r="A85" s="379" t="str">
        <f>'Normalized Import'!A84</f>
        <v/>
      </c>
      <c r="B85" s="402" t="str">
        <f>'Normalized Import'!B84</f>
        <v/>
      </c>
      <c r="C85" s="403" t="str">
        <f>'Normalized Import'!C84</f>
        <v/>
      </c>
      <c r="D85" s="404"/>
      <c r="E85" s="409"/>
      <c r="F85" s="405" t="str">
        <f>'Normalized Import'!E84</f>
        <v/>
      </c>
      <c r="G85" s="405" t="str">
        <f>'Normalized Import'!F84</f>
        <v/>
      </c>
      <c r="H85" s="405" t="str">
        <f>'Normalized Import'!G84</f>
        <v/>
      </c>
      <c r="I85" s="405" t="str">
        <f>'Normalized Import'!H84</f>
        <v/>
      </c>
      <c r="J85" s="405" t="str">
        <f>'Normalized Import'!I84</f>
        <v/>
      </c>
      <c r="K85" s="405" t="str">
        <f>'Normalized Import'!J84</f>
        <v/>
      </c>
      <c r="L85" s="405" t="str">
        <f>'Normalized Import'!K84</f>
        <v/>
      </c>
      <c r="M85" s="405" t="str">
        <f>'Normalized Import'!L84</f>
        <v/>
      </c>
      <c r="N85" s="405" t="str">
        <f>'Normalized Import'!M84</f>
        <v/>
      </c>
      <c r="O85" s="405" t="str">
        <f>'Normalized Import'!N84</f>
        <v/>
      </c>
      <c r="P85" s="405" t="str">
        <f>'Normalized Import'!O84</f>
        <v/>
      </c>
      <c r="Q85" s="405" t="str">
        <f>'Normalized Import'!P84</f>
        <v/>
      </c>
    </row>
    <row r="86">
      <c r="A86" s="379" t="str">
        <f>'Normalized Import'!A85</f>
        <v/>
      </c>
      <c r="B86" s="402" t="str">
        <f>'Normalized Import'!B85</f>
        <v/>
      </c>
      <c r="C86" s="403" t="str">
        <f>'Normalized Import'!C85</f>
        <v/>
      </c>
      <c r="D86" s="404"/>
      <c r="E86" s="409"/>
      <c r="F86" s="405" t="str">
        <f>'Normalized Import'!E85</f>
        <v/>
      </c>
      <c r="G86" s="405" t="str">
        <f>'Normalized Import'!F85</f>
        <v/>
      </c>
      <c r="H86" s="405" t="str">
        <f>'Normalized Import'!G85</f>
        <v/>
      </c>
      <c r="I86" s="405" t="str">
        <f>'Normalized Import'!H85</f>
        <v/>
      </c>
      <c r="J86" s="405" t="str">
        <f>'Normalized Import'!I85</f>
        <v/>
      </c>
      <c r="K86" s="405" t="str">
        <f>'Normalized Import'!J85</f>
        <v/>
      </c>
      <c r="L86" s="405" t="str">
        <f>'Normalized Import'!K85</f>
        <v/>
      </c>
      <c r="M86" s="405" t="str">
        <f>'Normalized Import'!L85</f>
        <v/>
      </c>
      <c r="N86" s="405" t="str">
        <f>'Normalized Import'!M85</f>
        <v/>
      </c>
      <c r="O86" s="405" t="str">
        <f>'Normalized Import'!N85</f>
        <v/>
      </c>
      <c r="P86" s="405" t="str">
        <f>'Normalized Import'!O85</f>
        <v/>
      </c>
      <c r="Q86" s="405" t="str">
        <f>'Normalized Import'!P85</f>
        <v/>
      </c>
    </row>
    <row r="87">
      <c r="A87" s="379" t="str">
        <f>'Normalized Import'!A86</f>
        <v/>
      </c>
      <c r="B87" s="402" t="str">
        <f>'Normalized Import'!B86</f>
        <v/>
      </c>
      <c r="C87" s="403" t="str">
        <f>'Normalized Import'!C86</f>
        <v/>
      </c>
      <c r="D87" s="404"/>
      <c r="E87" s="409"/>
      <c r="F87" s="405" t="str">
        <f>'Normalized Import'!E86</f>
        <v/>
      </c>
      <c r="G87" s="405" t="str">
        <f>'Normalized Import'!F86</f>
        <v/>
      </c>
      <c r="H87" s="405" t="str">
        <f>'Normalized Import'!G86</f>
        <v/>
      </c>
      <c r="I87" s="405" t="str">
        <f>'Normalized Import'!H86</f>
        <v/>
      </c>
      <c r="J87" s="405" t="str">
        <f>'Normalized Import'!I86</f>
        <v/>
      </c>
      <c r="K87" s="405" t="str">
        <f>'Normalized Import'!J86</f>
        <v/>
      </c>
      <c r="L87" s="405" t="str">
        <f>'Normalized Import'!K86</f>
        <v/>
      </c>
      <c r="M87" s="405" t="str">
        <f>'Normalized Import'!L86</f>
        <v/>
      </c>
      <c r="N87" s="405" t="str">
        <f>'Normalized Import'!M86</f>
        <v/>
      </c>
      <c r="O87" s="405" t="str">
        <f>'Normalized Import'!N86</f>
        <v/>
      </c>
      <c r="P87" s="405" t="str">
        <f>'Normalized Import'!O86</f>
        <v/>
      </c>
      <c r="Q87" s="405" t="str">
        <f>'Normalized Import'!P86</f>
        <v/>
      </c>
    </row>
    <row r="88">
      <c r="A88" s="379" t="str">
        <f>'Normalized Import'!A87</f>
        <v/>
      </c>
      <c r="B88" s="402" t="str">
        <f>'Normalized Import'!B87</f>
        <v/>
      </c>
      <c r="C88" s="403" t="str">
        <f>'Normalized Import'!C87</f>
        <v/>
      </c>
      <c r="D88" s="404"/>
      <c r="E88" s="409"/>
      <c r="F88" s="405" t="str">
        <f>'Normalized Import'!E87</f>
        <v/>
      </c>
      <c r="G88" s="405" t="str">
        <f>'Normalized Import'!F87</f>
        <v/>
      </c>
      <c r="H88" s="405" t="str">
        <f>'Normalized Import'!G87</f>
        <v/>
      </c>
      <c r="I88" s="405" t="str">
        <f>'Normalized Import'!H87</f>
        <v/>
      </c>
      <c r="J88" s="405" t="str">
        <f>'Normalized Import'!I87</f>
        <v/>
      </c>
      <c r="K88" s="405" t="str">
        <f>'Normalized Import'!J87</f>
        <v/>
      </c>
      <c r="L88" s="405" t="str">
        <f>'Normalized Import'!K87</f>
        <v/>
      </c>
      <c r="M88" s="405" t="str">
        <f>'Normalized Import'!L87</f>
        <v/>
      </c>
      <c r="N88" s="405" t="str">
        <f>'Normalized Import'!M87</f>
        <v/>
      </c>
      <c r="O88" s="405" t="str">
        <f>'Normalized Import'!N87</f>
        <v/>
      </c>
      <c r="P88" s="405" t="str">
        <f>'Normalized Import'!O87</f>
        <v/>
      </c>
      <c r="Q88" s="405" t="str">
        <f>'Normalized Import'!P87</f>
        <v/>
      </c>
    </row>
    <row r="89">
      <c r="A89" s="379" t="str">
        <f>'Normalized Import'!A88</f>
        <v/>
      </c>
      <c r="B89" s="402" t="str">
        <f>'Normalized Import'!B88</f>
        <v/>
      </c>
      <c r="C89" s="403" t="str">
        <f>'Normalized Import'!C88</f>
        <v/>
      </c>
      <c r="D89" s="404"/>
      <c r="E89" s="409"/>
      <c r="F89" s="405" t="str">
        <f>'Normalized Import'!E88</f>
        <v/>
      </c>
      <c r="G89" s="405" t="str">
        <f>'Normalized Import'!F88</f>
        <v/>
      </c>
      <c r="H89" s="405" t="str">
        <f>'Normalized Import'!G88</f>
        <v/>
      </c>
      <c r="I89" s="405" t="str">
        <f>'Normalized Import'!H88</f>
        <v/>
      </c>
      <c r="J89" s="405" t="str">
        <f>'Normalized Import'!I88</f>
        <v/>
      </c>
      <c r="K89" s="405" t="str">
        <f>'Normalized Import'!J88</f>
        <v/>
      </c>
      <c r="L89" s="405" t="str">
        <f>'Normalized Import'!K88</f>
        <v/>
      </c>
      <c r="M89" s="405" t="str">
        <f>'Normalized Import'!L88</f>
        <v/>
      </c>
      <c r="N89" s="405" t="str">
        <f>'Normalized Import'!M88</f>
        <v/>
      </c>
      <c r="O89" s="405" t="str">
        <f>'Normalized Import'!N88</f>
        <v/>
      </c>
      <c r="P89" s="405" t="str">
        <f>'Normalized Import'!O88</f>
        <v/>
      </c>
      <c r="Q89" s="405" t="str">
        <f>'Normalized Import'!P88</f>
        <v/>
      </c>
    </row>
    <row r="90">
      <c r="A90" s="379" t="str">
        <f>'Normalized Import'!A89</f>
        <v/>
      </c>
      <c r="B90" s="402" t="str">
        <f>'Normalized Import'!B89</f>
        <v/>
      </c>
      <c r="C90" s="403" t="str">
        <f>'Normalized Import'!C89</f>
        <v/>
      </c>
      <c r="D90" s="404"/>
      <c r="E90" s="409"/>
      <c r="F90" s="405" t="str">
        <f>'Normalized Import'!E89</f>
        <v/>
      </c>
      <c r="G90" s="405" t="str">
        <f>'Normalized Import'!F89</f>
        <v/>
      </c>
      <c r="H90" s="405" t="str">
        <f>'Normalized Import'!G89</f>
        <v/>
      </c>
      <c r="I90" s="405" t="str">
        <f>'Normalized Import'!H89</f>
        <v/>
      </c>
      <c r="J90" s="405" t="str">
        <f>'Normalized Import'!I89</f>
        <v/>
      </c>
      <c r="K90" s="405" t="str">
        <f>'Normalized Import'!J89</f>
        <v/>
      </c>
      <c r="L90" s="405" t="str">
        <f>'Normalized Import'!K89</f>
        <v/>
      </c>
      <c r="M90" s="405" t="str">
        <f>'Normalized Import'!L89</f>
        <v/>
      </c>
      <c r="N90" s="405" t="str">
        <f>'Normalized Import'!M89</f>
        <v/>
      </c>
      <c r="O90" s="405" t="str">
        <f>'Normalized Import'!N89</f>
        <v/>
      </c>
      <c r="P90" s="405" t="str">
        <f>'Normalized Import'!O89</f>
        <v/>
      </c>
      <c r="Q90" s="405" t="str">
        <f>'Normalized Import'!P89</f>
        <v/>
      </c>
    </row>
    <row r="91">
      <c r="A91" s="379" t="str">
        <f>'Normalized Import'!A90</f>
        <v/>
      </c>
      <c r="B91" s="402" t="str">
        <f>'Normalized Import'!B90</f>
        <v/>
      </c>
      <c r="C91" s="403" t="str">
        <f>'Normalized Import'!C90</f>
        <v/>
      </c>
      <c r="D91" s="404"/>
      <c r="E91" s="409"/>
      <c r="F91" s="405" t="str">
        <f>'Normalized Import'!E90</f>
        <v/>
      </c>
      <c r="G91" s="405" t="str">
        <f>'Normalized Import'!F90</f>
        <v/>
      </c>
      <c r="H91" s="405" t="str">
        <f>'Normalized Import'!G90</f>
        <v/>
      </c>
      <c r="I91" s="405" t="str">
        <f>'Normalized Import'!H90</f>
        <v/>
      </c>
      <c r="J91" s="405" t="str">
        <f>'Normalized Import'!I90</f>
        <v/>
      </c>
      <c r="K91" s="405" t="str">
        <f>'Normalized Import'!J90</f>
        <v/>
      </c>
      <c r="L91" s="405" t="str">
        <f>'Normalized Import'!K90</f>
        <v/>
      </c>
      <c r="M91" s="405" t="str">
        <f>'Normalized Import'!L90</f>
        <v/>
      </c>
      <c r="N91" s="405" t="str">
        <f>'Normalized Import'!M90</f>
        <v/>
      </c>
      <c r="O91" s="405" t="str">
        <f>'Normalized Import'!N90</f>
        <v/>
      </c>
      <c r="P91" s="405" t="str">
        <f>'Normalized Import'!O90</f>
        <v/>
      </c>
      <c r="Q91" s="405" t="str">
        <f>'Normalized Import'!P90</f>
        <v/>
      </c>
    </row>
    <row r="92">
      <c r="A92" s="379" t="str">
        <f>'Normalized Import'!A91</f>
        <v/>
      </c>
      <c r="B92" s="402" t="str">
        <f>'Normalized Import'!B91</f>
        <v/>
      </c>
      <c r="C92" s="403" t="str">
        <f>'Normalized Import'!C91</f>
        <v/>
      </c>
      <c r="D92" s="404"/>
      <c r="E92" s="409"/>
      <c r="F92" s="405" t="str">
        <f>'Normalized Import'!E91</f>
        <v/>
      </c>
      <c r="G92" s="405" t="str">
        <f>'Normalized Import'!F91</f>
        <v/>
      </c>
      <c r="H92" s="405" t="str">
        <f>'Normalized Import'!G91</f>
        <v/>
      </c>
      <c r="I92" s="405" t="str">
        <f>'Normalized Import'!H91</f>
        <v/>
      </c>
      <c r="J92" s="405" t="str">
        <f>'Normalized Import'!I91</f>
        <v/>
      </c>
      <c r="K92" s="405" t="str">
        <f>'Normalized Import'!J91</f>
        <v/>
      </c>
      <c r="L92" s="405" t="str">
        <f>'Normalized Import'!K91</f>
        <v/>
      </c>
      <c r="M92" s="405" t="str">
        <f>'Normalized Import'!L91</f>
        <v/>
      </c>
      <c r="N92" s="405" t="str">
        <f>'Normalized Import'!M91</f>
        <v/>
      </c>
      <c r="O92" s="405" t="str">
        <f>'Normalized Import'!N91</f>
        <v/>
      </c>
      <c r="P92" s="405" t="str">
        <f>'Normalized Import'!O91</f>
        <v/>
      </c>
      <c r="Q92" s="405" t="str">
        <f>'Normalized Import'!P91</f>
        <v/>
      </c>
    </row>
    <row r="93">
      <c r="A93" s="379" t="str">
        <f>'Normalized Import'!A92</f>
        <v/>
      </c>
      <c r="B93" s="402" t="str">
        <f>'Normalized Import'!B92</f>
        <v/>
      </c>
      <c r="C93" s="403" t="str">
        <f>'Normalized Import'!C92</f>
        <v/>
      </c>
      <c r="D93" s="404"/>
      <c r="E93" s="409"/>
      <c r="F93" s="405" t="str">
        <f>'Normalized Import'!E92</f>
        <v/>
      </c>
      <c r="G93" s="405" t="str">
        <f>'Normalized Import'!F92</f>
        <v/>
      </c>
      <c r="H93" s="405" t="str">
        <f>'Normalized Import'!G92</f>
        <v/>
      </c>
      <c r="I93" s="405" t="str">
        <f>'Normalized Import'!H92</f>
        <v/>
      </c>
      <c r="J93" s="405" t="str">
        <f>'Normalized Import'!I92</f>
        <v/>
      </c>
      <c r="K93" s="405" t="str">
        <f>'Normalized Import'!J92</f>
        <v/>
      </c>
      <c r="L93" s="405" t="str">
        <f>'Normalized Import'!K92</f>
        <v/>
      </c>
      <c r="M93" s="405" t="str">
        <f>'Normalized Import'!L92</f>
        <v/>
      </c>
      <c r="N93" s="405" t="str">
        <f>'Normalized Import'!M92</f>
        <v/>
      </c>
      <c r="O93" s="405" t="str">
        <f>'Normalized Import'!N92</f>
        <v/>
      </c>
      <c r="P93" s="405" t="str">
        <f>'Normalized Import'!O92</f>
        <v/>
      </c>
      <c r="Q93" s="405" t="str">
        <f>'Normalized Import'!P92</f>
        <v/>
      </c>
    </row>
    <row r="94">
      <c r="A94" s="379" t="str">
        <f>'Normalized Import'!A93</f>
        <v/>
      </c>
      <c r="B94" s="402" t="str">
        <f>'Normalized Import'!B93</f>
        <v/>
      </c>
      <c r="C94" s="403" t="str">
        <f>'Normalized Import'!C93</f>
        <v/>
      </c>
      <c r="D94" s="404"/>
      <c r="E94" s="409"/>
      <c r="F94" s="405" t="str">
        <f>'Normalized Import'!E93</f>
        <v/>
      </c>
      <c r="G94" s="405" t="str">
        <f>'Normalized Import'!F93</f>
        <v/>
      </c>
      <c r="H94" s="405" t="str">
        <f>'Normalized Import'!G93</f>
        <v/>
      </c>
      <c r="I94" s="405" t="str">
        <f>'Normalized Import'!H93</f>
        <v/>
      </c>
      <c r="J94" s="405" t="str">
        <f>'Normalized Import'!I93</f>
        <v/>
      </c>
      <c r="K94" s="405" t="str">
        <f>'Normalized Import'!J93</f>
        <v/>
      </c>
      <c r="L94" s="405" t="str">
        <f>'Normalized Import'!K93</f>
        <v/>
      </c>
      <c r="M94" s="405" t="str">
        <f>'Normalized Import'!L93</f>
        <v/>
      </c>
      <c r="N94" s="405" t="str">
        <f>'Normalized Import'!M93</f>
        <v/>
      </c>
      <c r="O94" s="405" t="str">
        <f>'Normalized Import'!N93</f>
        <v/>
      </c>
      <c r="P94" s="405" t="str">
        <f>'Normalized Import'!O93</f>
        <v/>
      </c>
      <c r="Q94" s="405" t="str">
        <f>'Normalized Import'!P93</f>
        <v/>
      </c>
    </row>
    <row r="95">
      <c r="A95" s="379" t="str">
        <f>'Normalized Import'!A94</f>
        <v/>
      </c>
      <c r="B95" s="402" t="str">
        <f>'Normalized Import'!B94</f>
        <v/>
      </c>
      <c r="C95" s="403" t="str">
        <f>'Normalized Import'!C94</f>
        <v/>
      </c>
      <c r="D95" s="404"/>
      <c r="E95" s="409"/>
      <c r="F95" s="405" t="str">
        <f>'Normalized Import'!E94</f>
        <v/>
      </c>
      <c r="G95" s="405" t="str">
        <f>'Normalized Import'!F94</f>
        <v/>
      </c>
      <c r="H95" s="405" t="str">
        <f>'Normalized Import'!G94</f>
        <v/>
      </c>
      <c r="I95" s="405" t="str">
        <f>'Normalized Import'!H94</f>
        <v/>
      </c>
      <c r="J95" s="405" t="str">
        <f>'Normalized Import'!I94</f>
        <v/>
      </c>
      <c r="K95" s="405" t="str">
        <f>'Normalized Import'!J94</f>
        <v/>
      </c>
      <c r="L95" s="405" t="str">
        <f>'Normalized Import'!K94</f>
        <v/>
      </c>
      <c r="M95" s="405" t="str">
        <f>'Normalized Import'!L94</f>
        <v/>
      </c>
      <c r="N95" s="405" t="str">
        <f>'Normalized Import'!M94</f>
        <v/>
      </c>
      <c r="O95" s="405" t="str">
        <f>'Normalized Import'!N94</f>
        <v/>
      </c>
      <c r="P95" s="405" t="str">
        <f>'Normalized Import'!O94</f>
        <v/>
      </c>
      <c r="Q95" s="405" t="str">
        <f>'Normalized Import'!P94</f>
        <v/>
      </c>
    </row>
    <row r="96">
      <c r="A96" s="379" t="str">
        <f>'Normalized Import'!A95</f>
        <v/>
      </c>
      <c r="B96" s="402" t="str">
        <f>'Normalized Import'!B95</f>
        <v/>
      </c>
      <c r="C96" s="403" t="str">
        <f>'Normalized Import'!C95</f>
        <v/>
      </c>
      <c r="D96" s="404"/>
      <c r="E96" s="409"/>
      <c r="F96" s="405" t="str">
        <f>'Normalized Import'!E95</f>
        <v/>
      </c>
      <c r="G96" s="405" t="str">
        <f>'Normalized Import'!F95</f>
        <v/>
      </c>
      <c r="H96" s="405" t="str">
        <f>'Normalized Import'!G95</f>
        <v/>
      </c>
      <c r="I96" s="405" t="str">
        <f>'Normalized Import'!H95</f>
        <v/>
      </c>
      <c r="J96" s="405" t="str">
        <f>'Normalized Import'!I95</f>
        <v/>
      </c>
      <c r="K96" s="405" t="str">
        <f>'Normalized Import'!J95</f>
        <v/>
      </c>
      <c r="L96" s="405" t="str">
        <f>'Normalized Import'!K95</f>
        <v/>
      </c>
      <c r="M96" s="405" t="str">
        <f>'Normalized Import'!L95</f>
        <v/>
      </c>
      <c r="N96" s="405" t="str">
        <f>'Normalized Import'!M95</f>
        <v/>
      </c>
      <c r="O96" s="405" t="str">
        <f>'Normalized Import'!N95</f>
        <v/>
      </c>
      <c r="P96" s="405" t="str">
        <f>'Normalized Import'!O95</f>
        <v/>
      </c>
      <c r="Q96" s="405" t="str">
        <f>'Normalized Import'!P95</f>
        <v/>
      </c>
    </row>
    <row r="97">
      <c r="A97" s="379" t="str">
        <f>'Normalized Import'!A96</f>
        <v/>
      </c>
      <c r="B97" s="402" t="str">
        <f>'Normalized Import'!B96</f>
        <v/>
      </c>
      <c r="C97" s="403" t="str">
        <f>'Normalized Import'!C96</f>
        <v/>
      </c>
      <c r="D97" s="404"/>
      <c r="E97" s="409"/>
      <c r="F97" s="405" t="str">
        <f>'Normalized Import'!E96</f>
        <v/>
      </c>
      <c r="G97" s="405" t="str">
        <f>'Normalized Import'!F96</f>
        <v/>
      </c>
      <c r="H97" s="405" t="str">
        <f>'Normalized Import'!G96</f>
        <v/>
      </c>
      <c r="I97" s="405" t="str">
        <f>'Normalized Import'!H96</f>
        <v/>
      </c>
      <c r="J97" s="405" t="str">
        <f>'Normalized Import'!I96</f>
        <v/>
      </c>
      <c r="K97" s="405" t="str">
        <f>'Normalized Import'!J96</f>
        <v/>
      </c>
      <c r="L97" s="405" t="str">
        <f>'Normalized Import'!K96</f>
        <v/>
      </c>
      <c r="M97" s="405" t="str">
        <f>'Normalized Import'!L96</f>
        <v/>
      </c>
      <c r="N97" s="405" t="str">
        <f>'Normalized Import'!M96</f>
        <v/>
      </c>
      <c r="O97" s="405" t="str">
        <f>'Normalized Import'!N96</f>
        <v/>
      </c>
      <c r="P97" s="405" t="str">
        <f>'Normalized Import'!O96</f>
        <v/>
      </c>
      <c r="Q97" s="405" t="str">
        <f>'Normalized Import'!P96</f>
        <v/>
      </c>
    </row>
    <row r="98">
      <c r="A98" s="379" t="str">
        <f>'Normalized Import'!A97</f>
        <v/>
      </c>
      <c r="B98" s="402" t="str">
        <f>'Normalized Import'!B97</f>
        <v/>
      </c>
      <c r="C98" s="403" t="str">
        <f>'Normalized Import'!C97</f>
        <v/>
      </c>
      <c r="D98" s="404"/>
      <c r="E98" s="409"/>
      <c r="F98" s="405" t="str">
        <f>'Normalized Import'!E97</f>
        <v/>
      </c>
      <c r="G98" s="405" t="str">
        <f>'Normalized Import'!F97</f>
        <v/>
      </c>
      <c r="H98" s="405" t="str">
        <f>'Normalized Import'!G97</f>
        <v/>
      </c>
      <c r="I98" s="405" t="str">
        <f>'Normalized Import'!H97</f>
        <v/>
      </c>
      <c r="J98" s="405" t="str">
        <f>'Normalized Import'!I97</f>
        <v/>
      </c>
      <c r="K98" s="405" t="str">
        <f>'Normalized Import'!J97</f>
        <v/>
      </c>
      <c r="L98" s="405" t="str">
        <f>'Normalized Import'!K97</f>
        <v/>
      </c>
      <c r="M98" s="405" t="str">
        <f>'Normalized Import'!L97</f>
        <v/>
      </c>
      <c r="N98" s="405" t="str">
        <f>'Normalized Import'!M97</f>
        <v/>
      </c>
      <c r="O98" s="405" t="str">
        <f>'Normalized Import'!N97</f>
        <v/>
      </c>
      <c r="P98" s="405" t="str">
        <f>'Normalized Import'!O97</f>
        <v/>
      </c>
      <c r="Q98" s="405" t="str">
        <f>'Normalized Import'!P97</f>
        <v/>
      </c>
    </row>
    <row r="99">
      <c r="A99" s="379" t="str">
        <f>'Normalized Import'!A98</f>
        <v/>
      </c>
      <c r="B99" s="402" t="str">
        <f>'Normalized Import'!B98</f>
        <v/>
      </c>
      <c r="C99" s="403" t="str">
        <f>'Normalized Import'!C98</f>
        <v/>
      </c>
      <c r="D99" s="404"/>
      <c r="E99" s="409"/>
      <c r="F99" s="405" t="str">
        <f>'Normalized Import'!E98</f>
        <v/>
      </c>
      <c r="G99" s="405" t="str">
        <f>'Normalized Import'!F98</f>
        <v/>
      </c>
      <c r="H99" s="405" t="str">
        <f>'Normalized Import'!G98</f>
        <v/>
      </c>
      <c r="I99" s="405" t="str">
        <f>'Normalized Import'!H98</f>
        <v/>
      </c>
      <c r="J99" s="405" t="str">
        <f>'Normalized Import'!I98</f>
        <v/>
      </c>
      <c r="K99" s="405" t="str">
        <f>'Normalized Import'!J98</f>
        <v/>
      </c>
      <c r="L99" s="405" t="str">
        <f>'Normalized Import'!K98</f>
        <v/>
      </c>
      <c r="M99" s="405" t="str">
        <f>'Normalized Import'!L98</f>
        <v/>
      </c>
      <c r="N99" s="405" t="str">
        <f>'Normalized Import'!M98</f>
        <v/>
      </c>
      <c r="O99" s="405" t="str">
        <f>'Normalized Import'!N98</f>
        <v/>
      </c>
      <c r="P99" s="405" t="str">
        <f>'Normalized Import'!O98</f>
        <v/>
      </c>
      <c r="Q99" s="405" t="str">
        <f>'Normalized Import'!P98</f>
        <v/>
      </c>
    </row>
    <row r="100">
      <c r="A100" s="379" t="str">
        <f>'Normalized Import'!A99</f>
        <v/>
      </c>
      <c r="B100" s="402" t="str">
        <f>'Normalized Import'!B99</f>
        <v/>
      </c>
      <c r="C100" s="403" t="str">
        <f>'Normalized Import'!C99</f>
        <v/>
      </c>
      <c r="D100" s="404"/>
      <c r="E100" s="409"/>
      <c r="F100" s="405" t="str">
        <f>'Normalized Import'!E99</f>
        <v/>
      </c>
      <c r="G100" s="405" t="str">
        <f>'Normalized Import'!F99</f>
        <v/>
      </c>
      <c r="H100" s="405" t="str">
        <f>'Normalized Import'!G99</f>
        <v/>
      </c>
      <c r="I100" s="405" t="str">
        <f>'Normalized Import'!H99</f>
        <v/>
      </c>
      <c r="J100" s="405" t="str">
        <f>'Normalized Import'!I99</f>
        <v/>
      </c>
      <c r="K100" s="405" t="str">
        <f>'Normalized Import'!J99</f>
        <v/>
      </c>
      <c r="L100" s="405" t="str">
        <f>'Normalized Import'!K99</f>
        <v/>
      </c>
      <c r="M100" s="405" t="str">
        <f>'Normalized Import'!L99</f>
        <v/>
      </c>
      <c r="N100" s="405" t="str">
        <f>'Normalized Import'!M99</f>
        <v/>
      </c>
      <c r="O100" s="405" t="str">
        <f>'Normalized Import'!N99</f>
        <v/>
      </c>
      <c r="P100" s="405" t="str">
        <f>'Normalized Import'!O99</f>
        <v/>
      </c>
      <c r="Q100" s="405" t="str">
        <f>'Normalized Import'!P99</f>
        <v/>
      </c>
    </row>
  </sheetData>
  <mergeCells count="2">
    <mergeCell ref="F1:N1"/>
    <mergeCell ref="O1:Z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0"/>
  <sheetData>
    <row r="1">
      <c r="A1" s="367"/>
      <c r="B1" s="367"/>
      <c r="C1" s="367"/>
      <c r="D1" s="367"/>
      <c r="E1" s="367"/>
      <c r="F1" s="368"/>
      <c r="G1" s="369"/>
      <c r="H1" s="369"/>
      <c r="I1" s="369"/>
      <c r="J1" s="369"/>
      <c r="K1" s="369"/>
      <c r="L1" s="369"/>
      <c r="M1" s="369"/>
      <c r="N1" s="370"/>
      <c r="O1" s="368"/>
      <c r="P1" s="369"/>
      <c r="Q1" s="369"/>
      <c r="R1" s="369"/>
      <c r="S1" s="369"/>
      <c r="T1" s="369"/>
      <c r="U1" s="369"/>
      <c r="V1" s="369"/>
      <c r="W1" s="369"/>
      <c r="X1" s="369"/>
      <c r="Y1" s="369"/>
      <c r="Z1" s="370"/>
    </row>
    <row r="2">
      <c r="A2" s="340"/>
      <c r="B2" s="374" t="s">
        <v>298</v>
      </c>
      <c r="C2" s="374" t="s">
        <v>21</v>
      </c>
      <c r="D2" s="374" t="s">
        <v>467</v>
      </c>
      <c r="E2" s="373" t="s">
        <v>468</v>
      </c>
      <c r="F2" s="377" t="s">
        <v>302</v>
      </c>
      <c r="G2" s="377" t="s">
        <v>303</v>
      </c>
      <c r="H2" s="377" t="s">
        <v>304</v>
      </c>
      <c r="I2" s="377" t="s">
        <v>305</v>
      </c>
      <c r="J2" s="377" t="s">
        <v>306</v>
      </c>
      <c r="K2" s="377" t="s">
        <v>307</v>
      </c>
      <c r="L2" s="377" t="s">
        <v>308</v>
      </c>
      <c r="M2" s="377" t="s">
        <v>309</v>
      </c>
      <c r="N2" s="377" t="s">
        <v>310</v>
      </c>
      <c r="O2" s="377" t="s">
        <v>311</v>
      </c>
      <c r="P2" s="377" t="s">
        <v>312</v>
      </c>
      <c r="Q2" s="377" t="s">
        <v>313</v>
      </c>
      <c r="R2" s="377"/>
      <c r="S2" s="378"/>
      <c r="T2" s="377"/>
      <c r="U2" s="377"/>
      <c r="V2" s="377"/>
      <c r="W2" s="377"/>
      <c r="X2" s="378"/>
      <c r="Y2" s="378"/>
    </row>
    <row r="3">
      <c r="A3" s="379" t="str">
        <f>'Normalized Import'!A2</f>
        <v>safe</v>
      </c>
      <c r="B3" s="402">
        <f>'Normalized Import'!B2</f>
        <v>44958</v>
      </c>
      <c r="C3" s="403">
        <f>'Normalized Import'!C2</f>
        <v>1000</v>
      </c>
      <c r="D3" s="404"/>
      <c r="E3" s="384">
        <f>'Most Recent Import'!E2</f>
        <v>12</v>
      </c>
      <c r="F3" s="405">
        <f>'Normalized Import'!E2</f>
        <v>0</v>
      </c>
      <c r="G3" s="405">
        <f>IF(EQ('Normalized Import'!F2, ""),"", 'Normalized Import'!F2+F3)</f>
        <v>2</v>
      </c>
      <c r="H3" s="405">
        <f>IF(EQ('Normalized Import'!G2, ""), "", 'Normalized Import'!G2+G3)</f>
        <v>2</v>
      </c>
      <c r="I3" s="405">
        <f>IF(EQ('Normalized Import'!H2, ""),"", 'Normalized Import'!H2+H3)</f>
        <v>3</v>
      </c>
      <c r="J3" s="405">
        <f>IF(EQ('Normalized Import'!I2, ""), "", 'Normalized Import'!I2+I3)</f>
        <v>5</v>
      </c>
      <c r="K3" s="405">
        <f>IF(EQ('Normalized Import'!J2, ""),"", 'Normalized Import'!J2+J3)</f>
        <v>6</v>
      </c>
      <c r="L3" s="405">
        <f>IF(EQ('Normalized Import'!K2, ""), "", 'Normalized Import'!K2+K3)</f>
        <v>6</v>
      </c>
      <c r="M3" s="405">
        <f>IF(EQ('Normalized Import'!L2, ""),"", 'Normalized Import'!L2+L3)</f>
        <v>7</v>
      </c>
      <c r="N3" s="405">
        <f>IF(EQ('Normalized Import'!M2, ""), "", 'Normalized Import'!M2+M3)</f>
        <v>8</v>
      </c>
      <c r="O3" s="405">
        <f>IF(EQ('Normalized Import'!N2, ""),"", 'Normalized Import'!N2+N3)</f>
        <v>11</v>
      </c>
      <c r="P3" s="405">
        <f>IF(EQ('Normalized Import'!O2, ""), "", 'Normalized Import'!O2+O3)</f>
        <v>11</v>
      </c>
      <c r="Q3" s="405">
        <f>IF(EQ('Normalized Import'!P2, ""),"", 'Normalized Import'!P2+P3)</f>
        <v>12</v>
      </c>
      <c r="R3" s="405"/>
      <c r="S3" s="372"/>
      <c r="T3" s="405"/>
      <c r="U3" s="405"/>
      <c r="V3" s="405"/>
      <c r="W3" s="405"/>
      <c r="X3" s="405"/>
      <c r="Y3" s="405"/>
    </row>
    <row r="4">
      <c r="A4" s="379" t="str">
        <f>'Normalized Import'!A3</f>
        <v>8x8</v>
      </c>
      <c r="B4" s="402">
        <f>'Normalized Import'!B3</f>
        <v>45047</v>
      </c>
      <c r="C4" s="403">
        <f>'Normalized Import'!C3</f>
        <v>15000</v>
      </c>
      <c r="D4" s="404"/>
      <c r="E4" s="384">
        <f>'Most Recent Import'!E3</f>
        <v>24</v>
      </c>
      <c r="F4" s="405">
        <f>'Normalized Import'!E3</f>
        <v>0</v>
      </c>
      <c r="G4" s="405">
        <f>IF(EQ('Normalized Import'!F3, ""),"", 'Normalized Import'!F3+F4)</f>
        <v>0</v>
      </c>
      <c r="H4" s="405">
        <f>IF(EQ('Normalized Import'!G3, ""), "", 'Normalized Import'!G3+G4)</f>
        <v>3</v>
      </c>
      <c r="I4" s="405">
        <f>IF(EQ('Normalized Import'!H3, ""),"", 'Normalized Import'!H3+H4)</f>
        <v>4</v>
      </c>
      <c r="J4" s="405">
        <f>IF(EQ('Normalized Import'!I3, ""), "", 'Normalized Import'!I3+I4)</f>
        <v>8</v>
      </c>
      <c r="K4" s="405">
        <f>IF(EQ('Normalized Import'!J3, ""),"", 'Normalized Import'!J3+J4)</f>
        <v>12</v>
      </c>
      <c r="L4" s="405">
        <f>IF(EQ('Normalized Import'!K3, ""), "", 'Normalized Import'!K3+K4)</f>
        <v>19</v>
      </c>
      <c r="M4" s="405">
        <f>IF(EQ('Normalized Import'!L3, ""),"", 'Normalized Import'!L3+L4)</f>
        <v>23</v>
      </c>
      <c r="N4" s="405">
        <f>IF(EQ('Normalized Import'!M3, ""), "", 'Normalized Import'!M3+M4)</f>
        <v>23</v>
      </c>
      <c r="O4" s="405">
        <f>IF(EQ('Normalized Import'!N3, ""),"", 'Normalized Import'!N3+N4)</f>
        <v>25</v>
      </c>
      <c r="P4" s="405">
        <f>IF(EQ('Normalized Import'!O3, ""), "", 'Normalized Import'!O3+O4)</f>
        <v>27</v>
      </c>
      <c r="Q4" s="405">
        <f>IF(EQ('Normalized Import'!P3, ""),"", 'Normalized Import'!P3+P4)</f>
        <v>30</v>
      </c>
      <c r="R4" s="406"/>
      <c r="S4" s="372"/>
      <c r="T4" s="406"/>
      <c r="U4" s="406"/>
      <c r="V4" s="406"/>
      <c r="W4" s="406"/>
      <c r="X4" s="406"/>
      <c r="Y4" s="406"/>
    </row>
    <row r="5">
      <c r="A5" s="379" t="str">
        <f>'Normalized Import'!A4</f>
        <v>convera</v>
      </c>
      <c r="B5" s="402">
        <f>'Normalized Import'!B4</f>
        <v>45047</v>
      </c>
      <c r="C5" s="403">
        <f>'Normalized Import'!C4</f>
        <v>5000</v>
      </c>
      <c r="D5" s="404"/>
      <c r="E5" s="384">
        <f>'Most Recent Import'!E4</f>
        <v>12</v>
      </c>
      <c r="F5" s="405">
        <f>'Normalized Import'!E4</f>
        <v>0</v>
      </c>
      <c r="G5" s="405">
        <f>IF(EQ('Normalized Import'!F4, ""),"", 'Normalized Import'!F4+F5)</f>
        <v>0</v>
      </c>
      <c r="H5" s="405">
        <f>IF(EQ('Normalized Import'!G4, ""), "", 'Normalized Import'!G4+G5)</f>
        <v>0</v>
      </c>
      <c r="I5" s="405">
        <f>IF(EQ('Normalized Import'!H4, ""),"", 'Normalized Import'!H4+H5)</f>
        <v>0</v>
      </c>
      <c r="J5" s="405">
        <f>IF(EQ('Normalized Import'!I4, ""), "", 'Normalized Import'!I4+I5)</f>
        <v>0</v>
      </c>
      <c r="K5" s="405">
        <f>IF(EQ('Normalized Import'!J4, ""),"", 'Normalized Import'!J4+J5)</f>
        <v>1</v>
      </c>
      <c r="L5" s="405">
        <f>IF(EQ('Normalized Import'!K4, ""), "", 'Normalized Import'!K4+K5)</f>
        <v>1</v>
      </c>
      <c r="M5" s="405">
        <f>IF(EQ('Normalized Import'!L4, ""),"", 'Normalized Import'!L4+L5)</f>
        <v>1</v>
      </c>
      <c r="N5" s="405">
        <f>IF(EQ('Normalized Import'!M4, ""), "", 'Normalized Import'!M4+M5)</f>
        <v>1</v>
      </c>
      <c r="O5" s="405">
        <f>IF(EQ('Normalized Import'!N4, ""),"", 'Normalized Import'!N4+N5)</f>
        <v>1</v>
      </c>
      <c r="P5" s="405">
        <f>IF(EQ('Normalized Import'!O4, ""), "", 'Normalized Import'!O4+O5)</f>
        <v>1</v>
      </c>
      <c r="Q5" s="405">
        <f>IF(EQ('Normalized Import'!P4, ""),"", 'Normalized Import'!P4+P5)</f>
        <v>2</v>
      </c>
      <c r="R5" s="406"/>
      <c r="S5" s="372"/>
      <c r="T5" s="406"/>
      <c r="U5" s="406"/>
      <c r="V5" s="406"/>
      <c r="W5" s="406"/>
      <c r="X5" s="406"/>
      <c r="Y5" s="406"/>
    </row>
    <row r="6">
      <c r="A6" s="379" t="str">
        <f>'Normalized Import'!A5</f>
        <v>glovo</v>
      </c>
      <c r="B6" s="402">
        <f>'Normalized Import'!B5</f>
        <v>45047</v>
      </c>
      <c r="C6" s="403">
        <f>'Normalized Import'!C5</f>
        <v>30000</v>
      </c>
      <c r="D6" s="404"/>
      <c r="E6" s="384">
        <f>'Most Recent Import'!E5</f>
        <v>36</v>
      </c>
      <c r="F6" s="405">
        <f>'Normalized Import'!E5</f>
        <v>0</v>
      </c>
      <c r="G6" s="405">
        <f>IF(EQ('Normalized Import'!F5, ""),"", 'Normalized Import'!F5+F6)</f>
        <v>1</v>
      </c>
      <c r="H6" s="405">
        <f>IF(EQ('Normalized Import'!G5, ""), "", 'Normalized Import'!G5+G6)</f>
        <v>7</v>
      </c>
      <c r="I6" s="405">
        <f>IF(EQ('Normalized Import'!H5, ""),"", 'Normalized Import'!H5+H6)</f>
        <v>36</v>
      </c>
      <c r="J6" s="405">
        <f>IF(EQ('Normalized Import'!I5, ""), "", 'Normalized Import'!I5+I6)</f>
        <v>51</v>
      </c>
      <c r="K6" s="405">
        <f>IF(EQ('Normalized Import'!J5, ""),"", 'Normalized Import'!J5+J6)</f>
        <v>62</v>
      </c>
      <c r="L6" s="405">
        <f>IF(EQ('Normalized Import'!K5, ""), "", 'Normalized Import'!K5+K6)</f>
        <v>70</v>
      </c>
      <c r="M6" s="405">
        <f>IF(EQ('Normalized Import'!L5, ""),"", 'Normalized Import'!L5+L6)</f>
        <v>94</v>
      </c>
      <c r="N6" s="405">
        <f>IF(EQ('Normalized Import'!M5, ""), "", 'Normalized Import'!M5+M6)</f>
        <v>102</v>
      </c>
      <c r="O6" s="405">
        <f>IF(EQ('Normalized Import'!N5, ""),"", 'Normalized Import'!N5+N6)</f>
        <v>117</v>
      </c>
      <c r="P6" s="405">
        <f>IF(EQ('Normalized Import'!O5, ""), "", 'Normalized Import'!O5+O6)</f>
        <v>138</v>
      </c>
      <c r="Q6" s="405">
        <f>IF(EQ('Normalized Import'!P5, ""),"", 'Normalized Import'!P5+P6)</f>
        <v>147</v>
      </c>
      <c r="R6" s="406"/>
      <c r="S6" s="372"/>
      <c r="T6" s="406"/>
      <c r="U6" s="406"/>
      <c r="V6" s="406"/>
      <c r="W6" s="406"/>
      <c r="X6" s="406"/>
      <c r="Y6" s="406"/>
    </row>
    <row r="7">
      <c r="A7" s="379" t="str">
        <f>'Normalized Import'!A6</f>
        <v>webflow</v>
      </c>
      <c r="B7" s="402">
        <f>'Normalized Import'!B6</f>
        <v>45047</v>
      </c>
      <c r="C7" s="403">
        <f>'Normalized Import'!C6</f>
        <v>20000</v>
      </c>
      <c r="D7" s="404"/>
      <c r="E7" s="384">
        <f>'Most Recent Import'!E6</f>
        <v>24</v>
      </c>
      <c r="F7" s="405">
        <f>'Normalized Import'!E6</f>
        <v>0</v>
      </c>
      <c r="G7" s="405">
        <f>IF(EQ('Normalized Import'!F6, ""),"", 'Normalized Import'!F6+F7)</f>
        <v>1</v>
      </c>
      <c r="H7" s="405">
        <f>IF(EQ('Normalized Import'!G6, ""), "", 'Normalized Import'!G6+G7)</f>
        <v>7</v>
      </c>
      <c r="I7" s="405">
        <f>IF(EQ('Normalized Import'!H6, ""),"", 'Normalized Import'!H6+H7)</f>
        <v>14</v>
      </c>
      <c r="J7" s="405">
        <f>IF(EQ('Normalized Import'!I6, ""), "", 'Normalized Import'!I6+I7)</f>
        <v>23</v>
      </c>
      <c r="K7" s="405">
        <f>IF(EQ('Normalized Import'!J6, ""),"", 'Normalized Import'!J6+J7)</f>
        <v>29</v>
      </c>
      <c r="L7" s="405">
        <f>IF(EQ('Normalized Import'!K6, ""), "", 'Normalized Import'!K6+K7)</f>
        <v>33</v>
      </c>
      <c r="M7" s="405">
        <f>IF(EQ('Normalized Import'!L6, ""),"", 'Normalized Import'!L6+L7)</f>
        <v>39</v>
      </c>
      <c r="N7" s="405">
        <f>IF(EQ('Normalized Import'!M6, ""), "", 'Normalized Import'!M6+M7)</f>
        <v>44</v>
      </c>
      <c r="O7" s="405">
        <f>IF(EQ('Normalized Import'!N6, ""),"", 'Normalized Import'!N6+N7)</f>
        <v>47</v>
      </c>
      <c r="P7" s="405">
        <f>IF(EQ('Normalized Import'!O6, ""), "", 'Normalized Import'!O6+O7)</f>
        <v>53</v>
      </c>
      <c r="Q7" s="405">
        <f>IF(EQ('Normalized Import'!P6, ""),"", 'Normalized Import'!P6+P7)</f>
        <v>55</v>
      </c>
      <c r="R7" s="407"/>
      <c r="S7" s="372"/>
      <c r="T7" s="407"/>
      <c r="U7" s="407"/>
      <c r="V7" s="407"/>
      <c r="W7" s="407"/>
      <c r="X7" s="407"/>
      <c r="Y7" s="407"/>
    </row>
    <row r="8">
      <c r="A8" s="379" t="str">
        <f>'Normalized Import'!A7</f>
        <v>gitlab</v>
      </c>
      <c r="B8" s="402">
        <f>'Normalized Import'!B7</f>
        <v>45078</v>
      </c>
      <c r="C8" s="403">
        <f>'Normalized Import'!C7</f>
        <v>25000</v>
      </c>
      <c r="D8" s="404"/>
      <c r="E8" s="384">
        <f>'Most Recent Import'!E7</f>
        <v>36</v>
      </c>
      <c r="F8" s="405">
        <f>'Normalized Import'!E7</f>
        <v>0</v>
      </c>
      <c r="G8" s="405">
        <f>IF(EQ('Normalized Import'!F7, ""),"", 'Normalized Import'!F7+F8)</f>
        <v>0</v>
      </c>
      <c r="H8" s="405">
        <f>IF(EQ('Normalized Import'!G7, ""), "", 'Normalized Import'!G7+G8)</f>
        <v>0</v>
      </c>
      <c r="I8" s="405">
        <f>IF(EQ('Normalized Import'!H7, ""),"", 'Normalized Import'!H7+H8)</f>
        <v>0</v>
      </c>
      <c r="J8" s="405">
        <f>IF(EQ('Normalized Import'!I7, ""), "", 'Normalized Import'!I7+I8)</f>
        <v>5</v>
      </c>
      <c r="K8" s="405">
        <f>IF(EQ('Normalized Import'!J7, ""),"", 'Normalized Import'!J7+J8)</f>
        <v>9</v>
      </c>
      <c r="L8" s="405">
        <f>IF(EQ('Normalized Import'!K7, ""), "", 'Normalized Import'!K7+K8)</f>
        <v>12</v>
      </c>
      <c r="M8" s="405">
        <f>IF(EQ('Normalized Import'!L7, ""),"", 'Normalized Import'!L7+L8)</f>
        <v>14</v>
      </c>
      <c r="N8" s="405">
        <f>IF(EQ('Normalized Import'!M7, ""), "", 'Normalized Import'!M7+M8)</f>
        <v>17</v>
      </c>
      <c r="O8" s="405">
        <f>IF(EQ('Normalized Import'!N7, ""),"", 'Normalized Import'!N7+N8)</f>
        <v>26</v>
      </c>
      <c r="P8" s="405">
        <f>IF(EQ('Normalized Import'!O7, ""), "", 'Normalized Import'!O7+O8)</f>
        <v>34</v>
      </c>
      <c r="Q8" s="405">
        <f>IF(EQ('Normalized Import'!P7, ""),"", 'Normalized Import'!P7+P8)</f>
        <v>44</v>
      </c>
      <c r="R8" s="407"/>
      <c r="S8" s="372"/>
      <c r="T8" s="407"/>
      <c r="U8" s="407"/>
      <c r="V8" s="407"/>
      <c r="W8" s="407"/>
      <c r="X8" s="407"/>
      <c r="Y8" s="407"/>
    </row>
    <row r="9">
      <c r="A9" s="379" t="str">
        <f>'Normalized Import'!A8</f>
        <v>chegg</v>
      </c>
      <c r="B9" s="402">
        <f>'Normalized Import'!B8</f>
        <v>45139</v>
      </c>
      <c r="C9" s="403">
        <f>'Normalized Import'!C8</f>
        <v>25000</v>
      </c>
      <c r="D9" s="404"/>
      <c r="E9" s="384">
        <f>'Most Recent Import'!E8</f>
        <v>24</v>
      </c>
      <c r="F9" s="405">
        <f>'Normalized Import'!E8</f>
        <v>0</v>
      </c>
      <c r="G9" s="405">
        <f>IF(EQ('Normalized Import'!F8, ""),"", 'Normalized Import'!F8+F9)</f>
        <v>0</v>
      </c>
      <c r="H9" s="405">
        <f>IF(EQ('Normalized Import'!G8, ""), "", 'Normalized Import'!G8+G9)</f>
        <v>0</v>
      </c>
      <c r="I9" s="405">
        <f>IF(EQ('Normalized Import'!H8, ""),"", 'Normalized Import'!H8+H9)</f>
        <v>0</v>
      </c>
      <c r="J9" s="405">
        <f>IF(EQ('Normalized Import'!I8, ""), "", 'Normalized Import'!I8+I9)</f>
        <v>1</v>
      </c>
      <c r="K9" s="405">
        <f>IF(EQ('Normalized Import'!J8, ""),"", 'Normalized Import'!J8+J9)</f>
        <v>8</v>
      </c>
      <c r="L9" s="405">
        <f>IF(EQ('Normalized Import'!K8, ""), "", 'Normalized Import'!K8+K9)</f>
        <v>9</v>
      </c>
      <c r="M9" s="405">
        <f>IF(EQ('Normalized Import'!L8, ""),"", 'Normalized Import'!L8+L9)</f>
        <v>13</v>
      </c>
      <c r="N9" s="405">
        <f>IF(EQ('Normalized Import'!M8, ""), "", 'Normalized Import'!M8+M9)</f>
        <v>18</v>
      </c>
      <c r="O9" s="405">
        <f>IF(EQ('Normalized Import'!N8, ""),"", 'Normalized Import'!N8+N9)</f>
        <v>22</v>
      </c>
      <c r="P9" s="405">
        <f>IF(EQ('Normalized Import'!O8, ""), "", 'Normalized Import'!O8+O9)</f>
        <v>22</v>
      </c>
      <c r="Q9" s="405">
        <f>IF(EQ('Normalized Import'!P8, ""),"", 'Normalized Import'!P8+P9)</f>
        <v>25</v>
      </c>
      <c r="R9" s="407"/>
      <c r="S9" s="372"/>
      <c r="T9" s="407"/>
      <c r="U9" s="407"/>
      <c r="V9" s="407"/>
      <c r="W9" s="407"/>
      <c r="X9" s="407"/>
      <c r="Y9" s="407"/>
    </row>
    <row r="10">
      <c r="A10" s="379" t="str">
        <f>'Normalized Import'!A9</f>
        <v>ezcater</v>
      </c>
      <c r="B10" s="402">
        <f>'Normalized Import'!B9</f>
        <v>45139</v>
      </c>
      <c r="C10" s="403">
        <f>'Normalized Import'!C9</f>
        <v>20000</v>
      </c>
      <c r="D10" s="404"/>
      <c r="E10" s="384">
        <f>'Most Recent Import'!E9</f>
        <v>24</v>
      </c>
      <c r="F10" s="405">
        <f>'Normalized Import'!E9</f>
        <v>0</v>
      </c>
      <c r="G10" s="405">
        <f>IF(EQ('Normalized Import'!F9, ""),"", 'Normalized Import'!F9+F10)</f>
        <v>0</v>
      </c>
      <c r="H10" s="405">
        <f>IF(EQ('Normalized Import'!G9, ""), "", 'Normalized Import'!G9+G10)</f>
        <v>0</v>
      </c>
      <c r="I10" s="405">
        <f>IF(EQ('Normalized Import'!H9, ""),"", 'Normalized Import'!H9+H10)</f>
        <v>0</v>
      </c>
      <c r="J10" s="405">
        <f>IF(EQ('Normalized Import'!I9, ""), "", 'Normalized Import'!I9+I10)</f>
        <v>8</v>
      </c>
      <c r="K10" s="405">
        <f>IF(EQ('Normalized Import'!J9, ""),"", 'Normalized Import'!J9+J10)</f>
        <v>13</v>
      </c>
      <c r="L10" s="405">
        <f>IF(EQ('Normalized Import'!K9, ""), "", 'Normalized Import'!K9+K10)</f>
        <v>20</v>
      </c>
      <c r="M10" s="405">
        <f>IF(EQ('Normalized Import'!L9, ""),"", 'Normalized Import'!L9+L10)</f>
        <v>26</v>
      </c>
      <c r="N10" s="405">
        <f>IF(EQ('Normalized Import'!M9, ""), "", 'Normalized Import'!M9+M10)</f>
        <v>28</v>
      </c>
      <c r="O10" s="405">
        <f>IF(EQ('Normalized Import'!N9, ""),"", 'Normalized Import'!N9+N10)</f>
        <v>38</v>
      </c>
      <c r="P10" s="405">
        <f>IF(EQ('Normalized Import'!O9, ""), "", 'Normalized Import'!O9+O10)</f>
        <v>55</v>
      </c>
      <c r="Q10" s="405">
        <f>IF(EQ('Normalized Import'!P9, ""),"", 'Normalized Import'!P9+P10)</f>
        <v>70</v>
      </c>
      <c r="R10" s="407"/>
      <c r="S10" s="372"/>
      <c r="T10" s="407"/>
      <c r="U10" s="407"/>
      <c r="V10" s="407"/>
      <c r="W10" s="407"/>
      <c r="X10" s="407"/>
      <c r="Y10" s="407"/>
    </row>
    <row r="11">
      <c r="A11" s="379" t="str">
        <f>'Normalized Import'!A10</f>
        <v>impact</v>
      </c>
      <c r="B11" s="402">
        <f>'Normalized Import'!B10</f>
        <v>45139</v>
      </c>
      <c r="C11" s="403">
        <f>'Normalized Import'!C10</f>
        <v>5000</v>
      </c>
      <c r="D11" s="404"/>
      <c r="E11" s="384">
        <f>'Most Recent Import'!E10</f>
        <v>12</v>
      </c>
      <c r="F11" s="405">
        <f>'Normalized Import'!E10</f>
        <v>0</v>
      </c>
      <c r="G11" s="405">
        <f>IF(EQ('Normalized Import'!F10, ""),"", 'Normalized Import'!F10+F11)</f>
        <v>0</v>
      </c>
      <c r="H11" s="405">
        <f>IF(EQ('Normalized Import'!G10, ""), "", 'Normalized Import'!G10+G11)</f>
        <v>0</v>
      </c>
      <c r="I11" s="405">
        <f>IF(EQ('Normalized Import'!H10, ""),"", 'Normalized Import'!H10+H11)</f>
        <v>0</v>
      </c>
      <c r="J11" s="405">
        <f>IF(EQ('Normalized Import'!I10, ""), "", 'Normalized Import'!I10+I11)</f>
        <v>1</v>
      </c>
      <c r="K11" s="405">
        <f>IF(EQ('Normalized Import'!J10, ""),"", 'Normalized Import'!J10+J11)</f>
        <v>5</v>
      </c>
      <c r="L11" s="405">
        <f>IF(EQ('Normalized Import'!K10, ""), "", 'Normalized Import'!K10+K11)</f>
        <v>11</v>
      </c>
      <c r="M11" s="405">
        <f>IF(EQ('Normalized Import'!L10, ""),"", 'Normalized Import'!L10+L11)</f>
        <v>12</v>
      </c>
      <c r="N11" s="405">
        <f>IF(EQ('Normalized Import'!M10, ""), "", 'Normalized Import'!M10+M11)</f>
        <v>12</v>
      </c>
      <c r="O11" s="405">
        <f>IF(EQ('Normalized Import'!N10, ""),"", 'Normalized Import'!N10+N11)</f>
        <v>12</v>
      </c>
      <c r="P11" s="405">
        <f>IF(EQ('Normalized Import'!O10, ""), "", 'Normalized Import'!O10+O11)</f>
        <v>16</v>
      </c>
      <c r="Q11" s="405">
        <f>IF(EQ('Normalized Import'!P10, ""),"", 'Normalized Import'!P10+P11)</f>
        <v>16</v>
      </c>
      <c r="R11" s="407"/>
      <c r="S11" s="372"/>
      <c r="T11" s="407"/>
      <c r="U11" s="407"/>
      <c r="V11" s="407"/>
      <c r="W11" s="407"/>
      <c r="X11" s="407"/>
      <c r="Y11" s="407"/>
    </row>
    <row r="12">
      <c r="A12" s="379" t="str">
        <f>'Normalized Import'!A11</f>
        <v>usertesting</v>
      </c>
      <c r="B12" s="402">
        <f>'Normalized Import'!B11</f>
        <v>45139</v>
      </c>
      <c r="C12" s="403">
        <f>'Normalized Import'!C11</f>
        <v>15000</v>
      </c>
      <c r="D12" s="404"/>
      <c r="E12" s="384">
        <f>'Most Recent Import'!E11</f>
        <v>24</v>
      </c>
      <c r="F12" s="405">
        <f>'Normalized Import'!E11</f>
        <v>0</v>
      </c>
      <c r="G12" s="405">
        <f>IF(EQ('Normalized Import'!F11, ""),"", 'Normalized Import'!F11+F12)</f>
        <v>0</v>
      </c>
      <c r="H12" s="405">
        <f>IF(EQ('Normalized Import'!G11, ""), "", 'Normalized Import'!G11+G12)</f>
        <v>0</v>
      </c>
      <c r="I12" s="405">
        <f>IF(EQ('Normalized Import'!H11, ""),"", 'Normalized Import'!H11+H12)</f>
        <v>0</v>
      </c>
      <c r="J12" s="405">
        <f>IF(EQ('Normalized Import'!I11, ""), "", 'Normalized Import'!I11+I12)</f>
        <v>4</v>
      </c>
      <c r="K12" s="405">
        <f>IF(EQ('Normalized Import'!J11, ""),"", 'Normalized Import'!J11+J12)</f>
        <v>6</v>
      </c>
      <c r="L12" s="405">
        <f>IF(EQ('Normalized Import'!K11, ""), "", 'Normalized Import'!K11+K12)</f>
        <v>21</v>
      </c>
      <c r="M12" s="405">
        <f>IF(EQ('Normalized Import'!L11, ""),"", 'Normalized Import'!L11+L12)</f>
        <v>43</v>
      </c>
      <c r="N12" s="405">
        <f>IF(EQ('Normalized Import'!M11, ""), "", 'Normalized Import'!M11+M12)</f>
        <v>49</v>
      </c>
      <c r="O12" s="405">
        <f>IF(EQ('Normalized Import'!N11, ""),"", 'Normalized Import'!N11+N12)</f>
        <v>55</v>
      </c>
      <c r="P12" s="405">
        <f>IF(EQ('Normalized Import'!O11, ""), "", 'Normalized Import'!O11+O12)</f>
        <v>68</v>
      </c>
      <c r="Q12" s="405">
        <f>IF(EQ('Normalized Import'!P11, ""),"", 'Normalized Import'!P11+P12)</f>
        <v>85</v>
      </c>
      <c r="R12" s="407"/>
      <c r="S12" s="372"/>
      <c r="T12" s="407"/>
      <c r="U12" s="407"/>
      <c r="V12" s="407"/>
      <c r="W12" s="407"/>
      <c r="X12" s="407"/>
      <c r="Y12" s="407"/>
    </row>
    <row r="13">
      <c r="A13" s="379" t="str">
        <f>'Normalized Import'!A12</f>
        <v>xplor_technologies</v>
      </c>
      <c r="B13" s="402">
        <f>'Normalized Import'!B12</f>
        <v>45139</v>
      </c>
      <c r="C13" s="403">
        <f>'Normalized Import'!C12</f>
        <v>8000</v>
      </c>
      <c r="D13" s="404"/>
      <c r="E13" s="384">
        <f>'Most Recent Import'!E12</f>
        <v>24</v>
      </c>
      <c r="F13" s="405">
        <f>'Normalized Import'!E12</f>
        <v>5</v>
      </c>
      <c r="G13" s="405">
        <f>IF(EQ('Normalized Import'!F12, ""),"", 'Normalized Import'!F12+F13)</f>
        <v>10</v>
      </c>
      <c r="H13" s="405">
        <f>IF(EQ('Normalized Import'!G12, ""), "", 'Normalized Import'!G12+G13)</f>
        <v>13</v>
      </c>
      <c r="I13" s="405">
        <f>IF(EQ('Normalized Import'!H12, ""),"", 'Normalized Import'!H12+H13)</f>
        <v>16</v>
      </c>
      <c r="J13" s="405">
        <f>IF(EQ('Normalized Import'!I12, ""), "", 'Normalized Import'!I12+I13)</f>
        <v>18</v>
      </c>
      <c r="K13" s="405">
        <f>IF(EQ('Normalized Import'!J12, ""),"", 'Normalized Import'!J12+J13)</f>
        <v>22</v>
      </c>
      <c r="L13" s="405">
        <f>IF(EQ('Normalized Import'!K12, ""), "", 'Normalized Import'!K12+K13)</f>
        <v>23</v>
      </c>
      <c r="M13" s="405">
        <f>IF(EQ('Normalized Import'!L12, ""),"", 'Normalized Import'!L12+L13)</f>
        <v>25</v>
      </c>
      <c r="N13" s="405">
        <f>IF(EQ('Normalized Import'!M12, ""), "", 'Normalized Import'!M12+M13)</f>
        <v>28</v>
      </c>
      <c r="O13" s="405">
        <f>IF(EQ('Normalized Import'!N12, ""),"", 'Normalized Import'!N12+N13)</f>
        <v>29</v>
      </c>
      <c r="P13" s="405">
        <f>IF(EQ('Normalized Import'!O12, ""), "", 'Normalized Import'!O12+O13)</f>
        <v>32</v>
      </c>
      <c r="Q13" s="405">
        <f>IF(EQ('Normalized Import'!P12, ""),"", 'Normalized Import'!P12+P13)</f>
        <v>37</v>
      </c>
      <c r="R13" s="407"/>
      <c r="S13" s="372"/>
      <c r="T13" s="407"/>
      <c r="U13" s="407"/>
      <c r="V13" s="407"/>
      <c r="W13" s="407"/>
      <c r="X13" s="407"/>
      <c r="Y13" s="407"/>
    </row>
    <row r="14">
      <c r="A14" s="379" t="str">
        <f>'Normalized Import'!A13</f>
        <v>consensys</v>
      </c>
      <c r="B14" s="402">
        <f>'Normalized Import'!B13</f>
        <v>45139</v>
      </c>
      <c r="C14" s="403">
        <f>'Normalized Import'!C13</f>
        <v>3000</v>
      </c>
      <c r="D14" s="404"/>
      <c r="E14" s="384">
        <f>'Most Recent Import'!E13</f>
        <v>12</v>
      </c>
      <c r="F14" s="405">
        <f>'Normalized Import'!E13</f>
        <v>2</v>
      </c>
      <c r="G14" s="405">
        <f>IF(EQ('Normalized Import'!F13, ""),"", 'Normalized Import'!F13+F14)</f>
        <v>3</v>
      </c>
      <c r="H14" s="405">
        <f>IF(EQ('Normalized Import'!G13, ""), "", 'Normalized Import'!G13+G14)</f>
        <v>3</v>
      </c>
      <c r="I14" s="405">
        <f>IF(EQ('Normalized Import'!H13, ""),"", 'Normalized Import'!H13+H14)</f>
        <v>3</v>
      </c>
      <c r="J14" s="405">
        <f>IF(EQ('Normalized Import'!I13, ""), "", 'Normalized Import'!I13+I14)</f>
        <v>3</v>
      </c>
      <c r="K14" s="405">
        <f>IF(EQ('Normalized Import'!J13, ""),"", 'Normalized Import'!J13+J14)</f>
        <v>3</v>
      </c>
      <c r="L14" s="405">
        <f>IF(EQ('Normalized Import'!K13, ""), "", 'Normalized Import'!K13+K14)</f>
        <v>3</v>
      </c>
      <c r="M14" s="405">
        <f>IF(EQ('Normalized Import'!L13, ""),"", 'Normalized Import'!L13+L14)</f>
        <v>4</v>
      </c>
      <c r="N14" s="405">
        <f>IF(EQ('Normalized Import'!M13, ""), "", 'Normalized Import'!M13+M14)</f>
        <v>4</v>
      </c>
      <c r="O14" s="405">
        <f>IF(EQ('Normalized Import'!N13, ""),"", 'Normalized Import'!N13+N14)</f>
        <v>4</v>
      </c>
      <c r="P14" s="405">
        <f>IF(EQ('Normalized Import'!O13, ""), "", 'Normalized Import'!O13+O14)</f>
        <v>4</v>
      </c>
      <c r="Q14" s="405">
        <f>IF(EQ('Normalized Import'!P13, ""),"", 'Normalized Import'!P13+P14)</f>
        <v>4</v>
      </c>
      <c r="R14" s="407"/>
      <c r="S14" s="372"/>
      <c r="T14" s="407"/>
      <c r="U14" s="407"/>
      <c r="V14" s="407"/>
      <c r="W14" s="407"/>
      <c r="X14" s="407"/>
      <c r="Y14" s="407"/>
    </row>
    <row r="15">
      <c r="A15" s="379" t="str">
        <f>'Normalized Import'!A14</f>
        <v>faire</v>
      </c>
      <c r="B15" s="402">
        <f>'Normalized Import'!B14</f>
        <v>45170</v>
      </c>
      <c r="C15" s="403">
        <f>'Normalized Import'!C14</f>
        <v>40000</v>
      </c>
      <c r="D15" s="404"/>
      <c r="E15" s="384">
        <f>'Most Recent Import'!E14</f>
        <v>48</v>
      </c>
      <c r="F15" s="405">
        <f>'Normalized Import'!E14</f>
        <v>0</v>
      </c>
      <c r="G15" s="405">
        <f>IF(EQ('Normalized Import'!F14, ""),"", 'Normalized Import'!F14+F15)</f>
        <v>0</v>
      </c>
      <c r="H15" s="405">
        <f>IF(EQ('Normalized Import'!G14, ""), "", 'Normalized Import'!G14+G15)</f>
        <v>0</v>
      </c>
      <c r="I15" s="405">
        <f>IF(EQ('Normalized Import'!H14, ""),"", 'Normalized Import'!H14+H15)</f>
        <v>0</v>
      </c>
      <c r="J15" s="405">
        <f>IF(EQ('Normalized Import'!I14, ""), "", 'Normalized Import'!I14+I15)</f>
        <v>0</v>
      </c>
      <c r="K15" s="405">
        <f>IF(EQ('Normalized Import'!J14, ""),"", 'Normalized Import'!J14+J15)</f>
        <v>2</v>
      </c>
      <c r="L15" s="405">
        <f>IF(EQ('Normalized Import'!K14, ""), "", 'Normalized Import'!K14+K15)</f>
        <v>12</v>
      </c>
      <c r="M15" s="405">
        <f>IF(EQ('Normalized Import'!L14, ""),"", 'Normalized Import'!L14+L15)</f>
        <v>17</v>
      </c>
      <c r="N15" s="405">
        <f>IF(EQ('Normalized Import'!M14, ""), "", 'Normalized Import'!M14+M15)</f>
        <v>18</v>
      </c>
      <c r="O15" s="405">
        <f>IF(EQ('Normalized Import'!N14, ""),"", 'Normalized Import'!N14+N15)</f>
        <v>44</v>
      </c>
      <c r="P15" s="405">
        <f>IF(EQ('Normalized Import'!O14, ""), "", 'Normalized Import'!O14+O15)</f>
        <v>53</v>
      </c>
      <c r="Q15" s="405">
        <f>IF(EQ('Normalized Import'!P14, ""),"", 'Normalized Import'!P14+P15)</f>
        <v>67</v>
      </c>
      <c r="R15" s="407"/>
      <c r="S15" s="372"/>
      <c r="T15" s="407"/>
      <c r="U15" s="407"/>
      <c r="V15" s="407"/>
      <c r="W15" s="407"/>
      <c r="X15" s="407"/>
      <c r="Y15" s="407"/>
    </row>
    <row r="16">
      <c r="A16" s="379" t="str">
        <f>'Normalized Import'!A15</f>
        <v>opentable</v>
      </c>
      <c r="B16" s="402">
        <f>'Normalized Import'!B15</f>
        <v>45170</v>
      </c>
      <c r="C16" s="403">
        <f>'Normalized Import'!C15</f>
        <v>27000</v>
      </c>
      <c r="D16" s="404"/>
      <c r="E16" s="384">
        <f>'Most Recent Import'!E15</f>
        <v>36</v>
      </c>
      <c r="F16" s="405">
        <f>'Normalized Import'!E15</f>
        <v>0</v>
      </c>
      <c r="G16" s="405">
        <f>IF(EQ('Normalized Import'!F15, ""),"", 'Normalized Import'!F15+F16)</f>
        <v>0</v>
      </c>
      <c r="H16" s="405">
        <f>IF(EQ('Normalized Import'!G15, ""), "", 'Normalized Import'!G15+G16)</f>
        <v>0</v>
      </c>
      <c r="I16" s="405">
        <f>IF(EQ('Normalized Import'!H15, ""),"", 'Normalized Import'!H15+H16)</f>
        <v>0</v>
      </c>
      <c r="J16" s="405">
        <f>IF(EQ('Normalized Import'!I15, ""), "", 'Normalized Import'!I15+I16)</f>
        <v>0</v>
      </c>
      <c r="K16" s="405">
        <f>IF(EQ('Normalized Import'!J15, ""),"", 'Normalized Import'!J15+J16)</f>
        <v>0</v>
      </c>
      <c r="L16" s="405">
        <f>IF(EQ('Normalized Import'!K15, ""), "", 'Normalized Import'!K15+K16)</f>
        <v>31</v>
      </c>
      <c r="M16" s="405">
        <f>IF(EQ('Normalized Import'!L15, ""),"", 'Normalized Import'!L15+L16)</f>
        <v>36</v>
      </c>
      <c r="N16" s="405">
        <f>IF(EQ('Normalized Import'!M15, ""), "", 'Normalized Import'!M15+M16)</f>
        <v>36</v>
      </c>
      <c r="O16" s="405">
        <f>IF(EQ('Normalized Import'!N15, ""),"", 'Normalized Import'!N15+N16)</f>
        <v>40</v>
      </c>
      <c r="P16" s="405">
        <f>IF(EQ('Normalized Import'!O15, ""), "", 'Normalized Import'!O15+O16)</f>
        <v>47</v>
      </c>
      <c r="Q16" s="405">
        <f>IF(EQ('Normalized Import'!P15, ""),"", 'Normalized Import'!P15+P16)</f>
        <v>50</v>
      </c>
      <c r="R16" s="407"/>
      <c r="S16" s="372"/>
      <c r="T16" s="407"/>
      <c r="U16" s="407"/>
      <c r="V16" s="407"/>
      <c r="W16" s="407"/>
      <c r="X16" s="407"/>
      <c r="Y16" s="407"/>
    </row>
    <row r="17">
      <c r="A17" s="379" t="str">
        <f>'Normalized Import'!A16</f>
        <v>sonos</v>
      </c>
      <c r="B17" s="402">
        <f>'Normalized Import'!B16</f>
        <v>45170</v>
      </c>
      <c r="C17" s="403">
        <f>'Normalized Import'!C16</f>
        <v>23000</v>
      </c>
      <c r="D17" s="404"/>
      <c r="E17" s="384">
        <f>'Most Recent Import'!E16</f>
        <v>24</v>
      </c>
      <c r="F17" s="405">
        <f>'Normalized Import'!E16</f>
        <v>0</v>
      </c>
      <c r="G17" s="405">
        <f>IF(EQ('Normalized Import'!F16, ""),"", 'Normalized Import'!F16+F17)</f>
        <v>0</v>
      </c>
      <c r="H17" s="405">
        <f>IF(EQ('Normalized Import'!G16, ""), "", 'Normalized Import'!G16+G17)</f>
        <v>0</v>
      </c>
      <c r="I17" s="405">
        <f>IF(EQ('Normalized Import'!H16, ""),"", 'Normalized Import'!H16+H17)</f>
        <v>0</v>
      </c>
      <c r="J17" s="405">
        <f>IF(EQ('Normalized Import'!I16, ""), "", 'Normalized Import'!I16+I17)</f>
        <v>0</v>
      </c>
      <c r="K17" s="405">
        <f>IF(EQ('Normalized Import'!J16, ""),"", 'Normalized Import'!J16+J17)</f>
        <v>0</v>
      </c>
      <c r="L17" s="405">
        <f>IF(EQ('Normalized Import'!K16, ""), "", 'Normalized Import'!K16+K17)</f>
        <v>7</v>
      </c>
      <c r="M17" s="405">
        <f>IF(EQ('Normalized Import'!L16, ""),"", 'Normalized Import'!L16+L17)</f>
        <v>16</v>
      </c>
      <c r="N17" s="405">
        <f>IF(EQ('Normalized Import'!M16, ""), "", 'Normalized Import'!M16+M17)</f>
        <v>24</v>
      </c>
      <c r="O17" s="405">
        <f>IF(EQ('Normalized Import'!N16, ""),"", 'Normalized Import'!N16+N17)</f>
        <v>32</v>
      </c>
      <c r="P17" s="405">
        <f>IF(EQ('Normalized Import'!O16, ""), "", 'Normalized Import'!O16+O17)</f>
        <v>35</v>
      </c>
      <c r="Q17" s="405">
        <f>IF(EQ('Normalized Import'!P16, ""),"", 'Normalized Import'!P16+P17)</f>
        <v>46</v>
      </c>
      <c r="R17" s="407"/>
      <c r="S17" s="407"/>
      <c r="T17" s="407"/>
      <c r="U17" s="407"/>
      <c r="V17" s="407"/>
      <c r="W17" s="407"/>
      <c r="X17" s="407"/>
      <c r="Y17" s="407"/>
      <c r="Z17" s="340"/>
    </row>
    <row r="18">
      <c r="A18" s="379" t="str">
        <f>'Normalized Import'!A17</f>
        <v>soundtrap</v>
      </c>
      <c r="B18" s="402">
        <f>'Normalized Import'!B17</f>
        <v>45170</v>
      </c>
      <c r="C18" s="403">
        <f>'Normalized Import'!C17</f>
        <v>5000</v>
      </c>
      <c r="D18" s="404"/>
      <c r="E18" s="384">
        <f>'Most Recent Import'!E17</f>
        <v>12</v>
      </c>
      <c r="F18" s="405">
        <f>'Normalized Import'!E17</f>
        <v>0</v>
      </c>
      <c r="G18" s="405">
        <f>IF(EQ('Normalized Import'!F17, ""),"", 'Normalized Import'!F17+F18)</f>
        <v>0</v>
      </c>
      <c r="H18" s="405">
        <f>IF(EQ('Normalized Import'!G17, ""), "", 'Normalized Import'!G17+G18)</f>
        <v>0</v>
      </c>
      <c r="I18" s="405">
        <f>IF(EQ('Normalized Import'!H17, ""),"", 'Normalized Import'!H17+H18)</f>
        <v>0</v>
      </c>
      <c r="J18" s="405">
        <f>IF(EQ('Normalized Import'!I17, ""), "", 'Normalized Import'!I17+I18)</f>
        <v>0</v>
      </c>
      <c r="K18" s="405">
        <f>IF(EQ('Normalized Import'!J17, ""),"", 'Normalized Import'!J17+J18)</f>
        <v>0</v>
      </c>
      <c r="L18" s="405">
        <f>IF(EQ('Normalized Import'!K17, ""), "", 'Normalized Import'!K17+K18)</f>
        <v>1</v>
      </c>
      <c r="M18" s="405">
        <f>IF(EQ('Normalized Import'!L17, ""),"", 'Normalized Import'!L17+L18)</f>
        <v>2</v>
      </c>
      <c r="N18" s="405">
        <f>IF(EQ('Normalized Import'!M17, ""), "", 'Normalized Import'!M17+M18)</f>
        <v>2</v>
      </c>
      <c r="O18" s="405">
        <f>IF(EQ('Normalized Import'!N17, ""),"", 'Normalized Import'!N17+N18)</f>
        <v>4</v>
      </c>
      <c r="P18" s="405">
        <f>IF(EQ('Normalized Import'!O17, ""), "", 'Normalized Import'!O17+O18)</f>
        <v>5</v>
      </c>
      <c r="Q18" s="405">
        <f>IF(EQ('Normalized Import'!P17, ""),"", 'Normalized Import'!P17+P18)</f>
        <v>6</v>
      </c>
      <c r="R18" s="407"/>
      <c r="S18" s="407"/>
      <c r="T18" s="407" t="str">
        <f t="shared" ref="T18:Y18" si="1">'Studies Published Data Monthly - Cumulative'!AD18</f>
        <v>#REF!</v>
      </c>
      <c r="U18" s="407" t="str">
        <f t="shared" si="1"/>
        <v>#REF!</v>
      </c>
      <c r="V18" s="407" t="str">
        <f t="shared" si="1"/>
        <v>#REF!</v>
      </c>
      <c r="W18" s="407" t="str">
        <f t="shared" si="1"/>
        <v>#REF!</v>
      </c>
      <c r="X18" s="407" t="str">
        <f t="shared" si="1"/>
        <v>#REF!</v>
      </c>
      <c r="Y18" s="407" t="str">
        <f t="shared" si="1"/>
        <v>#REF!</v>
      </c>
      <c r="Z18" s="340"/>
    </row>
    <row r="19">
      <c r="A19" s="379" t="str">
        <f>'Normalized Import'!A18</f>
        <v>yahoo</v>
      </c>
      <c r="B19" s="402">
        <f>'Normalized Import'!B18</f>
        <v>45170</v>
      </c>
      <c r="C19" s="403">
        <f>'Normalized Import'!C18</f>
        <v>32000</v>
      </c>
      <c r="D19" s="404"/>
      <c r="E19" s="384">
        <f>'Most Recent Import'!E18</f>
        <v>24</v>
      </c>
      <c r="F19" s="405">
        <f>'Normalized Import'!E18</f>
        <v>0</v>
      </c>
      <c r="G19" s="405">
        <f>IF(EQ('Normalized Import'!F18, ""),"", 'Normalized Import'!F18+F19)</f>
        <v>0</v>
      </c>
      <c r="H19" s="405">
        <f>IF(EQ('Normalized Import'!G18, ""), "", 'Normalized Import'!G18+G19)</f>
        <v>0</v>
      </c>
      <c r="I19" s="405">
        <f>IF(EQ('Normalized Import'!H18, ""),"", 'Normalized Import'!H18+H19)</f>
        <v>0</v>
      </c>
      <c r="J19" s="405">
        <f>IF(EQ('Normalized Import'!I18, ""), "", 'Normalized Import'!I18+I19)</f>
        <v>0</v>
      </c>
      <c r="K19" s="405">
        <f>IF(EQ('Normalized Import'!J18, ""),"", 'Normalized Import'!J18+J19)</f>
        <v>1</v>
      </c>
      <c r="L19" s="405">
        <f>IF(EQ('Normalized Import'!K18, ""), "", 'Normalized Import'!K18+K19)</f>
        <v>3</v>
      </c>
      <c r="M19" s="405">
        <f>IF(EQ('Normalized Import'!L18, ""),"", 'Normalized Import'!L18+L19)</f>
        <v>5</v>
      </c>
      <c r="N19" s="405">
        <f>IF(EQ('Normalized Import'!M18, ""), "", 'Normalized Import'!M18+M19)</f>
        <v>7</v>
      </c>
      <c r="O19" s="405">
        <f>IF(EQ('Normalized Import'!N18, ""),"", 'Normalized Import'!N18+N19)</f>
        <v>9</v>
      </c>
      <c r="P19" s="405">
        <f>IF(EQ('Normalized Import'!O18, ""), "", 'Normalized Import'!O18+O19)</f>
        <v>12</v>
      </c>
      <c r="Q19" s="405">
        <f>IF(EQ('Normalized Import'!P18, ""),"", 'Normalized Import'!P18+P19)</f>
        <v>14</v>
      </c>
      <c r="R19" s="407"/>
      <c r="S19" s="407"/>
      <c r="T19" s="407" t="str">
        <f t="shared" ref="T19:Y19" si="2">'Studies Published Data Monthly - Cumulative'!AD19</f>
        <v>#REF!</v>
      </c>
      <c r="U19" s="407" t="str">
        <f t="shared" si="2"/>
        <v>#REF!</v>
      </c>
      <c r="V19" s="407" t="str">
        <f t="shared" si="2"/>
        <v>#REF!</v>
      </c>
      <c r="W19" s="407" t="str">
        <f t="shared" si="2"/>
        <v>#REF!</v>
      </c>
      <c r="X19" s="407" t="str">
        <f t="shared" si="2"/>
        <v>#REF!</v>
      </c>
      <c r="Y19" s="407" t="str">
        <f t="shared" si="2"/>
        <v>#REF!</v>
      </c>
      <c r="Z19" s="340"/>
    </row>
    <row r="20">
      <c r="A20" s="379" t="str">
        <f>'Normalized Import'!A19</f>
        <v>zwift</v>
      </c>
      <c r="B20" s="402">
        <f>'Normalized Import'!B19</f>
        <v>45170</v>
      </c>
      <c r="C20" s="403">
        <f>'Normalized Import'!C19</f>
        <v>15000</v>
      </c>
      <c r="D20" s="404"/>
      <c r="E20" s="384">
        <f>'Most Recent Import'!E19</f>
        <v>12</v>
      </c>
      <c r="F20" s="405">
        <f>'Normalized Import'!E19</f>
        <v>0</v>
      </c>
      <c r="G20" s="405">
        <f>IF(EQ('Normalized Import'!F19, ""),"", 'Normalized Import'!F19+F20)</f>
        <v>0</v>
      </c>
      <c r="H20" s="405">
        <f>IF(EQ('Normalized Import'!G19, ""), "", 'Normalized Import'!G19+G20)</f>
        <v>0</v>
      </c>
      <c r="I20" s="405">
        <f>IF(EQ('Normalized Import'!H19, ""),"", 'Normalized Import'!H19+H20)</f>
        <v>0</v>
      </c>
      <c r="J20" s="405">
        <f>IF(EQ('Normalized Import'!I19, ""), "", 'Normalized Import'!I19+I20)</f>
        <v>0</v>
      </c>
      <c r="K20" s="405">
        <f>IF(EQ('Normalized Import'!J19, ""),"", 'Normalized Import'!J19+J20)</f>
        <v>0</v>
      </c>
      <c r="L20" s="405">
        <f>IF(EQ('Normalized Import'!K19, ""), "", 'Normalized Import'!K19+K20)</f>
        <v>4</v>
      </c>
      <c r="M20" s="405">
        <f>IF(EQ('Normalized Import'!L19, ""),"", 'Normalized Import'!L19+L20)</f>
        <v>5</v>
      </c>
      <c r="N20" s="405">
        <f>IF(EQ('Normalized Import'!M19, ""), "", 'Normalized Import'!M19+M20)</f>
        <v>5</v>
      </c>
      <c r="O20" s="405">
        <f>IF(EQ('Normalized Import'!N19, ""),"", 'Normalized Import'!N19+N20)</f>
        <v>6</v>
      </c>
      <c r="P20" s="405">
        <f>IF(EQ('Normalized Import'!O19, ""), "", 'Normalized Import'!O19+O20)</f>
        <v>6</v>
      </c>
      <c r="Q20" s="405">
        <f>IF(EQ('Normalized Import'!P19, ""),"", 'Normalized Import'!P19+P20)</f>
        <v>6</v>
      </c>
      <c r="R20" s="407"/>
      <c r="S20" s="407"/>
      <c r="T20" s="407" t="str">
        <f t="shared" ref="T20:Y20" si="3">'Studies Published Data Monthly - Cumulative'!AD20</f>
        <v>#REF!</v>
      </c>
      <c r="U20" s="407" t="str">
        <f t="shared" si="3"/>
        <v>#REF!</v>
      </c>
      <c r="V20" s="407" t="str">
        <f t="shared" si="3"/>
        <v>#REF!</v>
      </c>
      <c r="W20" s="407" t="str">
        <f t="shared" si="3"/>
        <v>#REF!</v>
      </c>
      <c r="X20" s="407" t="str">
        <f t="shared" si="3"/>
        <v>#REF!</v>
      </c>
      <c r="Y20" s="407" t="str">
        <f t="shared" si="3"/>
        <v>#REF!</v>
      </c>
      <c r="Z20" s="340"/>
    </row>
    <row r="21">
      <c r="A21" s="379" t="str">
        <f>'Normalized Import'!A20</f>
        <v>angi</v>
      </c>
      <c r="B21" s="402">
        <f>'Normalized Import'!B20</f>
        <v>45200</v>
      </c>
      <c r="C21" s="403">
        <f>'Normalized Import'!C20</f>
        <v>10000</v>
      </c>
      <c r="D21" s="404"/>
      <c r="E21" s="384">
        <f>'Most Recent Import'!E20</f>
        <v>24</v>
      </c>
      <c r="F21" s="405">
        <f>'Normalized Import'!E20</f>
        <v>1</v>
      </c>
      <c r="G21" s="405">
        <f>IF(EQ('Normalized Import'!F20, ""),"", 'Normalized Import'!F20+F21)</f>
        <v>8</v>
      </c>
      <c r="H21" s="405">
        <f>IF(EQ('Normalized Import'!G20, ""), "", 'Normalized Import'!G20+G21)</f>
        <v>9</v>
      </c>
      <c r="I21" s="405">
        <f>IF(EQ('Normalized Import'!H20, ""),"", 'Normalized Import'!H20+H21)</f>
        <v>12</v>
      </c>
      <c r="J21" s="405">
        <f>IF(EQ('Normalized Import'!I20, ""), "", 'Normalized Import'!I20+I21)</f>
        <v>12</v>
      </c>
      <c r="K21" s="405">
        <f>IF(EQ('Normalized Import'!J20, ""),"", 'Normalized Import'!J20+J21)</f>
        <v>17</v>
      </c>
      <c r="L21" s="405">
        <f>IF(EQ('Normalized Import'!K20, ""), "", 'Normalized Import'!K20+K21)</f>
        <v>23</v>
      </c>
      <c r="M21" s="405">
        <f>IF(EQ('Normalized Import'!L20, ""),"", 'Normalized Import'!L20+L21)</f>
        <v>23</v>
      </c>
      <c r="N21" s="405">
        <f>IF(EQ('Normalized Import'!M20, ""), "", 'Normalized Import'!M20+M21)</f>
        <v>24</v>
      </c>
      <c r="O21" s="405">
        <f>IF(EQ('Normalized Import'!N20, ""),"", 'Normalized Import'!N20+N21)</f>
        <v>27</v>
      </c>
      <c r="P21" s="405">
        <f>IF(EQ('Normalized Import'!O20, ""), "", 'Normalized Import'!O20+O21)</f>
        <v>29</v>
      </c>
      <c r="Q21" s="405">
        <f>IF(EQ('Normalized Import'!P20, ""),"", 'Normalized Import'!P20+P21)</f>
        <v>35</v>
      </c>
      <c r="R21" s="407"/>
      <c r="S21" s="407"/>
      <c r="T21" s="407" t="str">
        <f t="shared" ref="T21:Y21" si="4">'Studies Published Data Monthly - Cumulative'!AD21</f>
        <v>#REF!</v>
      </c>
      <c r="U21" s="407" t="str">
        <f t="shared" si="4"/>
        <v>#REF!</v>
      </c>
      <c r="V21" s="407" t="str">
        <f t="shared" si="4"/>
        <v>#REF!</v>
      </c>
      <c r="W21" s="407" t="str">
        <f t="shared" si="4"/>
        <v>#REF!</v>
      </c>
      <c r="X21" s="407" t="str">
        <f t="shared" si="4"/>
        <v>#REF!</v>
      </c>
      <c r="Y21" s="407" t="str">
        <f t="shared" si="4"/>
        <v>#REF!</v>
      </c>
      <c r="Z21" s="340"/>
    </row>
    <row r="22">
      <c r="A22" s="379" t="str">
        <f>'Normalized Import'!A21</f>
        <v>rockwell</v>
      </c>
      <c r="B22" s="402">
        <f>'Normalized Import'!B21</f>
        <v>45200</v>
      </c>
      <c r="C22" s="403">
        <f>'Normalized Import'!C21</f>
        <v>20000</v>
      </c>
      <c r="D22" s="404"/>
      <c r="E22" s="384">
        <f>'Most Recent Import'!E21</f>
        <v>24</v>
      </c>
      <c r="F22" s="405">
        <f>'Normalized Import'!E21</f>
        <v>0</v>
      </c>
      <c r="G22" s="405">
        <f>IF(EQ('Normalized Import'!F21, ""),"", 'Normalized Import'!F21+F22)</f>
        <v>0</v>
      </c>
      <c r="H22" s="405">
        <f>IF(EQ('Normalized Import'!G21, ""), "", 'Normalized Import'!G21+G22)</f>
        <v>0</v>
      </c>
      <c r="I22" s="405">
        <f>IF(EQ('Normalized Import'!H21, ""),"", 'Normalized Import'!H21+H22)</f>
        <v>0</v>
      </c>
      <c r="J22" s="405">
        <f>IF(EQ('Normalized Import'!I21, ""), "", 'Normalized Import'!I21+I22)</f>
        <v>0</v>
      </c>
      <c r="K22" s="405">
        <f>IF(EQ('Normalized Import'!J21, ""),"", 'Normalized Import'!J21+J22)</f>
        <v>0</v>
      </c>
      <c r="L22" s="405">
        <f>IF(EQ('Normalized Import'!K21, ""), "", 'Normalized Import'!K21+K22)</f>
        <v>1</v>
      </c>
      <c r="M22" s="405">
        <f>IF(EQ('Normalized Import'!L21, ""),"", 'Normalized Import'!L21+L22)</f>
        <v>13</v>
      </c>
      <c r="N22" s="405">
        <f>IF(EQ('Normalized Import'!M21, ""), "", 'Normalized Import'!M21+M22)</f>
        <v>14</v>
      </c>
      <c r="O22" s="405">
        <f>IF(EQ('Normalized Import'!N21, ""),"", 'Normalized Import'!N21+N22)</f>
        <v>17</v>
      </c>
      <c r="P22" s="405">
        <f>IF(EQ('Normalized Import'!O21, ""), "", 'Normalized Import'!O21+O22)</f>
        <v>19</v>
      </c>
      <c r="Q22" s="405">
        <f>IF(EQ('Normalized Import'!P21, ""),"", 'Normalized Import'!P21+P22)</f>
        <v>24</v>
      </c>
      <c r="R22" s="407"/>
      <c r="S22" s="407"/>
      <c r="T22" s="407" t="str">
        <f t="shared" ref="T22:Y22" si="5">'Studies Published Data Monthly - Cumulative'!AD22</f>
        <v>#REF!</v>
      </c>
      <c r="U22" s="407" t="str">
        <f t="shared" si="5"/>
        <v>#REF!</v>
      </c>
      <c r="V22" s="407" t="str">
        <f t="shared" si="5"/>
        <v>#REF!</v>
      </c>
      <c r="W22" s="407" t="str">
        <f t="shared" si="5"/>
        <v>#REF!</v>
      </c>
      <c r="X22" s="407" t="str">
        <f t="shared" si="5"/>
        <v>#REF!</v>
      </c>
      <c r="Y22" s="407" t="str">
        <f t="shared" si="5"/>
        <v>#REF!</v>
      </c>
      <c r="Z22" s="340"/>
    </row>
    <row r="23">
      <c r="A23" s="379" t="str">
        <f>'Normalized Import'!A22</f>
        <v>snowplow</v>
      </c>
      <c r="B23" s="402">
        <f>'Normalized Import'!B22</f>
        <v>45200</v>
      </c>
      <c r="C23" s="403">
        <f>'Normalized Import'!C22</f>
        <v>2000</v>
      </c>
      <c r="D23" s="404"/>
      <c r="E23" s="384">
        <f>'Most Recent Import'!E22</f>
        <v>12</v>
      </c>
      <c r="F23" s="405">
        <f>'Normalized Import'!E22</f>
        <v>0</v>
      </c>
      <c r="G23" s="405">
        <f>IF(EQ('Normalized Import'!F22, ""),"", 'Normalized Import'!F22+F23)</f>
        <v>0</v>
      </c>
      <c r="H23" s="405">
        <f>IF(EQ('Normalized Import'!G22, ""), "", 'Normalized Import'!G22+G23)</f>
        <v>0</v>
      </c>
      <c r="I23" s="405">
        <f>IF(EQ('Normalized Import'!H22, ""),"", 'Normalized Import'!H22+H23)</f>
        <v>0</v>
      </c>
      <c r="J23" s="405">
        <f>IF(EQ('Normalized Import'!I22, ""), "", 'Normalized Import'!I22+I23)</f>
        <v>0</v>
      </c>
      <c r="K23" s="405">
        <f>IF(EQ('Normalized Import'!J22, ""),"", 'Normalized Import'!J22+J23)</f>
        <v>0</v>
      </c>
      <c r="L23" s="405">
        <f>IF(EQ('Normalized Import'!K22, ""), "", 'Normalized Import'!K22+K23)</f>
        <v>2</v>
      </c>
      <c r="M23" s="405">
        <f>IF(EQ('Normalized Import'!L22, ""),"", 'Normalized Import'!L22+L23)</f>
        <v>3</v>
      </c>
      <c r="N23" s="405">
        <f>IF(EQ('Normalized Import'!M22, ""), "", 'Normalized Import'!M22+M23)</f>
        <v>4</v>
      </c>
      <c r="O23" s="405">
        <f>IF(EQ('Normalized Import'!N22, ""),"", 'Normalized Import'!N22+N23)</f>
        <v>4</v>
      </c>
      <c r="P23" s="405">
        <f>IF(EQ('Normalized Import'!O22, ""), "", 'Normalized Import'!O22+O23)</f>
        <v>7</v>
      </c>
      <c r="Q23" s="405">
        <f>IF(EQ('Normalized Import'!P22, ""),"", 'Normalized Import'!P22+P23)</f>
        <v>7</v>
      </c>
      <c r="R23" s="407"/>
      <c r="S23" s="407"/>
      <c r="T23" s="407" t="str">
        <f t="shared" ref="T23:Y23" si="6">'Studies Published Data Monthly - Cumulative'!AE23</f>
        <v>#REF!</v>
      </c>
      <c r="U23" s="407" t="str">
        <f t="shared" si="6"/>
        <v>#REF!</v>
      </c>
      <c r="V23" s="407" t="str">
        <f t="shared" si="6"/>
        <v>#REF!</v>
      </c>
      <c r="W23" s="407" t="str">
        <f t="shared" si="6"/>
        <v>#REF!</v>
      </c>
      <c r="X23" s="407" t="str">
        <f t="shared" si="6"/>
        <v>#REF!</v>
      </c>
      <c r="Y23" s="407" t="str">
        <f t="shared" si="6"/>
        <v>#REF!</v>
      </c>
      <c r="Z23" s="340"/>
    </row>
    <row r="24">
      <c r="A24" s="379" t="str">
        <f>'Normalized Import'!A23</f>
        <v>predictive_index</v>
      </c>
      <c r="B24" s="402">
        <f>'Normalized Import'!B23</f>
        <v>45231</v>
      </c>
      <c r="C24" s="403">
        <f>'Normalized Import'!C23</f>
        <v>2000</v>
      </c>
      <c r="D24" s="404"/>
      <c r="E24" s="384">
        <f>'Most Recent Import'!E23</f>
        <v>12</v>
      </c>
      <c r="F24" s="405">
        <f>'Normalized Import'!E23</f>
        <v>1</v>
      </c>
      <c r="G24" s="405">
        <f>IF(EQ('Normalized Import'!F23, ""),"", 'Normalized Import'!F23+F24)</f>
        <v>5</v>
      </c>
      <c r="H24" s="405">
        <f>IF(EQ('Normalized Import'!G23, ""), "", 'Normalized Import'!G23+G24)</f>
        <v>5</v>
      </c>
      <c r="I24" s="405">
        <f>IF(EQ('Normalized Import'!H23, ""),"", 'Normalized Import'!H23+H24)</f>
        <v>6</v>
      </c>
      <c r="J24" s="405">
        <f>IF(EQ('Normalized Import'!I23, ""), "", 'Normalized Import'!I23+I24)</f>
        <v>9</v>
      </c>
      <c r="K24" s="405">
        <f>IF(EQ('Normalized Import'!J23, ""),"", 'Normalized Import'!J23+J24)</f>
        <v>12</v>
      </c>
      <c r="L24" s="405">
        <f>IF(EQ('Normalized Import'!K23, ""), "", 'Normalized Import'!K23+K24)</f>
        <v>13</v>
      </c>
      <c r="M24" s="405">
        <f>IF(EQ('Normalized Import'!L23, ""),"", 'Normalized Import'!L23+L24)</f>
        <v>15</v>
      </c>
      <c r="N24" s="405">
        <f>IF(EQ('Normalized Import'!M23, ""), "", 'Normalized Import'!M23+M24)</f>
        <v>16</v>
      </c>
      <c r="O24" s="405">
        <f>IF(EQ('Normalized Import'!N23, ""),"", 'Normalized Import'!N23+N24)</f>
        <v>19</v>
      </c>
      <c r="P24" s="405">
        <f>IF(EQ('Normalized Import'!O23, ""), "", 'Normalized Import'!O23+O24)</f>
        <v>20</v>
      </c>
      <c r="Q24" s="405">
        <f>IF(EQ('Normalized Import'!P23, ""),"", 'Normalized Import'!P23+P24)</f>
        <v>21</v>
      </c>
      <c r="R24" s="407"/>
      <c r="S24" s="407"/>
      <c r="T24" s="407" t="str">
        <f t="shared" ref="T24:Y24" si="7">'Studies Published Data Monthly - Cumulative'!AF24</f>
        <v>#REF!</v>
      </c>
      <c r="U24" s="407" t="str">
        <f t="shared" si="7"/>
        <v>#REF!</v>
      </c>
      <c r="V24" s="407" t="str">
        <f t="shared" si="7"/>
        <v>#REF!</v>
      </c>
      <c r="W24" s="407" t="str">
        <f t="shared" si="7"/>
        <v>#REF!</v>
      </c>
      <c r="X24" s="407" t="str">
        <f t="shared" si="7"/>
        <v>#REF!</v>
      </c>
      <c r="Y24" s="407" t="str">
        <f t="shared" si="7"/>
        <v>#REF!</v>
      </c>
      <c r="Z24" s="340"/>
    </row>
    <row r="25">
      <c r="A25" s="379" t="str">
        <f>'Normalized Import'!A24</f>
        <v>biorender</v>
      </c>
      <c r="B25" s="402">
        <f>'Normalized Import'!B24</f>
        <v>45261</v>
      </c>
      <c r="C25" s="403">
        <f>'Normalized Import'!C24</f>
        <v>2000</v>
      </c>
      <c r="D25" s="404"/>
      <c r="E25" s="384">
        <f>'Most Recent Import'!E24</f>
        <v>24</v>
      </c>
      <c r="F25" s="405">
        <f>'Normalized Import'!E24</f>
        <v>3</v>
      </c>
      <c r="G25" s="405">
        <f>IF(EQ('Normalized Import'!F24, ""),"", 'Normalized Import'!F24+F25)</f>
        <v>6</v>
      </c>
      <c r="H25" s="405">
        <f>IF(EQ('Normalized Import'!G24, ""), "", 'Normalized Import'!G24+G25)</f>
        <v>14</v>
      </c>
      <c r="I25" s="405">
        <f>IF(EQ('Normalized Import'!H24, ""),"", 'Normalized Import'!H24+H25)</f>
        <v>16</v>
      </c>
      <c r="J25" s="405">
        <f>IF(EQ('Normalized Import'!I24, ""), "", 'Normalized Import'!I24+I25)</f>
        <v>24</v>
      </c>
      <c r="K25" s="405">
        <f>IF(EQ('Normalized Import'!J24, ""),"", 'Normalized Import'!J24+J25)</f>
        <v>31</v>
      </c>
      <c r="L25" s="405">
        <f>IF(EQ('Normalized Import'!K24, ""), "", 'Normalized Import'!K24+K25)</f>
        <v>32</v>
      </c>
      <c r="M25" s="405">
        <f>IF(EQ('Normalized Import'!L24, ""),"", 'Normalized Import'!L24+L25)</f>
        <v>36</v>
      </c>
      <c r="N25" s="405">
        <f>IF(EQ('Normalized Import'!M24, ""), "", 'Normalized Import'!M24+M25)</f>
        <v>39</v>
      </c>
      <c r="O25" s="405">
        <f>IF(EQ('Normalized Import'!N24, ""),"", 'Normalized Import'!N24+N25)</f>
        <v>41</v>
      </c>
      <c r="P25" s="405">
        <f>IF(EQ('Normalized Import'!O24, ""), "", 'Normalized Import'!O24+O25)</f>
        <v>46</v>
      </c>
      <c r="Q25" s="405">
        <f>IF(EQ('Normalized Import'!P24, ""),"", 'Normalized Import'!P24+P25)</f>
        <v>55</v>
      </c>
      <c r="R25" s="407"/>
      <c r="S25" s="407"/>
      <c r="T25" s="407" t="str">
        <f t="shared" ref="T25:Y25" si="8">'Studies Published Data Monthly - Cumulative'!AF25</f>
        <v>#REF!</v>
      </c>
      <c r="U25" s="407" t="str">
        <f t="shared" si="8"/>
        <v>#REF!</v>
      </c>
      <c r="V25" s="407" t="str">
        <f t="shared" si="8"/>
        <v>#REF!</v>
      </c>
      <c r="W25" s="407" t="str">
        <f t="shared" si="8"/>
        <v>#REF!</v>
      </c>
      <c r="X25" s="407" t="str">
        <f t="shared" si="8"/>
        <v>#REF!</v>
      </c>
      <c r="Y25" s="407" t="str">
        <f t="shared" si="8"/>
        <v>#REF!</v>
      </c>
      <c r="Z25" s="340"/>
    </row>
    <row r="26">
      <c r="A26" s="379" t="str">
        <f>'Normalized Import'!A25</f>
        <v>checkr</v>
      </c>
      <c r="B26" s="402">
        <f>'Normalized Import'!B25</f>
        <v>45261</v>
      </c>
      <c r="C26" s="403">
        <f>'Normalized Import'!C25</f>
        <v>10000</v>
      </c>
      <c r="D26" s="404"/>
      <c r="E26" s="384">
        <f>'Most Recent Import'!E25</f>
        <v>24</v>
      </c>
      <c r="F26" s="405">
        <f>'Normalized Import'!E25</f>
        <v>0</v>
      </c>
      <c r="G26" s="405">
        <f>IF(EQ('Normalized Import'!F25, ""),"", 'Normalized Import'!F25+F26)</f>
        <v>1</v>
      </c>
      <c r="H26" s="405">
        <f>IF(EQ('Normalized Import'!G25, ""), "", 'Normalized Import'!G25+G26)</f>
        <v>3</v>
      </c>
      <c r="I26" s="405">
        <f>IF(EQ('Normalized Import'!H25, ""),"", 'Normalized Import'!H25+H26)</f>
        <v>3</v>
      </c>
      <c r="J26" s="405">
        <f>IF(EQ('Normalized Import'!I25, ""), "", 'Normalized Import'!I25+I26)</f>
        <v>8</v>
      </c>
      <c r="K26" s="405">
        <f>IF(EQ('Normalized Import'!J25, ""),"", 'Normalized Import'!J25+J26)</f>
        <v>9</v>
      </c>
      <c r="L26" s="405">
        <f>IF(EQ('Normalized Import'!K25, ""), "", 'Normalized Import'!K25+K26)</f>
        <v>13</v>
      </c>
      <c r="M26" s="405">
        <f>IF(EQ('Normalized Import'!L25, ""),"", 'Normalized Import'!L25+L26)</f>
        <v>17</v>
      </c>
      <c r="N26" s="405">
        <f>IF(EQ('Normalized Import'!M25, ""), "", 'Normalized Import'!M25+M26)</f>
        <v>18</v>
      </c>
      <c r="O26" s="405">
        <f>IF(EQ('Normalized Import'!N25, ""),"", 'Normalized Import'!N25+N26)</f>
        <v>20</v>
      </c>
      <c r="P26" s="405">
        <f>IF(EQ('Normalized Import'!O25, ""), "", 'Normalized Import'!O25+O26)</f>
        <v>23</v>
      </c>
      <c r="Q26" s="405">
        <f>IF(EQ('Normalized Import'!P25, ""),"", 'Normalized Import'!P25+P26)</f>
        <v>26</v>
      </c>
      <c r="R26" s="407"/>
      <c r="S26" s="407"/>
      <c r="T26" s="407" t="str">
        <f t="shared" ref="T26:Y26" si="9">'Studies Published Data Monthly - Cumulative'!AF26</f>
        <v>#REF!</v>
      </c>
      <c r="U26" s="407" t="str">
        <f t="shared" si="9"/>
        <v>#REF!</v>
      </c>
      <c r="V26" s="407" t="str">
        <f t="shared" si="9"/>
        <v>#REF!</v>
      </c>
      <c r="W26" s="407" t="str">
        <f t="shared" si="9"/>
        <v>#REF!</v>
      </c>
      <c r="X26" s="407" t="str">
        <f t="shared" si="9"/>
        <v>#REF!</v>
      </c>
      <c r="Y26" s="407" t="str">
        <f t="shared" si="9"/>
        <v>#REF!</v>
      </c>
      <c r="Z26" s="340"/>
    </row>
    <row r="27">
      <c r="A27" s="379" t="str">
        <f>'Normalized Import'!A26</f>
        <v>gp-research</v>
      </c>
      <c r="B27" s="402">
        <f>'Normalized Import'!B26</f>
        <v>45261</v>
      </c>
      <c r="C27" s="403">
        <f>'Normalized Import'!C26</f>
        <v>10000</v>
      </c>
      <c r="D27" s="404"/>
      <c r="E27" s="384">
        <f>'Most Recent Import'!E26</f>
        <v>24</v>
      </c>
      <c r="F27" s="405">
        <f>'Normalized Import'!E26</f>
        <v>0</v>
      </c>
      <c r="G27" s="405">
        <f>IF(EQ('Normalized Import'!F26, ""),"", 'Normalized Import'!F26+F27)</f>
        <v>0</v>
      </c>
      <c r="H27" s="405">
        <f>IF(EQ('Normalized Import'!G26, ""), "", 'Normalized Import'!G26+G27)</f>
        <v>0</v>
      </c>
      <c r="I27" s="405">
        <f>IF(EQ('Normalized Import'!H26, ""),"", 'Normalized Import'!H26+H27)</f>
        <v>2</v>
      </c>
      <c r="J27" s="405">
        <f>IF(EQ('Normalized Import'!I26, ""), "", 'Normalized Import'!I26+I27)</f>
        <v>8</v>
      </c>
      <c r="K27" s="405">
        <f>IF(EQ('Normalized Import'!J26, ""),"", 'Normalized Import'!J26+J27)</f>
        <v>11</v>
      </c>
      <c r="L27" s="405">
        <f>IF(EQ('Normalized Import'!K26, ""), "", 'Normalized Import'!K26+K27)</f>
        <v>13</v>
      </c>
      <c r="M27" s="405">
        <f>IF(EQ('Normalized Import'!L26, ""),"", 'Normalized Import'!L26+L27)</f>
        <v>20</v>
      </c>
      <c r="N27" s="405">
        <f>IF(EQ('Normalized Import'!M26, ""), "", 'Normalized Import'!M26+M27)</f>
        <v>21</v>
      </c>
      <c r="O27" s="405">
        <f>IF(EQ('Normalized Import'!N26, ""),"", 'Normalized Import'!N26+N27)</f>
        <v>22</v>
      </c>
      <c r="P27" s="405">
        <f>IF(EQ('Normalized Import'!O26, ""), "", 'Normalized Import'!O26+O27)</f>
        <v>26</v>
      </c>
      <c r="Q27" s="405">
        <f>IF(EQ('Normalized Import'!P26, ""),"", 'Normalized Import'!P26+P27)</f>
        <v>29</v>
      </c>
      <c r="R27" s="407"/>
      <c r="S27" s="407"/>
      <c r="T27" s="407" t="str">
        <f t="shared" ref="T27:Y27" si="10">'Studies Published Data Monthly - Cumulative'!AF27</f>
        <v>#REF!</v>
      </c>
      <c r="U27" s="407" t="str">
        <f t="shared" si="10"/>
        <v>#REF!</v>
      </c>
      <c r="V27" s="407" t="str">
        <f t="shared" si="10"/>
        <v>#REF!</v>
      </c>
      <c r="W27" s="407" t="str">
        <f t="shared" si="10"/>
        <v>#REF!</v>
      </c>
      <c r="X27" s="407" t="str">
        <f t="shared" si="10"/>
        <v>#REF!</v>
      </c>
      <c r="Y27" s="407" t="str">
        <f t="shared" si="10"/>
        <v>#REF!</v>
      </c>
      <c r="Z27" s="340"/>
    </row>
    <row r="28">
      <c r="A28" s="379" t="str">
        <f>'Normalized Import'!A27</f>
        <v>sailpoint</v>
      </c>
      <c r="B28" s="402">
        <f>'Normalized Import'!B27</f>
        <v>45261</v>
      </c>
      <c r="C28" s="403">
        <f>'Normalized Import'!C27</f>
        <v>12000</v>
      </c>
      <c r="D28" s="404"/>
      <c r="E28" s="384">
        <f>'Most Recent Import'!E27</f>
        <v>12</v>
      </c>
      <c r="F28" s="405">
        <f>'Normalized Import'!E27</f>
        <v>0</v>
      </c>
      <c r="G28" s="405">
        <f>IF(EQ('Normalized Import'!F27, ""),"", 'Normalized Import'!F27+F28)</f>
        <v>0</v>
      </c>
      <c r="H28" s="405">
        <f>IF(EQ('Normalized Import'!G27, ""), "", 'Normalized Import'!G27+G28)</f>
        <v>0</v>
      </c>
      <c r="I28" s="405">
        <f>IF(EQ('Normalized Import'!H27, ""),"", 'Normalized Import'!H27+H28)</f>
        <v>0</v>
      </c>
      <c r="J28" s="405">
        <f>IF(EQ('Normalized Import'!I27, ""), "", 'Normalized Import'!I27+I28)</f>
        <v>0</v>
      </c>
      <c r="K28" s="405">
        <f>IF(EQ('Normalized Import'!J27, ""),"", 'Normalized Import'!J27+J28)</f>
        <v>0</v>
      </c>
      <c r="L28" s="405">
        <f>IF(EQ('Normalized Import'!K27, ""), "", 'Normalized Import'!K27+K28)</f>
        <v>0</v>
      </c>
      <c r="M28" s="405">
        <f>IF(EQ('Normalized Import'!L27, ""),"", 'Normalized Import'!L27+L28)</f>
        <v>0</v>
      </c>
      <c r="N28" s="405">
        <f>IF(EQ('Normalized Import'!M27, ""), "", 'Normalized Import'!M27+M28)</f>
        <v>0</v>
      </c>
      <c r="O28" s="405">
        <f>IF(EQ('Normalized Import'!N27, ""),"", 'Normalized Import'!N27+N28)</f>
        <v>0</v>
      </c>
      <c r="P28" s="405">
        <f>IF(EQ('Normalized Import'!O27, ""), "", 'Normalized Import'!O27+O28)</f>
        <v>5</v>
      </c>
      <c r="Q28" s="405">
        <f>IF(EQ('Normalized Import'!P27, ""),"", 'Normalized Import'!P27+P28)</f>
        <v>7</v>
      </c>
      <c r="R28" s="407"/>
      <c r="S28" s="407"/>
      <c r="T28" s="407" t="str">
        <f t="shared" ref="T28:Y28" si="11">'Studies Published Data Monthly - Cumulative'!AG28</f>
        <v>#REF!</v>
      </c>
      <c r="U28" s="407" t="str">
        <f t="shared" si="11"/>
        <v>#REF!</v>
      </c>
      <c r="V28" s="407" t="str">
        <f t="shared" si="11"/>
        <v>#REF!</v>
      </c>
      <c r="W28" s="407" t="str">
        <f t="shared" si="11"/>
        <v>#REF!</v>
      </c>
      <c r="X28" s="407" t="str">
        <f t="shared" si="11"/>
        <v>#REF!</v>
      </c>
      <c r="Y28" s="407" t="str">
        <f t="shared" si="11"/>
        <v>#REF!</v>
      </c>
      <c r="Z28" s="340"/>
    </row>
    <row r="29">
      <c r="A29" s="379" t="str">
        <f>'Normalized Import'!A28</f>
        <v>stack_overflow</v>
      </c>
      <c r="B29" s="402">
        <f>'Normalized Import'!B28</f>
        <v>45261</v>
      </c>
      <c r="C29" s="403">
        <f>'Normalized Import'!C28</f>
        <v>22500</v>
      </c>
      <c r="D29" s="404"/>
      <c r="E29" s="384">
        <f>'Most Recent Import'!E28</f>
        <v>24</v>
      </c>
      <c r="F29" s="405">
        <f>'Normalized Import'!E28</f>
        <v>0</v>
      </c>
      <c r="G29" s="405">
        <f>IF(EQ('Normalized Import'!F28, ""),"", 'Normalized Import'!F28+F29)</f>
        <v>0</v>
      </c>
      <c r="H29" s="405">
        <f>IF(EQ('Normalized Import'!G28, ""), "", 'Normalized Import'!G28+G29)</f>
        <v>0</v>
      </c>
      <c r="I29" s="405">
        <f>IF(EQ('Normalized Import'!H28, ""),"", 'Normalized Import'!H28+H29)</f>
        <v>0</v>
      </c>
      <c r="J29" s="405">
        <f>IF(EQ('Normalized Import'!I28, ""), "", 'Normalized Import'!I28+I29)</f>
        <v>0</v>
      </c>
      <c r="K29" s="405">
        <f>IF(EQ('Normalized Import'!J28, ""),"", 'Normalized Import'!J28+J29)</f>
        <v>0</v>
      </c>
      <c r="L29" s="405">
        <f>IF(EQ('Normalized Import'!K28, ""), "", 'Normalized Import'!K28+K29)</f>
        <v>0</v>
      </c>
      <c r="M29" s="405">
        <f>IF(EQ('Normalized Import'!L28, ""),"", 'Normalized Import'!L28+L29)</f>
        <v>0</v>
      </c>
      <c r="N29" s="405">
        <f>IF(EQ('Normalized Import'!M28, ""), "", 'Normalized Import'!M28+M29)</f>
        <v>0</v>
      </c>
      <c r="O29" s="405">
        <f>IF(EQ('Normalized Import'!N28, ""),"", 'Normalized Import'!N28+N29)</f>
        <v>4</v>
      </c>
      <c r="P29" s="405">
        <f>IF(EQ('Normalized Import'!O28, ""), "", 'Normalized Import'!O28+O29)</f>
        <v>4</v>
      </c>
      <c r="Q29" s="405">
        <f>IF(EQ('Normalized Import'!P28, ""),"", 'Normalized Import'!P28+P29)</f>
        <v>9</v>
      </c>
      <c r="R29" s="407"/>
      <c r="S29" s="407"/>
      <c r="T29" s="407" t="str">
        <f t="shared" ref="T29:Y29" si="12">'Studies Published Data Monthly - Cumulative'!AI29</f>
        <v>#REF!</v>
      </c>
      <c r="U29" s="407" t="str">
        <f t="shared" si="12"/>
        <v>#REF!</v>
      </c>
      <c r="V29" s="407" t="str">
        <f t="shared" si="12"/>
        <v>#REF!</v>
      </c>
      <c r="W29" s="407" t="str">
        <f t="shared" si="12"/>
        <v>#REF!</v>
      </c>
      <c r="X29" s="407" t="str">
        <f t="shared" si="12"/>
        <v>#REF!</v>
      </c>
      <c r="Y29" s="407" t="str">
        <f t="shared" si="12"/>
        <v>#REF!</v>
      </c>
      <c r="Z29" s="340"/>
    </row>
    <row r="30">
      <c r="A30" s="379" t="str">
        <f>'Normalized Import'!A29</f>
        <v>teachable</v>
      </c>
      <c r="B30" s="402">
        <f>'Normalized Import'!B29</f>
        <v>45261</v>
      </c>
      <c r="C30" s="403">
        <f>'Normalized Import'!C29</f>
        <v>3000</v>
      </c>
      <c r="D30" s="404"/>
      <c r="E30" s="384">
        <f>'Most Recent Import'!E29</f>
        <v>24</v>
      </c>
      <c r="F30" s="405">
        <f>'Normalized Import'!E29</f>
        <v>3</v>
      </c>
      <c r="G30" s="405">
        <f>IF(EQ('Normalized Import'!F29, ""),"", 'Normalized Import'!F29+F30)</f>
        <v>11</v>
      </c>
      <c r="H30" s="405">
        <f>IF(EQ('Normalized Import'!G29, ""), "", 'Normalized Import'!G29+G30)</f>
        <v>13</v>
      </c>
      <c r="I30" s="405">
        <f>IF(EQ('Normalized Import'!H29, ""),"", 'Normalized Import'!H29+H30)</f>
        <v>18</v>
      </c>
      <c r="J30" s="405">
        <f>IF(EQ('Normalized Import'!I29, ""), "", 'Normalized Import'!I29+I30)</f>
        <v>23</v>
      </c>
      <c r="K30" s="405">
        <f>IF(EQ('Normalized Import'!J29, ""),"", 'Normalized Import'!J29+J30)</f>
        <v>27</v>
      </c>
      <c r="L30" s="405">
        <f>IF(EQ('Normalized Import'!K29, ""), "", 'Normalized Import'!K29+K30)</f>
        <v>28</v>
      </c>
      <c r="M30" s="405">
        <f>IF(EQ('Normalized Import'!L29, ""),"", 'Normalized Import'!L29+L30)</f>
        <v>35</v>
      </c>
      <c r="N30" s="405">
        <f>IF(EQ('Normalized Import'!M29, ""), "", 'Normalized Import'!M29+M30)</f>
        <v>38</v>
      </c>
      <c r="O30" s="405">
        <f>IF(EQ('Normalized Import'!N29, ""),"", 'Normalized Import'!N29+N30)</f>
        <v>42</v>
      </c>
      <c r="P30" s="405">
        <f>IF(EQ('Normalized Import'!O29, ""), "", 'Normalized Import'!O29+O30)</f>
        <v>47</v>
      </c>
      <c r="Q30" s="405">
        <f>IF(EQ('Normalized Import'!P29, ""),"", 'Normalized Import'!P29+P30)</f>
        <v>50</v>
      </c>
      <c r="R30" s="407"/>
      <c r="S30" s="407"/>
      <c r="T30" s="407" t="str">
        <f t="shared" ref="T30:Y30" si="13">'Studies Published Data Monthly - Cumulative'!AI30</f>
        <v>#REF!</v>
      </c>
      <c r="U30" s="407" t="str">
        <f t="shared" si="13"/>
        <v>#REF!</v>
      </c>
      <c r="V30" s="407" t="str">
        <f t="shared" si="13"/>
        <v>#REF!</v>
      </c>
      <c r="W30" s="407" t="str">
        <f t="shared" si="13"/>
        <v>#REF!</v>
      </c>
      <c r="X30" s="407" t="str">
        <f t="shared" si="13"/>
        <v>#REF!</v>
      </c>
      <c r="Y30" s="407" t="str">
        <f t="shared" si="13"/>
        <v>#REF!</v>
      </c>
      <c r="Z30" s="340"/>
    </row>
    <row r="31">
      <c r="A31" s="379" t="str">
        <f>'Normalized Import'!A30</f>
        <v>adobe</v>
      </c>
      <c r="B31" s="402">
        <f>'Normalized Import'!B30</f>
        <v>45292</v>
      </c>
      <c r="C31" s="403">
        <f>'Normalized Import'!C30</f>
        <v>35000</v>
      </c>
      <c r="D31" s="404"/>
      <c r="E31" s="384">
        <f>'Most Recent Import'!E30</f>
        <v>36</v>
      </c>
      <c r="F31" s="405">
        <f>'Normalized Import'!E30</f>
        <v>0</v>
      </c>
      <c r="G31" s="405">
        <f>IF(EQ('Normalized Import'!F30, ""),"", 'Normalized Import'!F30+F31)</f>
        <v>0</v>
      </c>
      <c r="H31" s="405">
        <f>IF(EQ('Normalized Import'!G30, ""), "", 'Normalized Import'!G30+G31)</f>
        <v>0</v>
      </c>
      <c r="I31" s="405">
        <f>IF(EQ('Normalized Import'!H30, ""),"", 'Normalized Import'!H30+H31)</f>
        <v>0</v>
      </c>
      <c r="J31" s="405">
        <f>IF(EQ('Normalized Import'!I30, ""), "", 'Normalized Import'!I30+I31)</f>
        <v>0</v>
      </c>
      <c r="K31" s="405">
        <f>IF(EQ('Normalized Import'!J30, ""),"", 'Normalized Import'!J30+J31)</f>
        <v>0</v>
      </c>
      <c r="L31" s="405">
        <f>IF(EQ('Normalized Import'!K30, ""), "", 'Normalized Import'!K30+K31)</f>
        <v>0</v>
      </c>
      <c r="M31" s="405">
        <f>IF(EQ('Normalized Import'!L30, ""),"", 'Normalized Import'!L30+L31)</f>
        <v>0</v>
      </c>
      <c r="N31" s="405">
        <f>IF(EQ('Normalized Import'!M30, ""), "", 'Normalized Import'!M30+M31)</f>
        <v>0</v>
      </c>
      <c r="O31" s="405">
        <f>IF(EQ('Normalized Import'!N30, ""),"", 'Normalized Import'!N30+N31)</f>
        <v>3</v>
      </c>
      <c r="P31" s="405">
        <f>IF(EQ('Normalized Import'!O30, ""), "", 'Normalized Import'!O30+O31)</f>
        <v>11</v>
      </c>
      <c r="Q31" s="405">
        <f>IF(EQ('Normalized Import'!P30, ""),"", 'Normalized Import'!P30+P31)</f>
        <v>44</v>
      </c>
      <c r="R31" s="407"/>
      <c r="S31" s="407"/>
      <c r="T31" s="407" t="str">
        <f t="shared" ref="T31:Y31" si="14">'Studies Published Data Monthly - Cumulative'!AI31</f>
        <v>#REF!</v>
      </c>
      <c r="U31" s="407" t="str">
        <f t="shared" si="14"/>
        <v>#REF!</v>
      </c>
      <c r="V31" s="407" t="str">
        <f t="shared" si="14"/>
        <v>#REF!</v>
      </c>
      <c r="W31" s="407" t="str">
        <f t="shared" si="14"/>
        <v>#REF!</v>
      </c>
      <c r="X31" s="407" t="str">
        <f t="shared" si="14"/>
        <v>#REF!</v>
      </c>
      <c r="Y31" s="407" t="str">
        <f t="shared" si="14"/>
        <v>#REF!</v>
      </c>
      <c r="Z31" s="340"/>
    </row>
    <row r="32">
      <c r="A32" s="379" t="str">
        <f>'Normalized Import'!A31</f>
        <v>adobe_community</v>
      </c>
      <c r="B32" s="402">
        <f>'Normalized Import'!B31</f>
        <v>45292</v>
      </c>
      <c r="C32" s="403">
        <f>'Normalized Import'!C31</f>
        <v>35000</v>
      </c>
      <c r="D32" s="404"/>
      <c r="E32" s="384">
        <f>'Most Recent Import'!E31</f>
        <v>36</v>
      </c>
      <c r="F32" s="405">
        <f>'Normalized Import'!E31</f>
        <v>0</v>
      </c>
      <c r="G32" s="405">
        <f>IF(EQ('Normalized Import'!F31, ""),"", 'Normalized Import'!F31+F32)</f>
        <v>0</v>
      </c>
      <c r="H32" s="405">
        <f>IF(EQ('Normalized Import'!G31, ""), "", 'Normalized Import'!G31+G32)</f>
        <v>0</v>
      </c>
      <c r="I32" s="405">
        <f>IF(EQ('Normalized Import'!H31, ""),"", 'Normalized Import'!H31+H32)</f>
        <v>0</v>
      </c>
      <c r="J32" s="405">
        <f>IF(EQ('Normalized Import'!I31, ""), "", 'Normalized Import'!I31+I32)</f>
        <v>0</v>
      </c>
      <c r="K32" s="405">
        <f>IF(EQ('Normalized Import'!J31, ""),"", 'Normalized Import'!J31+J32)</f>
        <v>0</v>
      </c>
      <c r="L32" s="405">
        <f>IF(EQ('Normalized Import'!K31, ""), "", 'Normalized Import'!K31+K32)</f>
        <v>0</v>
      </c>
      <c r="M32" s="405">
        <f>IF(EQ('Normalized Import'!L31, ""),"", 'Normalized Import'!L31+L32)</f>
        <v>0</v>
      </c>
      <c r="N32" s="405">
        <f>IF(EQ('Normalized Import'!M31, ""), "", 'Normalized Import'!M31+M32)</f>
        <v>0</v>
      </c>
      <c r="O32" s="405">
        <f>IF(EQ('Normalized Import'!N31, ""),"", 'Normalized Import'!N31+N32)</f>
        <v>0</v>
      </c>
      <c r="P32" s="405">
        <f>IF(EQ('Normalized Import'!O31, ""), "", 'Normalized Import'!O31+O32)</f>
        <v>0</v>
      </c>
      <c r="Q32" s="405">
        <f>IF(EQ('Normalized Import'!P31, ""),"", 'Normalized Import'!P31+P32)</f>
        <v>1</v>
      </c>
      <c r="R32" s="407"/>
      <c r="S32" s="407"/>
      <c r="T32" s="407" t="str">
        <f t="shared" ref="T32:Y32" si="15">'Studies Published Data Monthly - Cumulative'!AI32</f>
        <v>#REF!</v>
      </c>
      <c r="U32" s="407" t="str">
        <f t="shared" si="15"/>
        <v>#REF!</v>
      </c>
      <c r="V32" s="407" t="str">
        <f t="shared" si="15"/>
        <v>#REF!</v>
      </c>
      <c r="W32" s="407" t="str">
        <f t="shared" si="15"/>
        <v>#REF!</v>
      </c>
      <c r="X32" s="407" t="str">
        <f t="shared" si="15"/>
        <v>#REF!</v>
      </c>
      <c r="Y32" s="407" t="str">
        <f t="shared" si="15"/>
        <v>#REF!</v>
      </c>
      <c r="Z32" s="340"/>
    </row>
    <row r="33">
      <c r="A33" s="379" t="str">
        <f>'Normalized Import'!A32</f>
        <v>blackbaud</v>
      </c>
      <c r="B33" s="402">
        <f>'Normalized Import'!B32</f>
        <v>45292</v>
      </c>
      <c r="C33" s="403">
        <f>'Normalized Import'!C32</f>
        <v>50000</v>
      </c>
      <c r="D33" s="404"/>
      <c r="E33" s="384">
        <f>'Most Recent Import'!E32</f>
        <v>48</v>
      </c>
      <c r="F33" s="405">
        <f>'Normalized Import'!E32</f>
        <v>8</v>
      </c>
      <c r="G33" s="405">
        <f>IF(EQ('Normalized Import'!F32, ""),"", 'Normalized Import'!F32+F33)</f>
        <v>12</v>
      </c>
      <c r="H33" s="405">
        <f>IF(EQ('Normalized Import'!G32, ""), "", 'Normalized Import'!G32+G33)</f>
        <v>13</v>
      </c>
      <c r="I33" s="405">
        <f>IF(EQ('Normalized Import'!H32, ""),"", 'Normalized Import'!H32+H33)</f>
        <v>27</v>
      </c>
      <c r="J33" s="405">
        <f>IF(EQ('Normalized Import'!I32, ""), "", 'Normalized Import'!I32+I33)</f>
        <v>38</v>
      </c>
      <c r="K33" s="405">
        <f>IF(EQ('Normalized Import'!J32, ""),"", 'Normalized Import'!J32+J33)</f>
        <v>40</v>
      </c>
      <c r="L33" s="405">
        <f>IF(EQ('Normalized Import'!K32, ""), "", 'Normalized Import'!K32+K33)</f>
        <v>45</v>
      </c>
      <c r="M33" s="405">
        <f>IF(EQ('Normalized Import'!L32, ""),"", 'Normalized Import'!L32+L33)</f>
        <v>50</v>
      </c>
      <c r="N33" s="405">
        <f>IF(EQ('Normalized Import'!M32, ""), "", 'Normalized Import'!M32+M33)</f>
        <v>55</v>
      </c>
      <c r="O33" s="405">
        <f>IF(EQ('Normalized Import'!N32, ""),"", 'Normalized Import'!N32+N33)</f>
        <v>61</v>
      </c>
      <c r="P33" s="405">
        <f>IF(EQ('Normalized Import'!O32, ""), "", 'Normalized Import'!O32+O33)</f>
        <v>69</v>
      </c>
      <c r="Q33" s="405">
        <f>IF(EQ('Normalized Import'!P32, ""),"", 'Normalized Import'!P32+P33)</f>
        <v>81</v>
      </c>
      <c r="R33" s="407"/>
      <c r="S33" s="407"/>
      <c r="T33" s="407" t="str">
        <f t="shared" ref="T33:Y33" si="16">'Studies Published Data Monthly - Cumulative'!AJ33</f>
        <v>#REF!</v>
      </c>
      <c r="U33" s="407" t="str">
        <f t="shared" si="16"/>
        <v>#REF!</v>
      </c>
      <c r="V33" s="407" t="str">
        <f t="shared" si="16"/>
        <v>#REF!</v>
      </c>
      <c r="W33" s="407" t="str">
        <f t="shared" si="16"/>
        <v>#REF!</v>
      </c>
      <c r="X33" s="407" t="str">
        <f t="shared" si="16"/>
        <v>#REF!</v>
      </c>
      <c r="Y33" s="407" t="str">
        <f t="shared" si="16"/>
        <v>#REF!</v>
      </c>
      <c r="Z33" s="340"/>
    </row>
    <row r="34">
      <c r="A34" s="379" t="str">
        <f>'Normalized Import'!A33</f>
        <v>docuware</v>
      </c>
      <c r="B34" s="402">
        <f>'Normalized Import'!B33</f>
        <v>45292</v>
      </c>
      <c r="C34" s="403">
        <f>'Normalized Import'!C33</f>
        <v>5000</v>
      </c>
      <c r="D34" s="404"/>
      <c r="E34" s="384">
        <f>'Most Recent Import'!E33</f>
        <v>12</v>
      </c>
      <c r="F34" s="405">
        <f>'Normalized Import'!E33</f>
        <v>0</v>
      </c>
      <c r="G34" s="405">
        <f>IF(EQ('Normalized Import'!F33, ""),"", 'Normalized Import'!F33+F34)</f>
        <v>0</v>
      </c>
      <c r="H34" s="405">
        <f>IF(EQ('Normalized Import'!G33, ""), "", 'Normalized Import'!G33+G34)</f>
        <v>0</v>
      </c>
      <c r="I34" s="405">
        <f>IF(EQ('Normalized Import'!H33, ""),"", 'Normalized Import'!H33+H34)</f>
        <v>0</v>
      </c>
      <c r="J34" s="405">
        <f>IF(EQ('Normalized Import'!I33, ""), "", 'Normalized Import'!I33+I34)</f>
        <v>0</v>
      </c>
      <c r="K34" s="405">
        <f>IF(EQ('Normalized Import'!J33, ""),"", 'Normalized Import'!J33+J34)</f>
        <v>0</v>
      </c>
      <c r="L34" s="405">
        <f>IF(EQ('Normalized Import'!K33, ""), "", 'Normalized Import'!K33+K34)</f>
        <v>0</v>
      </c>
      <c r="M34" s="405">
        <f>IF(EQ('Normalized Import'!L33, ""),"", 'Normalized Import'!L33+L34)</f>
        <v>0</v>
      </c>
      <c r="N34" s="405">
        <f>IF(EQ('Normalized Import'!M33, ""), "", 'Normalized Import'!M33+M34)</f>
        <v>0</v>
      </c>
      <c r="O34" s="405">
        <f>IF(EQ('Normalized Import'!N33, ""),"", 'Normalized Import'!N33+N34)</f>
        <v>0</v>
      </c>
      <c r="P34" s="405">
        <f>IF(EQ('Normalized Import'!O33, ""), "", 'Normalized Import'!O33+O34)</f>
        <v>0</v>
      </c>
      <c r="Q34" s="405">
        <f>IF(EQ('Normalized Import'!P33, ""),"", 'Normalized Import'!P33+P34)</f>
        <v>1</v>
      </c>
      <c r="R34" s="407"/>
      <c r="S34" s="407"/>
      <c r="T34" s="407" t="str">
        <f t="shared" ref="T34:Y34" si="17">'Studies Published Data Monthly - Cumulative'!AJ34</f>
        <v>#REF!</v>
      </c>
      <c r="U34" s="407" t="str">
        <f t="shared" si="17"/>
        <v>#REF!</v>
      </c>
      <c r="V34" s="407" t="str">
        <f t="shared" si="17"/>
        <v>#REF!</v>
      </c>
      <c r="W34" s="407" t="str">
        <f t="shared" si="17"/>
        <v>#REF!</v>
      </c>
      <c r="X34" s="407" t="str">
        <f t="shared" si="17"/>
        <v>#REF!</v>
      </c>
      <c r="Y34" s="407" t="str">
        <f t="shared" si="17"/>
        <v>#REF!</v>
      </c>
      <c r="Z34" s="340"/>
    </row>
    <row r="35">
      <c r="A35" s="379" t="str">
        <f>'Normalized Import'!A34</f>
        <v>domo</v>
      </c>
      <c r="B35" s="402">
        <f>'Normalized Import'!B34</f>
        <v>45292</v>
      </c>
      <c r="C35" s="403">
        <f>'Normalized Import'!C34</f>
        <v>12000</v>
      </c>
      <c r="D35" s="404"/>
      <c r="E35" s="384">
        <f>'Most Recent Import'!E34</f>
        <v>12</v>
      </c>
      <c r="F35" s="405">
        <f>'Normalized Import'!E34</f>
        <v>0</v>
      </c>
      <c r="G35" s="405">
        <f>IF(EQ('Normalized Import'!F34, ""),"", 'Normalized Import'!F34+F35)</f>
        <v>0</v>
      </c>
      <c r="H35" s="405">
        <f>IF(EQ('Normalized Import'!G34, ""), "", 'Normalized Import'!G34+G35)</f>
        <v>0</v>
      </c>
      <c r="I35" s="405">
        <f>IF(EQ('Normalized Import'!H34, ""),"", 'Normalized Import'!H34+H35)</f>
        <v>0</v>
      </c>
      <c r="J35" s="405">
        <f>IF(EQ('Normalized Import'!I34, ""), "", 'Normalized Import'!I34+I35)</f>
        <v>0</v>
      </c>
      <c r="K35" s="405">
        <f>IF(EQ('Normalized Import'!J34, ""),"", 'Normalized Import'!J34+J35)</f>
        <v>0</v>
      </c>
      <c r="L35" s="405">
        <f>IF(EQ('Normalized Import'!K34, ""), "", 'Normalized Import'!K34+K35)</f>
        <v>0</v>
      </c>
      <c r="M35" s="405">
        <f>IF(EQ('Normalized Import'!L34, ""),"", 'Normalized Import'!L34+L35)</f>
        <v>0</v>
      </c>
      <c r="N35" s="405">
        <f>IF(EQ('Normalized Import'!M34, ""), "", 'Normalized Import'!M34+M35)</f>
        <v>0</v>
      </c>
      <c r="O35" s="405">
        <f>IF(EQ('Normalized Import'!N34, ""),"", 'Normalized Import'!N34+N35)</f>
        <v>0</v>
      </c>
      <c r="P35" s="405">
        <f>IF(EQ('Normalized Import'!O34, ""), "", 'Normalized Import'!O34+O35)</f>
        <v>1</v>
      </c>
      <c r="Q35" s="405">
        <f>IF(EQ('Normalized Import'!P34, ""),"", 'Normalized Import'!P34+P35)</f>
        <v>7</v>
      </c>
      <c r="R35" s="407"/>
      <c r="S35" s="407"/>
      <c r="T35" s="407" t="str">
        <f t="shared" ref="T35:Y35" si="18">'Studies Published Data Monthly - Cumulative'!AJ35</f>
        <v>#REF!</v>
      </c>
      <c r="U35" s="407" t="str">
        <f t="shared" si="18"/>
        <v>#REF!</v>
      </c>
      <c r="V35" s="407" t="str">
        <f t="shared" si="18"/>
        <v>#REF!</v>
      </c>
      <c r="W35" s="407" t="str">
        <f t="shared" si="18"/>
        <v>#REF!</v>
      </c>
      <c r="X35" s="407" t="str">
        <f t="shared" si="18"/>
        <v>#REF!</v>
      </c>
      <c r="Y35" s="407" t="str">
        <f t="shared" si="18"/>
        <v>#REF!</v>
      </c>
      <c r="Z35" s="340"/>
    </row>
    <row r="36">
      <c r="A36" s="379" t="str">
        <f>'Normalized Import'!A35</f>
        <v>pandadoc</v>
      </c>
      <c r="B36" s="402">
        <f>'Normalized Import'!B35</f>
        <v>45292</v>
      </c>
      <c r="C36" s="403">
        <f>'Normalized Import'!C35</f>
        <v>7500</v>
      </c>
      <c r="D36" s="404"/>
      <c r="E36" s="384">
        <f>'Most Recent Import'!E35</f>
        <v>36</v>
      </c>
      <c r="F36" s="405">
        <f>'Normalized Import'!E35</f>
        <v>22</v>
      </c>
      <c r="G36" s="405">
        <f>IF(EQ('Normalized Import'!F35, ""),"", 'Normalized Import'!F35+F36)</f>
        <v>33</v>
      </c>
      <c r="H36" s="405">
        <f>IF(EQ('Normalized Import'!G35, ""), "", 'Normalized Import'!G35+G36)</f>
        <v>45</v>
      </c>
      <c r="I36" s="405">
        <f>IF(EQ('Normalized Import'!H35, ""),"", 'Normalized Import'!H35+H36)</f>
        <v>55</v>
      </c>
      <c r="J36" s="405">
        <f>IF(EQ('Normalized Import'!I35, ""), "", 'Normalized Import'!I35+I36)</f>
        <v>59</v>
      </c>
      <c r="K36" s="405">
        <f>IF(EQ('Normalized Import'!J35, ""),"", 'Normalized Import'!J35+J36)</f>
        <v>64</v>
      </c>
      <c r="L36" s="405">
        <f>IF(EQ('Normalized Import'!K35, ""), "", 'Normalized Import'!K35+K36)</f>
        <v>79</v>
      </c>
      <c r="M36" s="405">
        <f>IF(EQ('Normalized Import'!L35, ""),"", 'Normalized Import'!L35+L36)</f>
        <v>86</v>
      </c>
      <c r="N36" s="405">
        <f>IF(EQ('Normalized Import'!M35, ""), "", 'Normalized Import'!M35+M36)</f>
        <v>93</v>
      </c>
      <c r="O36" s="405">
        <f>IF(EQ('Normalized Import'!N35, ""),"", 'Normalized Import'!N35+N36)</f>
        <v>100</v>
      </c>
      <c r="P36" s="405">
        <f>IF(EQ('Normalized Import'!O35, ""), "", 'Normalized Import'!O35+O36)</f>
        <v>108</v>
      </c>
      <c r="Q36" s="405">
        <f>IF(EQ('Normalized Import'!P35, ""),"", 'Normalized Import'!P35+P36)</f>
        <v>114</v>
      </c>
      <c r="R36" s="407"/>
      <c r="S36" s="407"/>
      <c r="T36" s="407" t="str">
        <f t="shared" ref="T36:Y36" si="19">'Studies Published Data Monthly - Cumulative'!AJ36</f>
        <v>#REF!</v>
      </c>
      <c r="U36" s="407" t="str">
        <f t="shared" si="19"/>
        <v>#REF!</v>
      </c>
      <c r="V36" s="407" t="str">
        <f t="shared" si="19"/>
        <v>#REF!</v>
      </c>
      <c r="W36" s="407" t="str">
        <f t="shared" si="19"/>
        <v>#REF!</v>
      </c>
      <c r="X36" s="407" t="str">
        <f t="shared" si="19"/>
        <v>#REF!</v>
      </c>
      <c r="Y36" s="407" t="str">
        <f t="shared" si="19"/>
        <v>#REF!</v>
      </c>
      <c r="Z36" s="340"/>
    </row>
    <row r="37">
      <c r="A37" s="379" t="str">
        <f>'Normalized Import'!A36</f>
        <v>discord</v>
      </c>
      <c r="B37" s="402">
        <f>'Normalized Import'!B36</f>
        <v>45323</v>
      </c>
      <c r="C37" s="403">
        <f>'Normalized Import'!C36</f>
        <v>15000</v>
      </c>
      <c r="D37" s="404"/>
      <c r="E37" s="384">
        <f>'Most Recent Import'!E36</f>
        <v>24</v>
      </c>
      <c r="F37" s="405">
        <f>'Normalized Import'!E36</f>
        <v>3</v>
      </c>
      <c r="G37" s="405">
        <f>IF(EQ('Normalized Import'!F36, ""),"", 'Normalized Import'!F36+F37)</f>
        <v>3</v>
      </c>
      <c r="H37" s="405">
        <f>IF(EQ('Normalized Import'!G36, ""), "", 'Normalized Import'!G36+G37)</f>
        <v>3</v>
      </c>
      <c r="I37" s="405">
        <f>IF(EQ('Normalized Import'!H36, ""),"", 'Normalized Import'!H36+H37)</f>
        <v>3</v>
      </c>
      <c r="J37" s="405">
        <f>IF(EQ('Normalized Import'!I36, ""), "", 'Normalized Import'!I36+I37)</f>
        <v>5</v>
      </c>
      <c r="K37" s="405">
        <f>IF(EQ('Normalized Import'!J36, ""),"", 'Normalized Import'!J36+J37)</f>
        <v>6</v>
      </c>
      <c r="L37" s="405">
        <f>IF(EQ('Normalized Import'!K36, ""), "", 'Normalized Import'!K36+K37)</f>
        <v>19</v>
      </c>
      <c r="M37" s="405">
        <f>IF(EQ('Normalized Import'!L36, ""),"", 'Normalized Import'!L36+L37)</f>
        <v>24</v>
      </c>
      <c r="N37" s="405">
        <f>IF(EQ('Normalized Import'!M36, ""), "", 'Normalized Import'!M36+M37)</f>
        <v>32</v>
      </c>
      <c r="O37" s="405">
        <f>IF(EQ('Normalized Import'!N36, ""),"", 'Normalized Import'!N36+N37)</f>
        <v>32</v>
      </c>
      <c r="P37" s="405">
        <f>IF(EQ('Normalized Import'!O36, ""), "", 'Normalized Import'!O36+O37)</f>
        <v>32</v>
      </c>
      <c r="Q37" s="405">
        <f>IF(EQ('Normalized Import'!P36, ""),"", 'Normalized Import'!P36+P37)</f>
        <v>35</v>
      </c>
      <c r="R37" s="407"/>
      <c r="S37" s="407"/>
      <c r="T37" s="407" t="str">
        <f t="shared" ref="T37:Y37" si="20">'Studies Published Data Monthly - Cumulative'!AJ37</f>
        <v>#REF!</v>
      </c>
      <c r="U37" s="407" t="str">
        <f t="shared" si="20"/>
        <v>#REF!</v>
      </c>
      <c r="V37" s="407" t="str">
        <f t="shared" si="20"/>
        <v>#REF!</v>
      </c>
      <c r="W37" s="407" t="str">
        <f t="shared" si="20"/>
        <v>#REF!</v>
      </c>
      <c r="X37" s="407" t="str">
        <f t="shared" si="20"/>
        <v>#REF!</v>
      </c>
      <c r="Y37" s="407" t="str">
        <f t="shared" si="20"/>
        <v>#REF!</v>
      </c>
      <c r="Z37" s="340"/>
    </row>
    <row r="38">
      <c r="A38" s="379" t="str">
        <f>'Normalized Import'!A37</f>
        <v>gong</v>
      </c>
      <c r="B38" s="402">
        <f>'Normalized Import'!B37</f>
        <v>45323</v>
      </c>
      <c r="C38" s="403">
        <f>'Normalized Import'!C37</f>
        <v>13000</v>
      </c>
      <c r="D38" s="404"/>
      <c r="E38" s="384">
        <f>'Most Recent Import'!E37</f>
        <v>24</v>
      </c>
      <c r="F38" s="405">
        <f>'Normalized Import'!E37</f>
        <v>5</v>
      </c>
      <c r="G38" s="405">
        <f>IF(EQ('Normalized Import'!F37, ""),"", 'Normalized Import'!F37+F38)</f>
        <v>11</v>
      </c>
      <c r="H38" s="405">
        <f>IF(EQ('Normalized Import'!G37, ""), "", 'Normalized Import'!G37+G38)</f>
        <v>24</v>
      </c>
      <c r="I38" s="405">
        <f>IF(EQ('Normalized Import'!H37, ""),"", 'Normalized Import'!H37+H38)</f>
        <v>32</v>
      </c>
      <c r="J38" s="405">
        <f>IF(EQ('Normalized Import'!I37, ""), "", 'Normalized Import'!I37+I38)</f>
        <v>39</v>
      </c>
      <c r="K38" s="405">
        <f>IF(EQ('Normalized Import'!J37, ""),"", 'Normalized Import'!J37+J38)</f>
        <v>41</v>
      </c>
      <c r="L38" s="405">
        <f>IF(EQ('Normalized Import'!K37, ""), "", 'Normalized Import'!K37+K38)</f>
        <v>41</v>
      </c>
      <c r="M38" s="405">
        <f>IF(EQ('Normalized Import'!L37, ""),"", 'Normalized Import'!L37+L38)</f>
        <v>43</v>
      </c>
      <c r="N38" s="405">
        <f>IF(EQ('Normalized Import'!M37, ""), "", 'Normalized Import'!M37+M38)</f>
        <v>50</v>
      </c>
      <c r="O38" s="405">
        <f>IF(EQ('Normalized Import'!N37, ""),"", 'Normalized Import'!N37+N38)</f>
        <v>54</v>
      </c>
      <c r="P38" s="405">
        <f>IF(EQ('Normalized Import'!O37, ""), "", 'Normalized Import'!O37+O38)</f>
        <v>58</v>
      </c>
      <c r="Q38" s="405">
        <f>IF(EQ('Normalized Import'!P37, ""),"", 'Normalized Import'!P37+P38)</f>
        <v>62</v>
      </c>
      <c r="R38" s="407"/>
      <c r="S38" s="407"/>
      <c r="T38" s="407" t="str">
        <f t="shared" ref="T38:Y38" si="21">'Studies Published Data Monthly - Cumulative'!AJ38</f>
        <v>#REF!</v>
      </c>
      <c r="U38" s="407" t="str">
        <f t="shared" si="21"/>
        <v>#REF!</v>
      </c>
      <c r="V38" s="407" t="str">
        <f t="shared" si="21"/>
        <v>#REF!</v>
      </c>
      <c r="W38" s="407" t="str">
        <f t="shared" si="21"/>
        <v>#REF!</v>
      </c>
      <c r="X38" s="407" t="str">
        <f t="shared" si="21"/>
        <v>#REF!</v>
      </c>
      <c r="Y38" s="407" t="str">
        <f t="shared" si="21"/>
        <v>#REF!</v>
      </c>
      <c r="Z38" s="340"/>
    </row>
    <row r="39">
      <c r="A39" s="379" t="str">
        <f>'Normalized Import'!A38</f>
        <v>mistplay</v>
      </c>
      <c r="B39" s="402">
        <f>'Normalized Import'!B38</f>
        <v>45323</v>
      </c>
      <c r="C39" s="403">
        <f>'Normalized Import'!C38</f>
        <v>15000</v>
      </c>
      <c r="D39" s="404"/>
      <c r="E39" s="384">
        <f>'Most Recent Import'!E38</f>
        <v>24</v>
      </c>
      <c r="F39" s="405">
        <f>'Normalized Import'!E38</f>
        <v>0</v>
      </c>
      <c r="G39" s="405">
        <f>IF(EQ('Normalized Import'!F38, ""),"", 'Normalized Import'!F38+F39)</f>
        <v>0</v>
      </c>
      <c r="H39" s="405">
        <f>IF(EQ('Normalized Import'!G38, ""), "", 'Normalized Import'!G38+G39)</f>
        <v>0</v>
      </c>
      <c r="I39" s="405">
        <f>IF(EQ('Normalized Import'!H38, ""),"", 'Normalized Import'!H38+H39)</f>
        <v>0</v>
      </c>
      <c r="J39" s="405">
        <f>IF(EQ('Normalized Import'!I38, ""), "", 'Normalized Import'!I38+I39)</f>
        <v>0</v>
      </c>
      <c r="K39" s="405">
        <f>IF(EQ('Normalized Import'!J38, ""),"", 'Normalized Import'!J38+J39)</f>
        <v>0</v>
      </c>
      <c r="L39" s="405">
        <f>IF(EQ('Normalized Import'!K38, ""), "", 'Normalized Import'!K38+K39)</f>
        <v>0</v>
      </c>
      <c r="M39" s="405">
        <f>IF(EQ('Normalized Import'!L38, ""),"", 'Normalized Import'!L38+L39)</f>
        <v>0</v>
      </c>
      <c r="N39" s="405">
        <f>IF(EQ('Normalized Import'!M38, ""), "", 'Normalized Import'!M38+M39)</f>
        <v>0</v>
      </c>
      <c r="O39" s="405">
        <f>IF(EQ('Normalized Import'!N38, ""),"", 'Normalized Import'!N38+N39)</f>
        <v>0</v>
      </c>
      <c r="P39" s="405">
        <f>IF(EQ('Normalized Import'!O38, ""), "", 'Normalized Import'!O38+O39)</f>
        <v>0</v>
      </c>
      <c r="Q39" s="405">
        <f>IF(EQ('Normalized Import'!P38, ""),"", 'Normalized Import'!P38+P39)</f>
        <v>5</v>
      </c>
      <c r="R39" s="407"/>
      <c r="S39" s="407"/>
      <c r="T39" s="407" t="str">
        <f t="shared" ref="T39:Y39" si="22">'Studies Published Data Monthly - Cumulative'!AJ39</f>
        <v>#REF!</v>
      </c>
      <c r="U39" s="407" t="str">
        <f t="shared" si="22"/>
        <v>#REF!</v>
      </c>
      <c r="V39" s="407" t="str">
        <f t="shared" si="22"/>
        <v>#REF!</v>
      </c>
      <c r="W39" s="407" t="str">
        <f t="shared" si="22"/>
        <v>#REF!</v>
      </c>
      <c r="X39" s="407" t="str">
        <f t="shared" si="22"/>
        <v>#REF!</v>
      </c>
      <c r="Y39" s="407" t="str">
        <f t="shared" si="22"/>
        <v>#REF!</v>
      </c>
      <c r="Z39" s="340"/>
    </row>
    <row r="40">
      <c r="A40" s="379" t="str">
        <f>'Normalized Import'!A39</f>
        <v>braze</v>
      </c>
      <c r="B40" s="402">
        <f>'Normalized Import'!B39</f>
        <v>45352</v>
      </c>
      <c r="C40" s="403">
        <f>'Normalized Import'!C39</f>
        <v>25000</v>
      </c>
      <c r="D40" s="404"/>
      <c r="E40" s="384">
        <f>'Most Recent Import'!E39</f>
        <v>24</v>
      </c>
      <c r="F40" s="405">
        <f>'Normalized Import'!E39</f>
        <v>3</v>
      </c>
      <c r="G40" s="405">
        <f>IF(EQ('Normalized Import'!F39, ""),"", 'Normalized Import'!F39+F40)</f>
        <v>4</v>
      </c>
      <c r="H40" s="405">
        <f>IF(EQ('Normalized Import'!G39, ""), "", 'Normalized Import'!G39+G40)</f>
        <v>5</v>
      </c>
      <c r="I40" s="405">
        <f>IF(EQ('Normalized Import'!H39, ""),"", 'Normalized Import'!H39+H40)</f>
        <v>17</v>
      </c>
      <c r="J40" s="405">
        <f>IF(EQ('Normalized Import'!I39, ""), "", 'Normalized Import'!I39+I40)</f>
        <v>21</v>
      </c>
      <c r="K40" s="405">
        <f>IF(EQ('Normalized Import'!J39, ""),"", 'Normalized Import'!J39+J40)</f>
        <v>26</v>
      </c>
      <c r="L40" s="405">
        <f>IF(EQ('Normalized Import'!K39, ""), "", 'Normalized Import'!K39+K40)</f>
        <v>34</v>
      </c>
      <c r="M40" s="405">
        <f>IF(EQ('Normalized Import'!L39, ""),"", 'Normalized Import'!L39+L40)</f>
        <v>42</v>
      </c>
      <c r="N40" s="405">
        <f>IF(EQ('Normalized Import'!M39, ""), "", 'Normalized Import'!M39+M40)</f>
        <v>46</v>
      </c>
      <c r="O40" s="405">
        <f>IF(EQ('Normalized Import'!N39, ""),"", 'Normalized Import'!N39+N40)</f>
        <v>56</v>
      </c>
      <c r="P40" s="405">
        <f>IF(EQ('Normalized Import'!O39, ""), "", 'Normalized Import'!O39+O40)</f>
        <v>67</v>
      </c>
      <c r="Q40" s="405">
        <f>IF(EQ('Normalized Import'!P39, ""),"", 'Normalized Import'!P39+P40)</f>
        <v>83</v>
      </c>
      <c r="R40" s="407"/>
      <c r="S40" s="407"/>
      <c r="T40" s="407" t="str">
        <f t="shared" ref="T40:Y40" si="23">'Studies Published Data Monthly - Cumulative'!AK40</f>
        <v>#REF!</v>
      </c>
      <c r="U40" s="407" t="str">
        <f t="shared" si="23"/>
        <v>#REF!</v>
      </c>
      <c r="V40" s="407" t="str">
        <f t="shared" si="23"/>
        <v>#REF!</v>
      </c>
      <c r="W40" s="407" t="str">
        <f t="shared" si="23"/>
        <v>#REF!</v>
      </c>
      <c r="X40" s="407" t="str">
        <f t="shared" si="23"/>
        <v>#REF!</v>
      </c>
      <c r="Y40" s="407" t="str">
        <f t="shared" si="23"/>
        <v>#REF!</v>
      </c>
      <c r="Z40" s="340"/>
    </row>
    <row r="41">
      <c r="A41" s="379" t="str">
        <f>'Normalized Import'!A40</f>
        <v>cloudflare</v>
      </c>
      <c r="B41" s="402">
        <f>'Normalized Import'!B40</f>
        <v>45352</v>
      </c>
      <c r="C41" s="403">
        <f>'Normalized Import'!C40</f>
        <v>20000</v>
      </c>
      <c r="D41" s="404"/>
      <c r="E41" s="384">
        <f>'Most Recent Import'!E40</f>
        <v>24</v>
      </c>
      <c r="F41" s="405">
        <f>'Normalized Import'!E40</f>
        <v>0</v>
      </c>
      <c r="G41" s="405">
        <f>IF(EQ('Normalized Import'!F40, ""),"", 'Normalized Import'!F40+F41)</f>
        <v>0</v>
      </c>
      <c r="H41" s="405">
        <f>IF(EQ('Normalized Import'!G40, ""), "", 'Normalized Import'!G40+G41)</f>
        <v>0</v>
      </c>
      <c r="I41" s="405">
        <f>IF(EQ('Normalized Import'!H40, ""),"", 'Normalized Import'!H40+H41)</f>
        <v>0</v>
      </c>
      <c r="J41" s="405">
        <f>IF(EQ('Normalized Import'!I40, ""), "", 'Normalized Import'!I40+I41)</f>
        <v>0</v>
      </c>
      <c r="K41" s="405">
        <f>IF(EQ('Normalized Import'!J40, ""),"", 'Normalized Import'!J40+J41)</f>
        <v>0</v>
      </c>
      <c r="L41" s="405">
        <f>IF(EQ('Normalized Import'!K40, ""), "", 'Normalized Import'!K40+K41)</f>
        <v>0</v>
      </c>
      <c r="M41" s="405">
        <f>IF(EQ('Normalized Import'!L40, ""),"", 'Normalized Import'!L40+L41)</f>
        <v>0</v>
      </c>
      <c r="N41" s="405">
        <f>IF(EQ('Normalized Import'!M40, ""), "", 'Normalized Import'!M40+M41)</f>
        <v>0</v>
      </c>
      <c r="O41" s="405">
        <f>IF(EQ('Normalized Import'!N40, ""),"", 'Normalized Import'!N40+N41)</f>
        <v>0</v>
      </c>
      <c r="P41" s="405">
        <f>IF(EQ('Normalized Import'!O40, ""), "", 'Normalized Import'!O40+O41)</f>
        <v>0</v>
      </c>
      <c r="Q41" s="405">
        <f>IF(EQ('Normalized Import'!P40, ""),"", 'Normalized Import'!P40+P41)</f>
        <v>2</v>
      </c>
      <c r="R41" s="407"/>
      <c r="S41" s="407"/>
      <c r="T41" s="407"/>
      <c r="U41" s="407"/>
      <c r="V41" s="407"/>
      <c r="W41" s="340"/>
      <c r="X41" s="340"/>
      <c r="Y41" s="340"/>
      <c r="Z41" s="340"/>
    </row>
    <row r="42">
      <c r="A42" s="379" t="str">
        <f>'Normalized Import'!A41</f>
        <v>hellofresh</v>
      </c>
      <c r="B42" s="402">
        <f>'Normalized Import'!B41</f>
        <v>45352</v>
      </c>
      <c r="C42" s="403">
        <f>'Normalized Import'!C41</f>
        <v>10000</v>
      </c>
      <c r="D42" s="404"/>
      <c r="E42" s="384">
        <f>'Most Recent Import'!E41</f>
        <v>12</v>
      </c>
      <c r="F42" s="405">
        <f>'Normalized Import'!E41</f>
        <v>0</v>
      </c>
      <c r="G42" s="405">
        <f>IF(EQ('Normalized Import'!F41, ""),"", 'Normalized Import'!F41+F42)</f>
        <v>0</v>
      </c>
      <c r="H42" s="405">
        <f>IF(EQ('Normalized Import'!G41, ""), "", 'Normalized Import'!G41+G42)</f>
        <v>0</v>
      </c>
      <c r="I42" s="405">
        <f>IF(EQ('Normalized Import'!H41, ""),"", 'Normalized Import'!H41+H42)</f>
        <v>3</v>
      </c>
      <c r="J42" s="405">
        <f>IF(EQ('Normalized Import'!I41, ""), "", 'Normalized Import'!I41+I42)</f>
        <v>8</v>
      </c>
      <c r="K42" s="405">
        <f>IF(EQ('Normalized Import'!J41, ""),"", 'Normalized Import'!J41+J42)</f>
        <v>8</v>
      </c>
      <c r="L42" s="405">
        <f>IF(EQ('Normalized Import'!K41, ""), "", 'Normalized Import'!K41+K42)</f>
        <v>12</v>
      </c>
      <c r="M42" s="405">
        <f>IF(EQ('Normalized Import'!L41, ""),"", 'Normalized Import'!L41+L42)</f>
        <v>12</v>
      </c>
      <c r="N42" s="405">
        <f>IF(EQ('Normalized Import'!M41, ""), "", 'Normalized Import'!M41+M42)</f>
        <v>13</v>
      </c>
      <c r="O42" s="405">
        <f>IF(EQ('Normalized Import'!N41, ""),"", 'Normalized Import'!N41+N42)</f>
        <v>14</v>
      </c>
      <c r="P42" s="405">
        <f>IF(EQ('Normalized Import'!O41, ""), "", 'Normalized Import'!O41+O42)</f>
        <v>14</v>
      </c>
      <c r="Q42" s="405">
        <f>IF(EQ('Normalized Import'!P41, ""),"", 'Normalized Import'!P41+P42)</f>
        <v>19</v>
      </c>
      <c r="R42" s="408"/>
      <c r="S42" s="408"/>
      <c r="T42" s="408"/>
      <c r="U42" s="408"/>
      <c r="V42" s="408"/>
      <c r="W42" s="340"/>
      <c r="X42" s="340"/>
      <c r="Y42" s="340"/>
      <c r="Z42" s="340"/>
    </row>
    <row r="43">
      <c r="A43" s="379" t="str">
        <f>'Normalized Import'!A42</f>
        <v>mongodb</v>
      </c>
      <c r="B43" s="402">
        <f>'Normalized Import'!B42</f>
        <v>45352</v>
      </c>
      <c r="C43" s="403">
        <f>'Normalized Import'!C42</f>
        <v>20000</v>
      </c>
      <c r="D43" s="404"/>
      <c r="E43" s="384">
        <f>'Most Recent Import'!E42</f>
        <v>36</v>
      </c>
      <c r="F43" s="405">
        <f>'Normalized Import'!E42</f>
        <v>1</v>
      </c>
      <c r="G43" s="405">
        <f>IF(EQ('Normalized Import'!F42, ""),"", 'Normalized Import'!F42+F43)</f>
        <v>2</v>
      </c>
      <c r="H43" s="405">
        <f>IF(EQ('Normalized Import'!G42, ""), "", 'Normalized Import'!G42+G43)</f>
        <v>3</v>
      </c>
      <c r="I43" s="405">
        <f>IF(EQ('Normalized Import'!H42, ""),"", 'Normalized Import'!H42+H43)</f>
        <v>8</v>
      </c>
      <c r="J43" s="405">
        <f>IF(EQ('Normalized Import'!I42, ""), "", 'Normalized Import'!I42+I43)</f>
        <v>13</v>
      </c>
      <c r="K43" s="405">
        <f>IF(EQ('Normalized Import'!J42, ""),"", 'Normalized Import'!J42+J43)</f>
        <v>18</v>
      </c>
      <c r="L43" s="405">
        <f>IF(EQ('Normalized Import'!K42, ""), "", 'Normalized Import'!K42+K43)</f>
        <v>23</v>
      </c>
      <c r="M43" s="405">
        <f>IF(EQ('Normalized Import'!L42, ""),"", 'Normalized Import'!L42+L43)</f>
        <v>36</v>
      </c>
      <c r="N43" s="405">
        <f>IF(EQ('Normalized Import'!M42, ""), "", 'Normalized Import'!M42+M43)</f>
        <v>39</v>
      </c>
      <c r="O43" s="405">
        <f>IF(EQ('Normalized Import'!N42, ""),"", 'Normalized Import'!N42+N43)</f>
        <v>48</v>
      </c>
      <c r="P43" s="405">
        <f>IF(EQ('Normalized Import'!O42, ""), "", 'Normalized Import'!O42+O43)</f>
        <v>58</v>
      </c>
      <c r="Q43" s="405">
        <f>IF(EQ('Normalized Import'!P42, ""),"", 'Normalized Import'!P42+P43)</f>
        <v>68</v>
      </c>
      <c r="R43" s="408"/>
      <c r="S43" s="408"/>
      <c r="T43" s="408"/>
      <c r="U43" s="408"/>
      <c r="V43" s="408"/>
      <c r="W43" s="340"/>
      <c r="X43" s="340"/>
      <c r="Y43" s="340"/>
      <c r="Z43" s="340"/>
    </row>
    <row r="44">
      <c r="A44" s="379" t="str">
        <f>'Normalized Import'!A43</f>
        <v>xometry</v>
      </c>
      <c r="B44" s="402">
        <f>'Normalized Import'!B43</f>
        <v>45383</v>
      </c>
      <c r="C44" s="403">
        <f>'Normalized Import'!C43</f>
        <v>10000</v>
      </c>
      <c r="D44" s="404"/>
      <c r="E44" s="384">
        <f>'Most Recent Import'!E43</f>
        <v>12</v>
      </c>
      <c r="F44" s="405">
        <f>'Normalized Import'!E43</f>
        <v>4</v>
      </c>
      <c r="G44" s="405">
        <f>IF(EQ('Normalized Import'!F43, ""),"", 'Normalized Import'!F43+F44)</f>
        <v>9</v>
      </c>
      <c r="H44" s="405">
        <f>IF(EQ('Normalized Import'!G43, ""), "", 'Normalized Import'!G43+G44)</f>
        <v>10</v>
      </c>
      <c r="I44" s="405">
        <f>IF(EQ('Normalized Import'!H43, ""),"", 'Normalized Import'!H43+H44)</f>
        <v>12</v>
      </c>
      <c r="J44" s="405">
        <f>IF(EQ('Normalized Import'!I43, ""), "", 'Normalized Import'!I43+I44)</f>
        <v>19</v>
      </c>
      <c r="K44" s="405">
        <f>IF(EQ('Normalized Import'!J43, ""),"", 'Normalized Import'!J43+J44)</f>
        <v>21</v>
      </c>
      <c r="L44" s="405">
        <f>IF(EQ('Normalized Import'!K43, ""), "", 'Normalized Import'!K43+K44)</f>
        <v>25</v>
      </c>
      <c r="M44" s="405">
        <f>IF(EQ('Normalized Import'!L43, ""),"", 'Normalized Import'!L43+L44)</f>
        <v>28</v>
      </c>
      <c r="N44" s="405">
        <f>IF(EQ('Normalized Import'!M43, ""), "", 'Normalized Import'!M43+M44)</f>
        <v>29</v>
      </c>
      <c r="O44" s="405">
        <f>IF(EQ('Normalized Import'!N43, ""),"", 'Normalized Import'!N43+N44)</f>
        <v>30</v>
      </c>
      <c r="P44" s="405">
        <f>IF(EQ('Normalized Import'!O43, ""), "", 'Normalized Import'!O43+O44)</f>
        <v>37</v>
      </c>
      <c r="Q44" s="405">
        <f>IF(EQ('Normalized Import'!P43, ""),"", 'Normalized Import'!P43+P44)</f>
        <v>46</v>
      </c>
      <c r="R44" s="408"/>
      <c r="S44" s="408"/>
      <c r="T44" s="408"/>
      <c r="U44" s="408"/>
      <c r="V44" s="408"/>
      <c r="W44" s="340"/>
      <c r="X44" s="340"/>
      <c r="Y44" s="340"/>
      <c r="Z44" s="340"/>
    </row>
    <row r="45">
      <c r="A45" s="379" t="str">
        <f>'Normalized Import'!A44</f>
        <v/>
      </c>
      <c r="B45" s="402" t="str">
        <f>'Normalized Import'!B44</f>
        <v/>
      </c>
      <c r="C45" s="403" t="str">
        <f>'Normalized Import'!C44</f>
        <v/>
      </c>
      <c r="D45" s="404"/>
      <c r="E45" s="384" t="str">
        <f>'Most Recent Import'!E44</f>
        <v/>
      </c>
      <c r="F45" s="405" t="str">
        <f>'Normalized Import'!E44</f>
        <v/>
      </c>
      <c r="G45" s="405" t="str">
        <f>IF(EQ('Normalized Import'!F44, ""),"", 'Normalized Import'!F44+F45)</f>
        <v/>
      </c>
      <c r="H45" s="405" t="str">
        <f>IF(EQ('Normalized Import'!G44, ""), "", 'Normalized Import'!G44+G45)</f>
        <v/>
      </c>
      <c r="I45" s="405" t="str">
        <f>IF(EQ('Normalized Import'!H44, ""),"", 'Normalized Import'!H44+H45)</f>
        <v/>
      </c>
      <c r="J45" s="405" t="str">
        <f>IF(EQ('Normalized Import'!I44, ""), "", 'Normalized Import'!I44+I45)</f>
        <v/>
      </c>
      <c r="K45" s="405" t="str">
        <f>IF(EQ('Normalized Import'!J44, ""),"", 'Normalized Import'!J44+J45)</f>
        <v/>
      </c>
      <c r="L45" s="405" t="str">
        <f>IF(EQ('Normalized Import'!K44, ""), "", 'Normalized Import'!K44+K45)</f>
        <v/>
      </c>
      <c r="M45" s="405" t="str">
        <f>IF(EQ('Normalized Import'!L44, ""),"", 'Normalized Import'!L44+L45)</f>
        <v/>
      </c>
      <c r="N45" s="405" t="str">
        <f>IF(EQ('Normalized Import'!M44, ""), "", 'Normalized Import'!M44+M45)</f>
        <v/>
      </c>
      <c r="O45" s="405" t="str">
        <f>IF(EQ('Normalized Import'!N44, ""),"", 'Normalized Import'!N44+N45)</f>
        <v/>
      </c>
      <c r="P45" s="405" t="str">
        <f>IF(EQ('Normalized Import'!O44, ""), "", 'Normalized Import'!O44+O45)</f>
        <v/>
      </c>
      <c r="Q45" s="405" t="str">
        <f>IF(EQ('Normalized Import'!P44, ""),"", 'Normalized Import'!P44+P45)</f>
        <v/>
      </c>
      <c r="R45" s="408"/>
      <c r="S45" s="408"/>
      <c r="T45" s="408"/>
      <c r="U45" s="408"/>
      <c r="V45" s="408"/>
      <c r="W45" s="340"/>
      <c r="X45" s="340"/>
      <c r="Y45" s="340"/>
      <c r="Z45" s="340"/>
    </row>
    <row r="46">
      <c r="A46" s="379" t="str">
        <f>'Normalized Import'!A45</f>
        <v/>
      </c>
      <c r="B46" s="402" t="str">
        <f>'Normalized Import'!B45</f>
        <v/>
      </c>
      <c r="C46" s="403" t="str">
        <f>'Normalized Import'!C45</f>
        <v/>
      </c>
      <c r="D46" s="404"/>
      <c r="E46" s="384" t="str">
        <f>'Most Recent Import'!E45</f>
        <v/>
      </c>
      <c r="F46" s="405" t="str">
        <f>'Normalized Import'!E45</f>
        <v/>
      </c>
      <c r="G46" s="405" t="str">
        <f>IF(EQ('Normalized Import'!F45, ""),"", 'Normalized Import'!F45+F46)</f>
        <v/>
      </c>
      <c r="H46" s="405" t="str">
        <f>IF(EQ('Normalized Import'!G45, ""), "", 'Normalized Import'!G45+G46)</f>
        <v/>
      </c>
      <c r="I46" s="405" t="str">
        <f>IF(EQ('Normalized Import'!H45, ""),"", 'Normalized Import'!H45+H46)</f>
        <v/>
      </c>
      <c r="J46" s="405" t="str">
        <f>IF(EQ('Normalized Import'!I45, ""), "", 'Normalized Import'!I45+I46)</f>
        <v/>
      </c>
      <c r="K46" s="405" t="str">
        <f>IF(EQ('Normalized Import'!J45, ""),"", 'Normalized Import'!J45+J46)</f>
        <v/>
      </c>
      <c r="L46" s="405" t="str">
        <f>IF(EQ('Normalized Import'!K45, ""), "", 'Normalized Import'!K45+K46)</f>
        <v/>
      </c>
      <c r="M46" s="405" t="str">
        <f>IF(EQ('Normalized Import'!L45, ""),"", 'Normalized Import'!L45+L46)</f>
        <v/>
      </c>
      <c r="N46" s="405" t="str">
        <f>IF(EQ('Normalized Import'!M45, ""), "", 'Normalized Import'!M45+M46)</f>
        <v/>
      </c>
      <c r="O46" s="405" t="str">
        <f>IF(EQ('Normalized Import'!N45, ""),"", 'Normalized Import'!N45+N46)</f>
        <v/>
      </c>
      <c r="P46" s="405" t="str">
        <f>IF(EQ('Normalized Import'!O45, ""), "", 'Normalized Import'!O45+O46)</f>
        <v/>
      </c>
      <c r="Q46" s="405" t="str">
        <f>IF(EQ('Normalized Import'!P45, ""),"", 'Normalized Import'!P45+P46)</f>
        <v/>
      </c>
      <c r="R46" s="408"/>
      <c r="S46" s="408"/>
      <c r="T46" s="408"/>
      <c r="U46" s="408"/>
      <c r="V46" s="408"/>
      <c r="W46" s="340"/>
      <c r="X46" s="340"/>
      <c r="Y46" s="340"/>
      <c r="Z46" s="340"/>
    </row>
    <row r="47">
      <c r="A47" s="379" t="str">
        <f>'Normalized Import'!A46</f>
        <v/>
      </c>
      <c r="B47" s="402" t="str">
        <f>'Normalized Import'!B46</f>
        <v/>
      </c>
      <c r="C47" s="403" t="str">
        <f>'Normalized Import'!C46</f>
        <v/>
      </c>
      <c r="D47" s="404"/>
      <c r="E47" s="384" t="str">
        <f>'Most Recent Import'!E46</f>
        <v/>
      </c>
      <c r="F47" s="405" t="str">
        <f>'Normalized Import'!E46</f>
        <v/>
      </c>
      <c r="G47" s="405" t="str">
        <f>IF(EQ('Normalized Import'!F46, ""),"", 'Normalized Import'!F46+F47)</f>
        <v/>
      </c>
      <c r="H47" s="405" t="str">
        <f>IF(EQ('Normalized Import'!G46, ""), "", 'Normalized Import'!G46+G47)</f>
        <v/>
      </c>
      <c r="I47" s="405" t="str">
        <f>IF(EQ('Normalized Import'!H46, ""),"", 'Normalized Import'!H46+H47)</f>
        <v/>
      </c>
      <c r="J47" s="405" t="str">
        <f>IF(EQ('Normalized Import'!I46, ""), "", 'Normalized Import'!I46+I47)</f>
        <v/>
      </c>
      <c r="K47" s="405" t="str">
        <f>IF(EQ('Normalized Import'!J46, ""),"", 'Normalized Import'!J46+J47)</f>
        <v/>
      </c>
      <c r="L47" s="405" t="str">
        <f>IF(EQ('Normalized Import'!K46, ""), "", 'Normalized Import'!K46+K47)</f>
        <v/>
      </c>
      <c r="M47" s="405" t="str">
        <f>IF(EQ('Normalized Import'!L46, ""),"", 'Normalized Import'!L46+L47)</f>
        <v/>
      </c>
      <c r="N47" s="405" t="str">
        <f>IF(EQ('Normalized Import'!M46, ""), "", 'Normalized Import'!M46+M47)</f>
        <v/>
      </c>
      <c r="O47" s="405" t="str">
        <f>IF(EQ('Normalized Import'!N46, ""),"", 'Normalized Import'!N46+N47)</f>
        <v/>
      </c>
      <c r="P47" s="405" t="str">
        <f>IF(EQ('Normalized Import'!O46, ""), "", 'Normalized Import'!O46+O47)</f>
        <v/>
      </c>
      <c r="Q47" s="405" t="str">
        <f>IF(EQ('Normalized Import'!P46, ""),"", 'Normalized Import'!P46+P47)</f>
        <v/>
      </c>
      <c r="R47" s="408"/>
      <c r="S47" s="408"/>
      <c r="T47" s="408"/>
      <c r="U47" s="408"/>
      <c r="V47" s="408"/>
      <c r="W47" s="340"/>
      <c r="X47" s="340"/>
      <c r="Y47" s="340"/>
      <c r="Z47" s="340"/>
    </row>
    <row r="48">
      <c r="A48" s="379" t="str">
        <f>'Normalized Import'!A47</f>
        <v/>
      </c>
      <c r="B48" s="402" t="str">
        <f>'Normalized Import'!B47</f>
        <v/>
      </c>
      <c r="C48" s="403" t="str">
        <f>'Normalized Import'!C47</f>
        <v/>
      </c>
      <c r="D48" s="404"/>
      <c r="E48" s="384" t="str">
        <f>'Most Recent Import'!E47</f>
        <v/>
      </c>
      <c r="F48" s="405" t="str">
        <f>'Normalized Import'!E47</f>
        <v/>
      </c>
      <c r="G48" s="405" t="str">
        <f>IF(EQ('Normalized Import'!F47, ""),"", 'Normalized Import'!F47+F48)</f>
        <v/>
      </c>
      <c r="H48" s="405" t="str">
        <f>IF(EQ('Normalized Import'!G47, ""), "", 'Normalized Import'!G47+G48)</f>
        <v/>
      </c>
      <c r="I48" s="405" t="str">
        <f>IF(EQ('Normalized Import'!H47, ""),"", 'Normalized Import'!H47+H48)</f>
        <v/>
      </c>
      <c r="J48" s="405" t="str">
        <f>IF(EQ('Normalized Import'!I47, ""), "", 'Normalized Import'!I47+I48)</f>
        <v/>
      </c>
      <c r="K48" s="405" t="str">
        <f>IF(EQ('Normalized Import'!J47, ""),"", 'Normalized Import'!J47+J48)</f>
        <v/>
      </c>
      <c r="L48" s="405" t="str">
        <f>IF(EQ('Normalized Import'!K47, ""), "", 'Normalized Import'!K47+K48)</f>
        <v/>
      </c>
      <c r="M48" s="405" t="str">
        <f>IF(EQ('Normalized Import'!L47, ""),"", 'Normalized Import'!L47+L48)</f>
        <v/>
      </c>
      <c r="N48" s="405" t="str">
        <f>IF(EQ('Normalized Import'!M47, ""), "", 'Normalized Import'!M47+M48)</f>
        <v/>
      </c>
      <c r="O48" s="405" t="str">
        <f>IF(EQ('Normalized Import'!N47, ""),"", 'Normalized Import'!N47+N48)</f>
        <v/>
      </c>
      <c r="P48" s="405" t="str">
        <f>IF(EQ('Normalized Import'!O47, ""), "", 'Normalized Import'!O47+O48)</f>
        <v/>
      </c>
      <c r="Q48" s="405" t="str">
        <f>IF(EQ('Normalized Import'!P47, ""),"", 'Normalized Import'!P47+P48)</f>
        <v/>
      </c>
      <c r="R48" s="408"/>
      <c r="S48" s="408"/>
      <c r="T48" s="408"/>
      <c r="U48" s="408"/>
      <c r="V48" s="408"/>
      <c r="W48" s="340"/>
      <c r="X48" s="340"/>
      <c r="Y48" s="340"/>
      <c r="Z48" s="340"/>
    </row>
    <row r="49">
      <c r="A49" s="379" t="str">
        <f>'Normalized Import'!A48</f>
        <v/>
      </c>
      <c r="B49" s="402" t="str">
        <f>'Normalized Import'!B48</f>
        <v/>
      </c>
      <c r="C49" s="403" t="str">
        <f>'Normalized Import'!C48</f>
        <v/>
      </c>
      <c r="D49" s="404"/>
      <c r="E49" s="384" t="str">
        <f>'Most Recent Import'!E48</f>
        <v/>
      </c>
      <c r="F49" s="405" t="str">
        <f>'Normalized Import'!E48</f>
        <v/>
      </c>
      <c r="G49" s="405" t="str">
        <f>IF(EQ('Normalized Import'!F48, ""),"", 'Normalized Import'!F48+F49)</f>
        <v/>
      </c>
      <c r="H49" s="405" t="str">
        <f>IF(EQ('Normalized Import'!G48, ""), "", 'Normalized Import'!G48+G49)</f>
        <v/>
      </c>
      <c r="I49" s="405" t="str">
        <f>IF(EQ('Normalized Import'!H48, ""),"", 'Normalized Import'!H48+H49)</f>
        <v/>
      </c>
      <c r="J49" s="405" t="str">
        <f>IF(EQ('Normalized Import'!I48, ""), "", 'Normalized Import'!I48+I49)</f>
        <v/>
      </c>
      <c r="K49" s="405" t="str">
        <f>IF(EQ('Normalized Import'!J48, ""),"", 'Normalized Import'!J48+J49)</f>
        <v/>
      </c>
      <c r="L49" s="405" t="str">
        <f>IF(EQ('Normalized Import'!K48, ""), "", 'Normalized Import'!K48+K49)</f>
        <v/>
      </c>
      <c r="M49" s="405" t="str">
        <f>IF(EQ('Normalized Import'!L48, ""),"", 'Normalized Import'!L48+L49)</f>
        <v/>
      </c>
      <c r="N49" s="405" t="str">
        <f>IF(EQ('Normalized Import'!M48, ""), "", 'Normalized Import'!M48+M49)</f>
        <v/>
      </c>
      <c r="O49" s="405" t="str">
        <f>IF(EQ('Normalized Import'!N48, ""),"", 'Normalized Import'!N48+N49)</f>
        <v/>
      </c>
      <c r="P49" s="405" t="str">
        <f>IF(EQ('Normalized Import'!O48, ""), "", 'Normalized Import'!O48+O49)</f>
        <v/>
      </c>
      <c r="Q49" s="405" t="str">
        <f>IF(EQ('Normalized Import'!P48, ""),"", 'Normalized Import'!P48+P49)</f>
        <v/>
      </c>
      <c r="R49" s="408"/>
      <c r="S49" s="408"/>
      <c r="T49" s="408"/>
      <c r="U49" s="408"/>
      <c r="V49" s="408"/>
      <c r="W49" s="340"/>
      <c r="X49" s="340"/>
      <c r="Y49" s="340"/>
      <c r="Z49" s="340"/>
    </row>
    <row r="50">
      <c r="A50" s="379" t="str">
        <f>'Normalized Import'!A49</f>
        <v/>
      </c>
      <c r="B50" s="402" t="str">
        <f>'Normalized Import'!B49</f>
        <v/>
      </c>
      <c r="C50" s="403" t="str">
        <f>'Normalized Import'!C49</f>
        <v/>
      </c>
      <c r="D50" s="404"/>
      <c r="E50" s="384" t="str">
        <f>'Most Recent Import'!E49</f>
        <v/>
      </c>
      <c r="F50" s="405" t="str">
        <f>'Normalized Import'!E49</f>
        <v/>
      </c>
      <c r="G50" s="405" t="str">
        <f>IF(EQ('Normalized Import'!F49, ""),"", 'Normalized Import'!F49+F50)</f>
        <v/>
      </c>
      <c r="H50" s="405" t="str">
        <f>IF(EQ('Normalized Import'!G49, ""), "", 'Normalized Import'!G49+G50)</f>
        <v/>
      </c>
      <c r="I50" s="405" t="str">
        <f>IF(EQ('Normalized Import'!H49, ""),"", 'Normalized Import'!H49+H50)</f>
        <v/>
      </c>
      <c r="J50" s="405" t="str">
        <f>IF(EQ('Normalized Import'!I49, ""), "", 'Normalized Import'!I49+I50)</f>
        <v/>
      </c>
      <c r="K50" s="405" t="str">
        <f>IF(EQ('Normalized Import'!J49, ""),"", 'Normalized Import'!J49+J50)</f>
        <v/>
      </c>
      <c r="L50" s="405" t="str">
        <f>IF(EQ('Normalized Import'!K49, ""), "", 'Normalized Import'!K49+K50)</f>
        <v/>
      </c>
      <c r="M50" s="405" t="str">
        <f>IF(EQ('Normalized Import'!L49, ""),"", 'Normalized Import'!L49+L50)</f>
        <v/>
      </c>
      <c r="N50" s="405" t="str">
        <f>IF(EQ('Normalized Import'!M49, ""), "", 'Normalized Import'!M49+M50)</f>
        <v/>
      </c>
      <c r="O50" s="405" t="str">
        <f>IF(EQ('Normalized Import'!N49, ""),"", 'Normalized Import'!N49+N50)</f>
        <v/>
      </c>
      <c r="P50" s="405" t="str">
        <f>IF(EQ('Normalized Import'!O49, ""), "", 'Normalized Import'!O49+O50)</f>
        <v/>
      </c>
      <c r="Q50" s="405" t="str">
        <f>IF(EQ('Normalized Import'!P49, ""),"", 'Normalized Import'!P49+P50)</f>
        <v/>
      </c>
      <c r="R50" s="408"/>
      <c r="S50" s="408"/>
      <c r="T50" s="408"/>
      <c r="U50" s="408"/>
      <c r="V50" s="408"/>
      <c r="W50" s="340"/>
      <c r="X50" s="340"/>
      <c r="Y50" s="340"/>
      <c r="Z50" s="340"/>
    </row>
    <row r="51">
      <c r="A51" s="379" t="str">
        <f>'Normalized Import'!A50</f>
        <v/>
      </c>
      <c r="B51" s="402" t="str">
        <f>'Normalized Import'!B50</f>
        <v/>
      </c>
      <c r="C51" s="403" t="str">
        <f>'Normalized Import'!C50</f>
        <v/>
      </c>
      <c r="D51" s="404"/>
      <c r="E51" s="384" t="str">
        <f>'Most Recent Import'!E50</f>
        <v/>
      </c>
      <c r="F51" s="405" t="str">
        <f>'Normalized Import'!E50</f>
        <v/>
      </c>
      <c r="G51" s="405" t="str">
        <f>IF(EQ('Normalized Import'!F50, ""),"", 'Normalized Import'!F50+F51)</f>
        <v/>
      </c>
      <c r="H51" s="405" t="str">
        <f>IF(EQ('Normalized Import'!G50, ""), "", 'Normalized Import'!G50+G51)</f>
        <v/>
      </c>
      <c r="I51" s="405" t="str">
        <f>IF(EQ('Normalized Import'!H50, ""),"", 'Normalized Import'!H50+H51)</f>
        <v/>
      </c>
      <c r="J51" s="405" t="str">
        <f>IF(EQ('Normalized Import'!I50, ""), "", 'Normalized Import'!I50+I51)</f>
        <v/>
      </c>
      <c r="K51" s="405" t="str">
        <f>IF(EQ('Normalized Import'!J50, ""),"", 'Normalized Import'!J50+J51)</f>
        <v/>
      </c>
      <c r="L51" s="405" t="str">
        <f>IF(EQ('Normalized Import'!K50, ""), "", 'Normalized Import'!K50+K51)</f>
        <v/>
      </c>
      <c r="M51" s="405" t="str">
        <f>IF(EQ('Normalized Import'!L50, ""),"", 'Normalized Import'!L50+L51)</f>
        <v/>
      </c>
      <c r="N51" s="405" t="str">
        <f>IF(EQ('Normalized Import'!M50, ""), "", 'Normalized Import'!M50+M51)</f>
        <v/>
      </c>
      <c r="O51" s="405" t="str">
        <f>IF(EQ('Normalized Import'!N50, ""),"", 'Normalized Import'!N50+N51)</f>
        <v/>
      </c>
      <c r="P51" s="405" t="str">
        <f>IF(EQ('Normalized Import'!O50, ""), "", 'Normalized Import'!O50+O51)</f>
        <v/>
      </c>
      <c r="Q51" s="405" t="str">
        <f>IF(EQ('Normalized Import'!P50, ""),"", 'Normalized Import'!P50+P51)</f>
        <v/>
      </c>
      <c r="R51" s="340"/>
      <c r="S51" s="340"/>
      <c r="T51" s="340"/>
      <c r="U51" s="340"/>
      <c r="V51" s="340"/>
      <c r="W51" s="340"/>
      <c r="X51" s="340"/>
      <c r="Y51" s="340"/>
      <c r="Z51" s="340"/>
    </row>
    <row r="52">
      <c r="A52" s="379" t="str">
        <f>'Normalized Import'!A51</f>
        <v/>
      </c>
      <c r="B52" s="402" t="str">
        <f>'Normalized Import'!B51</f>
        <v/>
      </c>
      <c r="C52" s="403" t="str">
        <f>'Normalized Import'!C51</f>
        <v/>
      </c>
      <c r="D52" s="404"/>
      <c r="E52" s="384" t="str">
        <f>'Most Recent Import'!E51</f>
        <v/>
      </c>
      <c r="F52" s="405" t="str">
        <f>'Normalized Import'!E51</f>
        <v/>
      </c>
      <c r="G52" s="405" t="str">
        <f>IF(EQ('Normalized Import'!F51, ""),"", 'Normalized Import'!F51+F52)</f>
        <v/>
      </c>
      <c r="H52" s="405" t="str">
        <f>IF(EQ('Normalized Import'!G51, ""), "", 'Normalized Import'!G51+G52)</f>
        <v/>
      </c>
      <c r="I52" s="405" t="str">
        <f>IF(EQ('Normalized Import'!H51, ""),"", 'Normalized Import'!H51+H52)</f>
        <v/>
      </c>
      <c r="J52" s="405" t="str">
        <f>IF(EQ('Normalized Import'!I51, ""), "", 'Normalized Import'!I51+I52)</f>
        <v/>
      </c>
      <c r="K52" s="405" t="str">
        <f>IF(EQ('Normalized Import'!J51, ""),"", 'Normalized Import'!J51+J52)</f>
        <v/>
      </c>
      <c r="L52" s="405" t="str">
        <f>IF(EQ('Normalized Import'!K51, ""), "", 'Normalized Import'!K51+K52)</f>
        <v/>
      </c>
      <c r="M52" s="405" t="str">
        <f>IF(EQ('Normalized Import'!L51, ""),"", 'Normalized Import'!L51+L52)</f>
        <v/>
      </c>
      <c r="N52" s="405" t="str">
        <f>IF(EQ('Normalized Import'!M51, ""), "", 'Normalized Import'!M51+M52)</f>
        <v/>
      </c>
      <c r="O52" s="405" t="str">
        <f>IF(EQ('Normalized Import'!N51, ""),"", 'Normalized Import'!N51+N52)</f>
        <v/>
      </c>
      <c r="P52" s="405" t="str">
        <f>IF(EQ('Normalized Import'!O51, ""), "", 'Normalized Import'!O51+O52)</f>
        <v/>
      </c>
      <c r="Q52" s="405" t="str">
        <f>IF(EQ('Normalized Import'!P51, ""),"", 'Normalized Import'!P51+P52)</f>
        <v/>
      </c>
    </row>
    <row r="53">
      <c r="A53" s="379" t="str">
        <f>'Normalized Import'!A52</f>
        <v/>
      </c>
      <c r="B53" s="402" t="str">
        <f>'Normalized Import'!B52</f>
        <v/>
      </c>
      <c r="C53" s="403" t="str">
        <f>'Normalized Import'!C52</f>
        <v/>
      </c>
      <c r="D53" s="404"/>
      <c r="E53" s="384" t="str">
        <f>'Most Recent Import'!E52</f>
        <v/>
      </c>
      <c r="F53" s="405" t="str">
        <f>'Normalized Import'!E52</f>
        <v/>
      </c>
      <c r="G53" s="405" t="str">
        <f>IF(EQ('Normalized Import'!F52, ""),"", 'Normalized Import'!F52+F53)</f>
        <v/>
      </c>
      <c r="H53" s="405" t="str">
        <f>IF(EQ('Normalized Import'!G52, ""), "", 'Normalized Import'!G52+G53)</f>
        <v/>
      </c>
      <c r="I53" s="405" t="str">
        <f>IF(EQ('Normalized Import'!H52, ""),"", 'Normalized Import'!H52+H53)</f>
        <v/>
      </c>
      <c r="J53" s="405" t="str">
        <f>IF(EQ('Normalized Import'!I52, ""), "", 'Normalized Import'!I52+I53)</f>
        <v/>
      </c>
      <c r="K53" s="405" t="str">
        <f>IF(EQ('Normalized Import'!J52, ""),"", 'Normalized Import'!J52+J53)</f>
        <v/>
      </c>
      <c r="L53" s="405" t="str">
        <f>IF(EQ('Normalized Import'!K52, ""), "", 'Normalized Import'!K52+K53)</f>
        <v/>
      </c>
      <c r="M53" s="405" t="str">
        <f>IF(EQ('Normalized Import'!L52, ""),"", 'Normalized Import'!L52+L53)</f>
        <v/>
      </c>
      <c r="N53" s="405" t="str">
        <f>IF(EQ('Normalized Import'!M52, ""), "", 'Normalized Import'!M52+M53)</f>
        <v/>
      </c>
      <c r="O53" s="405" t="str">
        <f>IF(EQ('Normalized Import'!N52, ""),"", 'Normalized Import'!N52+N53)</f>
        <v/>
      </c>
      <c r="P53" s="405" t="str">
        <f>IF(EQ('Normalized Import'!O52, ""), "", 'Normalized Import'!O52+O53)</f>
        <v/>
      </c>
      <c r="Q53" s="405" t="str">
        <f>IF(EQ('Normalized Import'!P52, ""),"", 'Normalized Import'!P52+P53)</f>
        <v/>
      </c>
    </row>
    <row r="54">
      <c r="A54" s="379" t="str">
        <f>'Normalized Import'!A53</f>
        <v/>
      </c>
      <c r="B54" s="402" t="str">
        <f>'Normalized Import'!B53</f>
        <v/>
      </c>
      <c r="C54" s="403" t="str">
        <f>'Normalized Import'!C53</f>
        <v/>
      </c>
      <c r="D54" s="404"/>
      <c r="E54" s="384" t="str">
        <f>'Most Recent Import'!E53</f>
        <v/>
      </c>
      <c r="F54" s="405" t="str">
        <f>'Normalized Import'!E53</f>
        <v/>
      </c>
      <c r="G54" s="405" t="str">
        <f>IF(EQ('Normalized Import'!F53, ""),"", 'Normalized Import'!F53+F54)</f>
        <v/>
      </c>
      <c r="H54" s="405" t="str">
        <f>IF(EQ('Normalized Import'!G53, ""), "", 'Normalized Import'!G53+G54)</f>
        <v/>
      </c>
      <c r="I54" s="405" t="str">
        <f>IF(EQ('Normalized Import'!H53, ""),"", 'Normalized Import'!H53+H54)</f>
        <v/>
      </c>
      <c r="J54" s="405" t="str">
        <f>IF(EQ('Normalized Import'!I53, ""), "", 'Normalized Import'!I53+I54)</f>
        <v/>
      </c>
      <c r="K54" s="405" t="str">
        <f>IF(EQ('Normalized Import'!J53, ""),"", 'Normalized Import'!J53+J54)</f>
        <v/>
      </c>
      <c r="L54" s="405" t="str">
        <f>IF(EQ('Normalized Import'!K53, ""), "", 'Normalized Import'!K53+K54)</f>
        <v/>
      </c>
      <c r="M54" s="405" t="str">
        <f>IF(EQ('Normalized Import'!L53, ""),"", 'Normalized Import'!L53+L54)</f>
        <v/>
      </c>
      <c r="N54" s="405" t="str">
        <f>IF(EQ('Normalized Import'!M53, ""), "", 'Normalized Import'!M53+M54)</f>
        <v/>
      </c>
      <c r="O54" s="405" t="str">
        <f>IF(EQ('Normalized Import'!N53, ""),"", 'Normalized Import'!N53+N54)</f>
        <v/>
      </c>
      <c r="P54" s="405" t="str">
        <f>IF(EQ('Normalized Import'!O53, ""), "", 'Normalized Import'!O53+O54)</f>
        <v/>
      </c>
      <c r="Q54" s="405" t="str">
        <f>IF(EQ('Normalized Import'!P53, ""),"", 'Normalized Import'!P53+P54)</f>
        <v/>
      </c>
    </row>
    <row r="55">
      <c r="A55" s="379" t="str">
        <f>'Normalized Import'!A54</f>
        <v/>
      </c>
      <c r="B55" s="402" t="str">
        <f>'Normalized Import'!B54</f>
        <v/>
      </c>
      <c r="C55" s="403" t="str">
        <f>'Normalized Import'!C54</f>
        <v/>
      </c>
      <c r="D55" s="404"/>
      <c r="E55" s="384" t="str">
        <f>'Most Recent Import'!E54</f>
        <v/>
      </c>
      <c r="F55" s="405" t="str">
        <f>'Normalized Import'!E54</f>
        <v/>
      </c>
      <c r="G55" s="405" t="str">
        <f>IF(EQ('Normalized Import'!F54, ""),"", 'Normalized Import'!F54+F55)</f>
        <v/>
      </c>
      <c r="H55" s="405" t="str">
        <f>IF(EQ('Normalized Import'!G54, ""), "", 'Normalized Import'!G54+G55)</f>
        <v/>
      </c>
      <c r="I55" s="405" t="str">
        <f>IF(EQ('Normalized Import'!H54, ""),"", 'Normalized Import'!H54+H55)</f>
        <v/>
      </c>
      <c r="J55" s="405" t="str">
        <f>IF(EQ('Normalized Import'!I54, ""), "", 'Normalized Import'!I54+I55)</f>
        <v/>
      </c>
      <c r="K55" s="405" t="str">
        <f>IF(EQ('Normalized Import'!J54, ""),"", 'Normalized Import'!J54+J55)</f>
        <v/>
      </c>
      <c r="L55" s="405" t="str">
        <f>IF(EQ('Normalized Import'!K54, ""), "", 'Normalized Import'!K54+K55)</f>
        <v/>
      </c>
      <c r="M55" s="405" t="str">
        <f>IF(EQ('Normalized Import'!L54, ""),"", 'Normalized Import'!L54+L55)</f>
        <v/>
      </c>
      <c r="N55" s="405" t="str">
        <f>IF(EQ('Normalized Import'!M54, ""), "", 'Normalized Import'!M54+M55)</f>
        <v/>
      </c>
      <c r="O55" s="405" t="str">
        <f>IF(EQ('Normalized Import'!N54, ""),"", 'Normalized Import'!N54+N55)</f>
        <v/>
      </c>
      <c r="P55" s="405" t="str">
        <f>IF(EQ('Normalized Import'!O54, ""), "", 'Normalized Import'!O54+O55)</f>
        <v/>
      </c>
      <c r="Q55" s="405" t="str">
        <f>IF(EQ('Normalized Import'!P54, ""),"", 'Normalized Import'!P54+P55)</f>
        <v/>
      </c>
    </row>
    <row r="56">
      <c r="A56" s="379" t="str">
        <f>'Normalized Import'!A55</f>
        <v/>
      </c>
      <c r="B56" s="402" t="str">
        <f>'Normalized Import'!B55</f>
        <v/>
      </c>
      <c r="C56" s="403" t="str">
        <f>'Normalized Import'!C55</f>
        <v/>
      </c>
      <c r="D56" s="404"/>
      <c r="E56" s="384" t="str">
        <f>'Most Recent Import'!E55</f>
        <v/>
      </c>
      <c r="F56" s="405" t="str">
        <f>'Normalized Import'!E55</f>
        <v/>
      </c>
      <c r="G56" s="405" t="str">
        <f>IF(EQ('Normalized Import'!F55, ""),"", 'Normalized Import'!F55+F56)</f>
        <v/>
      </c>
      <c r="H56" s="405" t="str">
        <f>IF(EQ('Normalized Import'!G55, ""), "", 'Normalized Import'!G55+G56)</f>
        <v/>
      </c>
      <c r="I56" s="405" t="str">
        <f>IF(EQ('Normalized Import'!H55, ""),"", 'Normalized Import'!H55+H56)</f>
        <v/>
      </c>
      <c r="J56" s="405" t="str">
        <f>IF(EQ('Normalized Import'!I55, ""), "", 'Normalized Import'!I55+I56)</f>
        <v/>
      </c>
      <c r="K56" s="405" t="str">
        <f>IF(EQ('Normalized Import'!J55, ""),"", 'Normalized Import'!J55+J56)</f>
        <v/>
      </c>
      <c r="L56" s="405" t="str">
        <f>IF(EQ('Normalized Import'!K55, ""), "", 'Normalized Import'!K55+K56)</f>
        <v/>
      </c>
      <c r="M56" s="405" t="str">
        <f>IF(EQ('Normalized Import'!L55, ""),"", 'Normalized Import'!L55+L56)</f>
        <v/>
      </c>
      <c r="N56" s="405" t="str">
        <f>IF(EQ('Normalized Import'!M55, ""), "", 'Normalized Import'!M55+M56)</f>
        <v/>
      </c>
      <c r="O56" s="405" t="str">
        <f>IF(EQ('Normalized Import'!N55, ""),"", 'Normalized Import'!N55+N56)</f>
        <v/>
      </c>
      <c r="P56" s="405" t="str">
        <f>IF(EQ('Normalized Import'!O55, ""), "", 'Normalized Import'!O55+O56)</f>
        <v/>
      </c>
      <c r="Q56" s="405" t="str">
        <f>IF(EQ('Normalized Import'!P55, ""),"", 'Normalized Import'!P55+P56)</f>
        <v/>
      </c>
    </row>
    <row r="57">
      <c r="A57" s="379" t="str">
        <f>'Normalized Import'!A56</f>
        <v/>
      </c>
      <c r="B57" s="402" t="str">
        <f>'Normalized Import'!B56</f>
        <v/>
      </c>
      <c r="C57" s="403" t="str">
        <f>'Normalized Import'!C56</f>
        <v/>
      </c>
      <c r="D57" s="404"/>
      <c r="E57" s="384" t="str">
        <f>'Most Recent Import'!E56</f>
        <v/>
      </c>
      <c r="F57" s="405" t="str">
        <f>'Normalized Import'!E56</f>
        <v/>
      </c>
      <c r="G57" s="405" t="str">
        <f>IF(EQ('Normalized Import'!F56, ""),"", 'Normalized Import'!F56+F57)</f>
        <v/>
      </c>
      <c r="H57" s="405" t="str">
        <f>IF(EQ('Normalized Import'!G56, ""), "", 'Normalized Import'!G56+G57)</f>
        <v/>
      </c>
      <c r="I57" s="405" t="str">
        <f>IF(EQ('Normalized Import'!H56, ""),"", 'Normalized Import'!H56+H57)</f>
        <v/>
      </c>
      <c r="J57" s="405" t="str">
        <f>IF(EQ('Normalized Import'!I56, ""), "", 'Normalized Import'!I56+I57)</f>
        <v/>
      </c>
      <c r="K57" s="405" t="str">
        <f>IF(EQ('Normalized Import'!J56, ""),"", 'Normalized Import'!J56+J57)</f>
        <v/>
      </c>
      <c r="L57" s="405" t="str">
        <f>IF(EQ('Normalized Import'!K56, ""), "", 'Normalized Import'!K56+K57)</f>
        <v/>
      </c>
      <c r="M57" s="405" t="str">
        <f>IF(EQ('Normalized Import'!L56, ""),"", 'Normalized Import'!L56+L57)</f>
        <v/>
      </c>
      <c r="N57" s="405" t="str">
        <f>IF(EQ('Normalized Import'!M56, ""), "", 'Normalized Import'!M56+M57)</f>
        <v/>
      </c>
      <c r="O57" s="405" t="str">
        <f>IF(EQ('Normalized Import'!N56, ""),"", 'Normalized Import'!N56+N57)</f>
        <v/>
      </c>
      <c r="P57" s="405" t="str">
        <f>IF(EQ('Normalized Import'!O56, ""), "", 'Normalized Import'!O56+O57)</f>
        <v/>
      </c>
      <c r="Q57" s="405" t="str">
        <f>IF(EQ('Normalized Import'!P56, ""),"", 'Normalized Import'!P56+P57)</f>
        <v/>
      </c>
    </row>
    <row r="58">
      <c r="A58" s="379" t="str">
        <f>'Normalized Import'!A57</f>
        <v/>
      </c>
      <c r="B58" s="402" t="str">
        <f>'Normalized Import'!B57</f>
        <v/>
      </c>
      <c r="C58" s="403" t="str">
        <f>'Normalized Import'!C57</f>
        <v/>
      </c>
      <c r="D58" s="404"/>
      <c r="E58" s="384" t="str">
        <f>'Most Recent Import'!E57</f>
        <v/>
      </c>
      <c r="F58" s="405" t="str">
        <f>'Normalized Import'!E57</f>
        <v/>
      </c>
      <c r="G58" s="405" t="str">
        <f>IF(EQ('Normalized Import'!F57, ""),"", 'Normalized Import'!F57+F58)</f>
        <v/>
      </c>
      <c r="H58" s="405" t="str">
        <f>IF(EQ('Normalized Import'!G57, ""), "", 'Normalized Import'!G57+G58)</f>
        <v/>
      </c>
      <c r="I58" s="405" t="str">
        <f>IF(EQ('Normalized Import'!H57, ""),"", 'Normalized Import'!H57+H58)</f>
        <v/>
      </c>
      <c r="J58" s="405" t="str">
        <f>IF(EQ('Normalized Import'!I57, ""), "", 'Normalized Import'!I57+I58)</f>
        <v/>
      </c>
      <c r="K58" s="405" t="str">
        <f>IF(EQ('Normalized Import'!J57, ""),"", 'Normalized Import'!J57+J58)</f>
        <v/>
      </c>
      <c r="L58" s="405" t="str">
        <f>IF(EQ('Normalized Import'!K57, ""), "", 'Normalized Import'!K57+K58)</f>
        <v/>
      </c>
      <c r="M58" s="405" t="str">
        <f>IF(EQ('Normalized Import'!L57, ""),"", 'Normalized Import'!L57+L58)</f>
        <v/>
      </c>
      <c r="N58" s="405" t="str">
        <f>IF(EQ('Normalized Import'!M57, ""), "", 'Normalized Import'!M57+M58)</f>
        <v/>
      </c>
      <c r="O58" s="405" t="str">
        <f>IF(EQ('Normalized Import'!N57, ""),"", 'Normalized Import'!N57+N58)</f>
        <v/>
      </c>
      <c r="P58" s="405" t="str">
        <f>IF(EQ('Normalized Import'!O57, ""), "", 'Normalized Import'!O57+O58)</f>
        <v/>
      </c>
      <c r="Q58" s="405" t="str">
        <f>IF(EQ('Normalized Import'!P57, ""),"", 'Normalized Import'!P57+P58)</f>
        <v/>
      </c>
    </row>
    <row r="59">
      <c r="A59" s="379" t="str">
        <f>'Normalized Import'!A58</f>
        <v/>
      </c>
      <c r="B59" s="402" t="str">
        <f>'Normalized Import'!B58</f>
        <v/>
      </c>
      <c r="C59" s="403" t="str">
        <f>'Normalized Import'!C58</f>
        <v/>
      </c>
      <c r="D59" s="404"/>
      <c r="E59" s="384" t="str">
        <f>'Most Recent Import'!E58</f>
        <v/>
      </c>
      <c r="F59" s="405" t="str">
        <f>'Normalized Import'!E58</f>
        <v/>
      </c>
      <c r="G59" s="405" t="str">
        <f>IF(EQ('Normalized Import'!F58, ""),"", 'Normalized Import'!F58+F59)</f>
        <v/>
      </c>
      <c r="H59" s="405" t="str">
        <f>IF(EQ('Normalized Import'!G58, ""), "", 'Normalized Import'!G58+G59)</f>
        <v/>
      </c>
      <c r="I59" s="405" t="str">
        <f>IF(EQ('Normalized Import'!H58, ""),"", 'Normalized Import'!H58+H59)</f>
        <v/>
      </c>
      <c r="J59" s="405" t="str">
        <f>IF(EQ('Normalized Import'!I58, ""), "", 'Normalized Import'!I58+I59)</f>
        <v/>
      </c>
      <c r="K59" s="405" t="str">
        <f>IF(EQ('Normalized Import'!J58, ""),"", 'Normalized Import'!J58+J59)</f>
        <v/>
      </c>
      <c r="L59" s="405" t="str">
        <f>IF(EQ('Normalized Import'!K58, ""), "", 'Normalized Import'!K58+K59)</f>
        <v/>
      </c>
      <c r="M59" s="405" t="str">
        <f>IF(EQ('Normalized Import'!L58, ""),"", 'Normalized Import'!L58+L59)</f>
        <v/>
      </c>
      <c r="N59" s="405" t="str">
        <f>IF(EQ('Normalized Import'!M58, ""), "", 'Normalized Import'!M58+M59)</f>
        <v/>
      </c>
      <c r="O59" s="405" t="str">
        <f>IF(EQ('Normalized Import'!N58, ""),"", 'Normalized Import'!N58+N59)</f>
        <v/>
      </c>
      <c r="P59" s="405" t="str">
        <f>IF(EQ('Normalized Import'!O58, ""), "", 'Normalized Import'!O58+O59)</f>
        <v/>
      </c>
      <c r="Q59" s="405" t="str">
        <f>IF(EQ('Normalized Import'!P58, ""),"", 'Normalized Import'!P58+P59)</f>
        <v/>
      </c>
    </row>
    <row r="60">
      <c r="A60" s="379" t="str">
        <f>'Normalized Import'!A59</f>
        <v/>
      </c>
      <c r="B60" s="402" t="str">
        <f>'Normalized Import'!B59</f>
        <v/>
      </c>
      <c r="C60" s="403" t="str">
        <f>'Normalized Import'!C59</f>
        <v/>
      </c>
      <c r="D60" s="404"/>
      <c r="E60" s="384" t="str">
        <f>'Most Recent Import'!E59</f>
        <v/>
      </c>
      <c r="F60" s="405" t="str">
        <f>'Normalized Import'!E59</f>
        <v/>
      </c>
      <c r="G60" s="405" t="str">
        <f>IF(EQ('Normalized Import'!F59, ""),"", 'Normalized Import'!F59+F60)</f>
        <v/>
      </c>
      <c r="H60" s="405" t="str">
        <f>IF(EQ('Normalized Import'!G59, ""), "", 'Normalized Import'!G59+G60)</f>
        <v/>
      </c>
      <c r="I60" s="405" t="str">
        <f>IF(EQ('Normalized Import'!H59, ""),"", 'Normalized Import'!H59+H60)</f>
        <v/>
      </c>
      <c r="J60" s="405" t="str">
        <f>IF(EQ('Normalized Import'!I59, ""), "", 'Normalized Import'!I59+I60)</f>
        <v/>
      </c>
      <c r="K60" s="405" t="str">
        <f>IF(EQ('Normalized Import'!J59, ""),"", 'Normalized Import'!J59+J60)</f>
        <v/>
      </c>
      <c r="L60" s="405" t="str">
        <f>IF(EQ('Normalized Import'!K59, ""), "", 'Normalized Import'!K59+K60)</f>
        <v/>
      </c>
      <c r="M60" s="405" t="str">
        <f>IF(EQ('Normalized Import'!L59, ""),"", 'Normalized Import'!L59+L60)</f>
        <v/>
      </c>
      <c r="N60" s="405" t="str">
        <f>IF(EQ('Normalized Import'!M59, ""), "", 'Normalized Import'!M59+M60)</f>
        <v/>
      </c>
      <c r="O60" s="405" t="str">
        <f>IF(EQ('Normalized Import'!N59, ""),"", 'Normalized Import'!N59+N60)</f>
        <v/>
      </c>
      <c r="P60" s="405" t="str">
        <f>IF(EQ('Normalized Import'!O59, ""), "", 'Normalized Import'!O59+O60)</f>
        <v/>
      </c>
      <c r="Q60" s="405" t="str">
        <f>IF(EQ('Normalized Import'!P59, ""),"", 'Normalized Import'!P59+P60)</f>
        <v/>
      </c>
    </row>
    <row r="61">
      <c r="A61" s="379" t="str">
        <f>'Normalized Import'!A60</f>
        <v/>
      </c>
      <c r="B61" s="402" t="str">
        <f>'Normalized Import'!B60</f>
        <v/>
      </c>
      <c r="C61" s="403" t="str">
        <f>'Normalized Import'!C60</f>
        <v/>
      </c>
      <c r="D61" s="404"/>
      <c r="E61" s="384" t="str">
        <f>'Most Recent Import'!E60</f>
        <v/>
      </c>
      <c r="F61" s="405" t="str">
        <f>'Normalized Import'!E60</f>
        <v/>
      </c>
      <c r="G61" s="405" t="str">
        <f>IF(EQ('Normalized Import'!F60, ""),"", 'Normalized Import'!F60+F61)</f>
        <v/>
      </c>
      <c r="H61" s="405" t="str">
        <f>IF(EQ('Normalized Import'!G60, ""), "", 'Normalized Import'!G60+G61)</f>
        <v/>
      </c>
      <c r="I61" s="405" t="str">
        <f>IF(EQ('Normalized Import'!H60, ""),"", 'Normalized Import'!H60+H61)</f>
        <v/>
      </c>
      <c r="J61" s="405" t="str">
        <f>IF(EQ('Normalized Import'!I60, ""), "", 'Normalized Import'!I60+I61)</f>
        <v/>
      </c>
      <c r="K61" s="405" t="str">
        <f>IF(EQ('Normalized Import'!J60, ""),"", 'Normalized Import'!J60+J61)</f>
        <v/>
      </c>
      <c r="L61" s="405" t="str">
        <f>IF(EQ('Normalized Import'!K60, ""), "", 'Normalized Import'!K60+K61)</f>
        <v/>
      </c>
      <c r="M61" s="405" t="str">
        <f>IF(EQ('Normalized Import'!L60, ""),"", 'Normalized Import'!L60+L61)</f>
        <v/>
      </c>
      <c r="N61" s="405" t="str">
        <f>IF(EQ('Normalized Import'!M60, ""), "", 'Normalized Import'!M60+M61)</f>
        <v/>
      </c>
      <c r="O61" s="405" t="str">
        <f>IF(EQ('Normalized Import'!N60, ""),"", 'Normalized Import'!N60+N61)</f>
        <v/>
      </c>
      <c r="P61" s="405" t="str">
        <f>IF(EQ('Normalized Import'!O60, ""), "", 'Normalized Import'!O60+O61)</f>
        <v/>
      </c>
      <c r="Q61" s="405" t="str">
        <f>IF(EQ('Normalized Import'!P60, ""),"", 'Normalized Import'!P60+P61)</f>
        <v/>
      </c>
    </row>
    <row r="62">
      <c r="A62" s="379" t="str">
        <f>'Normalized Import'!A61</f>
        <v/>
      </c>
      <c r="B62" s="402" t="str">
        <f>'Normalized Import'!B61</f>
        <v/>
      </c>
      <c r="C62" s="403" t="str">
        <f>'Normalized Import'!C61</f>
        <v/>
      </c>
      <c r="D62" s="404"/>
      <c r="E62" s="384" t="str">
        <f>'Most Recent Import'!E61</f>
        <v/>
      </c>
      <c r="F62" s="405" t="str">
        <f>'Normalized Import'!E61</f>
        <v/>
      </c>
      <c r="G62" s="405" t="str">
        <f>IF(EQ('Normalized Import'!F61, ""),"", 'Normalized Import'!F61+F62)</f>
        <v/>
      </c>
      <c r="H62" s="405" t="str">
        <f>IF(EQ('Normalized Import'!G61, ""), "", 'Normalized Import'!G61+G62)</f>
        <v/>
      </c>
      <c r="I62" s="405" t="str">
        <f>IF(EQ('Normalized Import'!H61, ""),"", 'Normalized Import'!H61+H62)</f>
        <v/>
      </c>
      <c r="J62" s="405" t="str">
        <f>IF(EQ('Normalized Import'!I61, ""), "", 'Normalized Import'!I61+I62)</f>
        <v/>
      </c>
      <c r="K62" s="405" t="str">
        <f>IF(EQ('Normalized Import'!J61, ""),"", 'Normalized Import'!J61+J62)</f>
        <v/>
      </c>
      <c r="L62" s="405" t="str">
        <f>IF(EQ('Normalized Import'!K61, ""), "", 'Normalized Import'!K61+K62)</f>
        <v/>
      </c>
      <c r="M62" s="405" t="str">
        <f>IF(EQ('Normalized Import'!L61, ""),"", 'Normalized Import'!L61+L62)</f>
        <v/>
      </c>
      <c r="N62" s="405" t="str">
        <f>IF(EQ('Normalized Import'!M61, ""), "", 'Normalized Import'!M61+M62)</f>
        <v/>
      </c>
      <c r="O62" s="405" t="str">
        <f>IF(EQ('Normalized Import'!N61, ""),"", 'Normalized Import'!N61+N62)</f>
        <v/>
      </c>
      <c r="P62" s="405" t="str">
        <f>IF(EQ('Normalized Import'!O61, ""), "", 'Normalized Import'!O61+O62)</f>
        <v/>
      </c>
      <c r="Q62" s="405" t="str">
        <f>IF(EQ('Normalized Import'!P61, ""),"", 'Normalized Import'!P61+P62)</f>
        <v/>
      </c>
    </row>
    <row r="63">
      <c r="A63" s="379" t="str">
        <f>'Normalized Import'!A62</f>
        <v/>
      </c>
      <c r="B63" s="402" t="str">
        <f>'Normalized Import'!B62</f>
        <v/>
      </c>
      <c r="C63" s="403" t="str">
        <f>'Normalized Import'!C62</f>
        <v/>
      </c>
      <c r="D63" s="404"/>
      <c r="E63" s="384" t="str">
        <f>'Most Recent Import'!E62</f>
        <v/>
      </c>
      <c r="F63" s="405" t="str">
        <f>'Normalized Import'!E62</f>
        <v/>
      </c>
      <c r="G63" s="405" t="str">
        <f>IF(EQ('Normalized Import'!F62, ""),"", 'Normalized Import'!F62+F63)</f>
        <v/>
      </c>
      <c r="H63" s="405" t="str">
        <f>IF(EQ('Normalized Import'!G62, ""), "", 'Normalized Import'!G62+G63)</f>
        <v/>
      </c>
      <c r="I63" s="405" t="str">
        <f>IF(EQ('Normalized Import'!H62, ""),"", 'Normalized Import'!H62+H63)</f>
        <v/>
      </c>
      <c r="J63" s="405" t="str">
        <f>IF(EQ('Normalized Import'!I62, ""), "", 'Normalized Import'!I62+I63)</f>
        <v/>
      </c>
      <c r="K63" s="405" t="str">
        <f>IF(EQ('Normalized Import'!J62, ""),"", 'Normalized Import'!J62+J63)</f>
        <v/>
      </c>
      <c r="L63" s="405" t="str">
        <f>IF(EQ('Normalized Import'!K62, ""), "", 'Normalized Import'!K62+K63)</f>
        <v/>
      </c>
      <c r="M63" s="405" t="str">
        <f>IF(EQ('Normalized Import'!L62, ""),"", 'Normalized Import'!L62+L63)</f>
        <v/>
      </c>
      <c r="N63" s="405" t="str">
        <f>IF(EQ('Normalized Import'!M62, ""), "", 'Normalized Import'!M62+M63)</f>
        <v/>
      </c>
      <c r="O63" s="405" t="str">
        <f>IF(EQ('Normalized Import'!N62, ""),"", 'Normalized Import'!N62+N63)</f>
        <v/>
      </c>
      <c r="P63" s="405" t="str">
        <f>IF(EQ('Normalized Import'!O62, ""), "", 'Normalized Import'!O62+O63)</f>
        <v/>
      </c>
      <c r="Q63" s="405" t="str">
        <f>IF(EQ('Normalized Import'!P62, ""),"", 'Normalized Import'!P62+P63)</f>
        <v/>
      </c>
    </row>
    <row r="64">
      <c r="A64" s="379" t="str">
        <f>'Normalized Import'!A63</f>
        <v/>
      </c>
      <c r="B64" s="402" t="str">
        <f>'Normalized Import'!B63</f>
        <v/>
      </c>
      <c r="C64" s="403" t="str">
        <f>'Normalized Import'!C63</f>
        <v/>
      </c>
      <c r="D64" s="404"/>
      <c r="E64" s="384" t="str">
        <f>'Most Recent Import'!E63</f>
        <v/>
      </c>
      <c r="F64" s="405" t="str">
        <f>'Normalized Import'!E63</f>
        <v/>
      </c>
      <c r="G64" s="405" t="str">
        <f>IF(EQ('Normalized Import'!F63, ""),"", 'Normalized Import'!F63+F64)</f>
        <v/>
      </c>
      <c r="H64" s="405" t="str">
        <f>IF(EQ('Normalized Import'!G63, ""), "", 'Normalized Import'!G63+G64)</f>
        <v/>
      </c>
      <c r="I64" s="405" t="str">
        <f>IF(EQ('Normalized Import'!H63, ""),"", 'Normalized Import'!H63+H64)</f>
        <v/>
      </c>
      <c r="J64" s="405" t="str">
        <f>IF(EQ('Normalized Import'!I63, ""), "", 'Normalized Import'!I63+I64)</f>
        <v/>
      </c>
      <c r="K64" s="405" t="str">
        <f>IF(EQ('Normalized Import'!J63, ""),"", 'Normalized Import'!J63+J64)</f>
        <v/>
      </c>
      <c r="L64" s="405" t="str">
        <f>IF(EQ('Normalized Import'!K63, ""), "", 'Normalized Import'!K63+K64)</f>
        <v/>
      </c>
      <c r="M64" s="405" t="str">
        <f>IF(EQ('Normalized Import'!L63, ""),"", 'Normalized Import'!L63+L64)</f>
        <v/>
      </c>
      <c r="N64" s="405" t="str">
        <f>IF(EQ('Normalized Import'!M63, ""), "", 'Normalized Import'!M63+M64)</f>
        <v/>
      </c>
      <c r="O64" s="405" t="str">
        <f>IF(EQ('Normalized Import'!N63, ""),"", 'Normalized Import'!N63+N64)</f>
        <v/>
      </c>
      <c r="P64" s="405" t="str">
        <f>IF(EQ('Normalized Import'!O63, ""), "", 'Normalized Import'!O63+O64)</f>
        <v/>
      </c>
      <c r="Q64" s="405" t="str">
        <f>IF(EQ('Normalized Import'!P63, ""),"", 'Normalized Import'!P63+P64)</f>
        <v/>
      </c>
    </row>
    <row r="65">
      <c r="A65" s="379" t="str">
        <f>'Normalized Import'!A64</f>
        <v/>
      </c>
      <c r="B65" s="402" t="str">
        <f>'Normalized Import'!B64</f>
        <v/>
      </c>
      <c r="C65" s="403" t="str">
        <f>'Normalized Import'!C64</f>
        <v/>
      </c>
      <c r="D65" s="404"/>
      <c r="E65" s="384" t="str">
        <f>'Most Recent Import'!E64</f>
        <v/>
      </c>
      <c r="F65" s="405" t="str">
        <f>'Normalized Import'!E64</f>
        <v/>
      </c>
      <c r="G65" s="405" t="str">
        <f>IF(EQ('Normalized Import'!F64, ""),"", 'Normalized Import'!F64+F65)</f>
        <v/>
      </c>
      <c r="H65" s="405" t="str">
        <f>IF(EQ('Normalized Import'!G64, ""), "", 'Normalized Import'!G64+G65)</f>
        <v/>
      </c>
      <c r="I65" s="405" t="str">
        <f>IF(EQ('Normalized Import'!H64, ""),"", 'Normalized Import'!H64+H65)</f>
        <v/>
      </c>
      <c r="J65" s="405" t="str">
        <f>IF(EQ('Normalized Import'!I64, ""), "", 'Normalized Import'!I64+I65)</f>
        <v/>
      </c>
      <c r="K65" s="405" t="str">
        <f>IF(EQ('Normalized Import'!J64, ""),"", 'Normalized Import'!J64+J65)</f>
        <v/>
      </c>
      <c r="L65" s="405" t="str">
        <f>IF(EQ('Normalized Import'!K64, ""), "", 'Normalized Import'!K64+K65)</f>
        <v/>
      </c>
      <c r="M65" s="405" t="str">
        <f>IF(EQ('Normalized Import'!L64, ""),"", 'Normalized Import'!L64+L65)</f>
        <v/>
      </c>
      <c r="N65" s="405" t="str">
        <f>IF(EQ('Normalized Import'!M64, ""), "", 'Normalized Import'!M64+M65)</f>
        <v/>
      </c>
      <c r="O65" s="405" t="str">
        <f>IF(EQ('Normalized Import'!N64, ""),"", 'Normalized Import'!N64+N65)</f>
        <v/>
      </c>
      <c r="P65" s="405" t="str">
        <f>IF(EQ('Normalized Import'!O64, ""), "", 'Normalized Import'!O64+O65)</f>
        <v/>
      </c>
      <c r="Q65" s="405" t="str">
        <f>IF(EQ('Normalized Import'!P64, ""),"", 'Normalized Import'!P64+P65)</f>
        <v/>
      </c>
    </row>
    <row r="66">
      <c r="A66" s="379" t="str">
        <f>'Normalized Import'!A65</f>
        <v/>
      </c>
      <c r="B66" s="402" t="str">
        <f>'Normalized Import'!B65</f>
        <v/>
      </c>
      <c r="C66" s="403" t="str">
        <f>'Normalized Import'!C65</f>
        <v/>
      </c>
      <c r="D66" s="404"/>
      <c r="E66" s="384" t="str">
        <f>'Most Recent Import'!E65</f>
        <v/>
      </c>
      <c r="F66" s="405" t="str">
        <f>'Normalized Import'!E65</f>
        <v/>
      </c>
      <c r="G66" s="405" t="str">
        <f>IF(EQ('Normalized Import'!F65, ""),"", 'Normalized Import'!F65+F66)</f>
        <v/>
      </c>
      <c r="H66" s="405" t="str">
        <f>IF(EQ('Normalized Import'!G65, ""), "", 'Normalized Import'!G65+G66)</f>
        <v/>
      </c>
      <c r="I66" s="405" t="str">
        <f>IF(EQ('Normalized Import'!H65, ""),"", 'Normalized Import'!H65+H66)</f>
        <v/>
      </c>
      <c r="J66" s="405" t="str">
        <f>IF(EQ('Normalized Import'!I65, ""), "", 'Normalized Import'!I65+I66)</f>
        <v/>
      </c>
      <c r="K66" s="405" t="str">
        <f>IF(EQ('Normalized Import'!J65, ""),"", 'Normalized Import'!J65+J66)</f>
        <v/>
      </c>
      <c r="L66" s="405" t="str">
        <f>IF(EQ('Normalized Import'!K65, ""), "", 'Normalized Import'!K65+K66)</f>
        <v/>
      </c>
      <c r="M66" s="405" t="str">
        <f>IF(EQ('Normalized Import'!L65, ""),"", 'Normalized Import'!L65+L66)</f>
        <v/>
      </c>
      <c r="N66" s="405" t="str">
        <f>IF(EQ('Normalized Import'!M65, ""), "", 'Normalized Import'!M65+M66)</f>
        <v/>
      </c>
      <c r="O66" s="405" t="str">
        <f>IF(EQ('Normalized Import'!N65, ""),"", 'Normalized Import'!N65+N66)</f>
        <v/>
      </c>
      <c r="P66" s="405" t="str">
        <f>IF(EQ('Normalized Import'!O65, ""), "", 'Normalized Import'!O65+O66)</f>
        <v/>
      </c>
      <c r="Q66" s="405" t="str">
        <f>IF(EQ('Normalized Import'!P65, ""),"", 'Normalized Import'!P65+P66)</f>
        <v/>
      </c>
    </row>
    <row r="67">
      <c r="A67" s="379" t="str">
        <f>'Normalized Import'!A66</f>
        <v/>
      </c>
      <c r="B67" s="402" t="str">
        <f>'Normalized Import'!B66</f>
        <v/>
      </c>
      <c r="C67" s="403" t="str">
        <f>'Normalized Import'!C66</f>
        <v/>
      </c>
      <c r="D67" s="404"/>
      <c r="E67" s="384" t="str">
        <f>'Most Recent Import'!E66</f>
        <v/>
      </c>
      <c r="F67" s="405" t="str">
        <f>'Normalized Import'!E66</f>
        <v/>
      </c>
      <c r="G67" s="405" t="str">
        <f>IF(EQ('Normalized Import'!F66, ""),"", 'Normalized Import'!F66+F67)</f>
        <v/>
      </c>
      <c r="H67" s="405" t="str">
        <f>IF(EQ('Normalized Import'!G66, ""), "", 'Normalized Import'!G66+G67)</f>
        <v/>
      </c>
      <c r="I67" s="405" t="str">
        <f>IF(EQ('Normalized Import'!H66, ""),"", 'Normalized Import'!H66+H67)</f>
        <v/>
      </c>
      <c r="J67" s="405" t="str">
        <f>IF(EQ('Normalized Import'!I66, ""), "", 'Normalized Import'!I66+I67)</f>
        <v/>
      </c>
      <c r="K67" s="405" t="str">
        <f>IF(EQ('Normalized Import'!J66, ""),"", 'Normalized Import'!J66+J67)</f>
        <v/>
      </c>
      <c r="L67" s="405" t="str">
        <f>IF(EQ('Normalized Import'!K66, ""), "", 'Normalized Import'!K66+K67)</f>
        <v/>
      </c>
      <c r="M67" s="405" t="str">
        <f>IF(EQ('Normalized Import'!L66, ""),"", 'Normalized Import'!L66+L67)</f>
        <v/>
      </c>
      <c r="N67" s="405" t="str">
        <f>IF(EQ('Normalized Import'!M66, ""), "", 'Normalized Import'!M66+M67)</f>
        <v/>
      </c>
      <c r="O67" s="405" t="str">
        <f>IF(EQ('Normalized Import'!N66, ""),"", 'Normalized Import'!N66+N67)</f>
        <v/>
      </c>
      <c r="P67" s="405" t="str">
        <f>IF(EQ('Normalized Import'!O66, ""), "", 'Normalized Import'!O66+O67)</f>
        <v/>
      </c>
      <c r="Q67" s="405" t="str">
        <f>IF(EQ('Normalized Import'!P66, ""),"", 'Normalized Import'!P66+P67)</f>
        <v/>
      </c>
    </row>
    <row r="68">
      <c r="A68" s="379" t="str">
        <f>'Normalized Import'!A67</f>
        <v/>
      </c>
      <c r="B68" s="402" t="str">
        <f>'Normalized Import'!B67</f>
        <v/>
      </c>
      <c r="C68" s="403" t="str">
        <f>'Normalized Import'!C67</f>
        <v/>
      </c>
      <c r="D68" s="404"/>
      <c r="E68" s="384" t="str">
        <f>'Most Recent Import'!E67</f>
        <v/>
      </c>
      <c r="F68" s="405" t="str">
        <f>'Normalized Import'!E67</f>
        <v/>
      </c>
      <c r="G68" s="405" t="str">
        <f>IF(EQ('Normalized Import'!F67, ""),"", 'Normalized Import'!F67+F68)</f>
        <v/>
      </c>
      <c r="H68" s="405" t="str">
        <f>IF(EQ('Normalized Import'!G67, ""), "", 'Normalized Import'!G67+G68)</f>
        <v/>
      </c>
      <c r="I68" s="405" t="str">
        <f>IF(EQ('Normalized Import'!H67, ""),"", 'Normalized Import'!H67+H68)</f>
        <v/>
      </c>
      <c r="J68" s="405" t="str">
        <f>IF(EQ('Normalized Import'!I67, ""), "", 'Normalized Import'!I67+I68)</f>
        <v/>
      </c>
      <c r="K68" s="405" t="str">
        <f>IF(EQ('Normalized Import'!J67, ""),"", 'Normalized Import'!J67+J68)</f>
        <v/>
      </c>
      <c r="L68" s="405" t="str">
        <f>IF(EQ('Normalized Import'!K67, ""), "", 'Normalized Import'!K67+K68)</f>
        <v/>
      </c>
      <c r="M68" s="405" t="str">
        <f>IF(EQ('Normalized Import'!L67, ""),"", 'Normalized Import'!L67+L68)</f>
        <v/>
      </c>
      <c r="N68" s="405" t="str">
        <f>IF(EQ('Normalized Import'!M67, ""), "", 'Normalized Import'!M67+M68)</f>
        <v/>
      </c>
      <c r="O68" s="405" t="str">
        <f>IF(EQ('Normalized Import'!N67, ""),"", 'Normalized Import'!N67+N68)</f>
        <v/>
      </c>
      <c r="P68" s="405" t="str">
        <f>IF(EQ('Normalized Import'!O67, ""), "", 'Normalized Import'!O67+O68)</f>
        <v/>
      </c>
      <c r="Q68" s="405" t="str">
        <f>IF(EQ('Normalized Import'!P67, ""),"", 'Normalized Import'!P67+P68)</f>
        <v/>
      </c>
    </row>
    <row r="69">
      <c r="A69" s="379" t="str">
        <f>'Normalized Import'!A68</f>
        <v/>
      </c>
      <c r="B69" s="402" t="str">
        <f>'Normalized Import'!B68</f>
        <v/>
      </c>
      <c r="C69" s="403" t="str">
        <f>'Normalized Import'!C68</f>
        <v/>
      </c>
      <c r="D69" s="404"/>
      <c r="E69" s="384" t="str">
        <f>'Most Recent Import'!E68</f>
        <v/>
      </c>
      <c r="F69" s="405" t="str">
        <f>'Normalized Import'!E68</f>
        <v/>
      </c>
      <c r="G69" s="405" t="str">
        <f>IF(EQ('Normalized Import'!F68, ""),"", 'Normalized Import'!F68+F69)</f>
        <v/>
      </c>
      <c r="H69" s="405" t="str">
        <f>IF(EQ('Normalized Import'!G68, ""), "", 'Normalized Import'!G68+G69)</f>
        <v/>
      </c>
      <c r="I69" s="405" t="str">
        <f>IF(EQ('Normalized Import'!H68, ""),"", 'Normalized Import'!H68+H69)</f>
        <v/>
      </c>
      <c r="J69" s="405" t="str">
        <f>IF(EQ('Normalized Import'!I68, ""), "", 'Normalized Import'!I68+I69)</f>
        <v/>
      </c>
      <c r="K69" s="405" t="str">
        <f>IF(EQ('Normalized Import'!J68, ""),"", 'Normalized Import'!J68+J69)</f>
        <v/>
      </c>
      <c r="L69" s="405" t="str">
        <f>IF(EQ('Normalized Import'!K68, ""), "", 'Normalized Import'!K68+K69)</f>
        <v/>
      </c>
      <c r="M69" s="405" t="str">
        <f>IF(EQ('Normalized Import'!L68, ""),"", 'Normalized Import'!L68+L69)</f>
        <v/>
      </c>
      <c r="N69" s="405" t="str">
        <f>IF(EQ('Normalized Import'!M68, ""), "", 'Normalized Import'!M68+M69)</f>
        <v/>
      </c>
      <c r="O69" s="405" t="str">
        <f>IF(EQ('Normalized Import'!N68, ""),"", 'Normalized Import'!N68+N69)</f>
        <v/>
      </c>
      <c r="P69" s="405" t="str">
        <f>IF(EQ('Normalized Import'!O68, ""), "", 'Normalized Import'!O68+O69)</f>
        <v/>
      </c>
      <c r="Q69" s="405" t="str">
        <f>IF(EQ('Normalized Import'!P68, ""),"", 'Normalized Import'!P68+P69)</f>
        <v/>
      </c>
    </row>
    <row r="70">
      <c r="A70" s="379" t="str">
        <f>'Normalized Import'!A69</f>
        <v/>
      </c>
      <c r="B70" s="402" t="str">
        <f>'Normalized Import'!B69</f>
        <v/>
      </c>
      <c r="C70" s="403" t="str">
        <f>'Normalized Import'!C69</f>
        <v/>
      </c>
      <c r="D70" s="404"/>
      <c r="E70" s="384" t="str">
        <f>'Most Recent Import'!E69</f>
        <v/>
      </c>
      <c r="F70" s="405" t="str">
        <f>'Normalized Import'!E69</f>
        <v/>
      </c>
      <c r="G70" s="405" t="str">
        <f>IF(EQ('Normalized Import'!F69, ""),"", 'Normalized Import'!F69+F70)</f>
        <v/>
      </c>
      <c r="H70" s="405" t="str">
        <f>IF(EQ('Normalized Import'!G69, ""), "", 'Normalized Import'!G69+G70)</f>
        <v/>
      </c>
      <c r="I70" s="405" t="str">
        <f>IF(EQ('Normalized Import'!H69, ""),"", 'Normalized Import'!H69+H70)</f>
        <v/>
      </c>
      <c r="J70" s="405" t="str">
        <f>IF(EQ('Normalized Import'!I69, ""), "", 'Normalized Import'!I69+I70)</f>
        <v/>
      </c>
      <c r="K70" s="405" t="str">
        <f>IF(EQ('Normalized Import'!J69, ""),"", 'Normalized Import'!J69+J70)</f>
        <v/>
      </c>
      <c r="L70" s="405" t="str">
        <f>IF(EQ('Normalized Import'!K69, ""), "", 'Normalized Import'!K69+K70)</f>
        <v/>
      </c>
      <c r="M70" s="405" t="str">
        <f>IF(EQ('Normalized Import'!L69, ""),"", 'Normalized Import'!L69+L70)</f>
        <v/>
      </c>
      <c r="N70" s="405" t="str">
        <f>IF(EQ('Normalized Import'!M69, ""), "", 'Normalized Import'!M69+M70)</f>
        <v/>
      </c>
      <c r="O70" s="405" t="str">
        <f>IF(EQ('Normalized Import'!N69, ""),"", 'Normalized Import'!N69+N70)</f>
        <v/>
      </c>
      <c r="P70" s="405" t="str">
        <f>IF(EQ('Normalized Import'!O69, ""), "", 'Normalized Import'!O69+O70)</f>
        <v/>
      </c>
      <c r="Q70" s="405" t="str">
        <f>IF(EQ('Normalized Import'!P69, ""),"", 'Normalized Import'!P69+P70)</f>
        <v/>
      </c>
    </row>
    <row r="71">
      <c r="A71" s="379" t="str">
        <f>'Normalized Import'!A70</f>
        <v/>
      </c>
      <c r="B71" s="402" t="str">
        <f>'Normalized Import'!B70</f>
        <v/>
      </c>
      <c r="C71" s="403" t="str">
        <f>'Normalized Import'!C70</f>
        <v/>
      </c>
      <c r="D71" s="404"/>
      <c r="E71" s="384" t="str">
        <f>'Most Recent Import'!E70</f>
        <v/>
      </c>
      <c r="F71" s="405" t="str">
        <f>'Normalized Import'!E70</f>
        <v/>
      </c>
      <c r="G71" s="405" t="str">
        <f>IF(EQ('Normalized Import'!F70, ""),"", 'Normalized Import'!F70+F71)</f>
        <v/>
      </c>
      <c r="H71" s="405" t="str">
        <f>IF(EQ('Normalized Import'!G70, ""), "", 'Normalized Import'!G70+G71)</f>
        <v/>
      </c>
      <c r="I71" s="405" t="str">
        <f>IF(EQ('Normalized Import'!H70, ""),"", 'Normalized Import'!H70+H71)</f>
        <v/>
      </c>
      <c r="J71" s="405" t="str">
        <f>IF(EQ('Normalized Import'!I70, ""), "", 'Normalized Import'!I70+I71)</f>
        <v/>
      </c>
      <c r="K71" s="405" t="str">
        <f>IF(EQ('Normalized Import'!J70, ""),"", 'Normalized Import'!J70+J71)</f>
        <v/>
      </c>
      <c r="L71" s="405" t="str">
        <f>IF(EQ('Normalized Import'!K70, ""), "", 'Normalized Import'!K70+K71)</f>
        <v/>
      </c>
      <c r="M71" s="405" t="str">
        <f>IF(EQ('Normalized Import'!L70, ""),"", 'Normalized Import'!L70+L71)</f>
        <v/>
      </c>
      <c r="N71" s="405" t="str">
        <f>IF(EQ('Normalized Import'!M70, ""), "", 'Normalized Import'!M70+M71)</f>
        <v/>
      </c>
      <c r="O71" s="405" t="str">
        <f>IF(EQ('Normalized Import'!N70, ""),"", 'Normalized Import'!N70+N71)</f>
        <v/>
      </c>
      <c r="P71" s="405" t="str">
        <f>IF(EQ('Normalized Import'!O70, ""), "", 'Normalized Import'!O70+O71)</f>
        <v/>
      </c>
      <c r="Q71" s="405" t="str">
        <f>IF(EQ('Normalized Import'!P70, ""),"", 'Normalized Import'!P70+P71)</f>
        <v/>
      </c>
    </row>
    <row r="72">
      <c r="A72" s="379" t="str">
        <f>'Normalized Import'!A71</f>
        <v/>
      </c>
      <c r="B72" s="402" t="str">
        <f>'Normalized Import'!B71</f>
        <v/>
      </c>
      <c r="C72" s="403" t="str">
        <f>'Normalized Import'!C71</f>
        <v/>
      </c>
      <c r="D72" s="404"/>
      <c r="E72" s="384" t="str">
        <f>'Most Recent Import'!E71</f>
        <v/>
      </c>
      <c r="F72" s="405" t="str">
        <f>'Normalized Import'!E71</f>
        <v/>
      </c>
      <c r="G72" s="405" t="str">
        <f>IF(EQ('Normalized Import'!F71, ""),"", 'Normalized Import'!F71+F72)</f>
        <v/>
      </c>
      <c r="H72" s="405" t="str">
        <f>IF(EQ('Normalized Import'!G71, ""), "", 'Normalized Import'!G71+G72)</f>
        <v/>
      </c>
      <c r="I72" s="405" t="str">
        <f>IF(EQ('Normalized Import'!H71, ""),"", 'Normalized Import'!H71+H72)</f>
        <v/>
      </c>
      <c r="J72" s="405" t="str">
        <f>IF(EQ('Normalized Import'!I71, ""), "", 'Normalized Import'!I71+I72)</f>
        <v/>
      </c>
      <c r="K72" s="405" t="str">
        <f>IF(EQ('Normalized Import'!J71, ""),"", 'Normalized Import'!J71+J72)</f>
        <v/>
      </c>
      <c r="L72" s="405" t="str">
        <f>IF(EQ('Normalized Import'!K71, ""), "", 'Normalized Import'!K71+K72)</f>
        <v/>
      </c>
      <c r="M72" s="405" t="str">
        <f>IF(EQ('Normalized Import'!L71, ""),"", 'Normalized Import'!L71+L72)</f>
        <v/>
      </c>
      <c r="N72" s="405" t="str">
        <f>IF(EQ('Normalized Import'!M71, ""), "", 'Normalized Import'!M71+M72)</f>
        <v/>
      </c>
      <c r="O72" s="405" t="str">
        <f>IF(EQ('Normalized Import'!N71, ""),"", 'Normalized Import'!N71+N72)</f>
        <v/>
      </c>
      <c r="P72" s="405" t="str">
        <f>IF(EQ('Normalized Import'!O71, ""), "", 'Normalized Import'!O71+O72)</f>
        <v/>
      </c>
      <c r="Q72" s="405" t="str">
        <f>IF(EQ('Normalized Import'!P71, ""),"", 'Normalized Import'!P71+P72)</f>
        <v/>
      </c>
    </row>
    <row r="73">
      <c r="A73" s="379" t="str">
        <f>'Normalized Import'!A72</f>
        <v/>
      </c>
      <c r="B73" s="402" t="str">
        <f>'Normalized Import'!B72</f>
        <v/>
      </c>
      <c r="C73" s="403" t="str">
        <f>'Normalized Import'!C72</f>
        <v/>
      </c>
      <c r="D73" s="404"/>
      <c r="E73" s="384" t="str">
        <f>'Most Recent Import'!E72</f>
        <v/>
      </c>
      <c r="F73" s="405" t="str">
        <f>'Normalized Import'!E72</f>
        <v/>
      </c>
      <c r="G73" s="405" t="str">
        <f>IF(EQ('Normalized Import'!F72, ""),"", 'Normalized Import'!F72+F73)</f>
        <v/>
      </c>
      <c r="H73" s="405" t="str">
        <f>IF(EQ('Normalized Import'!G72, ""), "", 'Normalized Import'!G72+G73)</f>
        <v/>
      </c>
      <c r="I73" s="405" t="str">
        <f>IF(EQ('Normalized Import'!H72, ""),"", 'Normalized Import'!H72+H73)</f>
        <v/>
      </c>
      <c r="J73" s="405" t="str">
        <f>IF(EQ('Normalized Import'!I72, ""), "", 'Normalized Import'!I72+I73)</f>
        <v/>
      </c>
      <c r="K73" s="405" t="str">
        <f>IF(EQ('Normalized Import'!J72, ""),"", 'Normalized Import'!J72+J73)</f>
        <v/>
      </c>
      <c r="L73" s="405" t="str">
        <f>IF(EQ('Normalized Import'!K72, ""), "", 'Normalized Import'!K72+K73)</f>
        <v/>
      </c>
      <c r="M73" s="405" t="str">
        <f>IF(EQ('Normalized Import'!L72, ""),"", 'Normalized Import'!L72+L73)</f>
        <v/>
      </c>
      <c r="N73" s="405" t="str">
        <f>IF(EQ('Normalized Import'!M72, ""), "", 'Normalized Import'!M72+M73)</f>
        <v/>
      </c>
      <c r="O73" s="405" t="str">
        <f>IF(EQ('Normalized Import'!N72, ""),"", 'Normalized Import'!N72+N73)</f>
        <v/>
      </c>
      <c r="P73" s="405" t="str">
        <f>IF(EQ('Normalized Import'!O72, ""), "", 'Normalized Import'!O72+O73)</f>
        <v/>
      </c>
      <c r="Q73" s="405" t="str">
        <f>IF(EQ('Normalized Import'!P72, ""),"", 'Normalized Import'!P72+P73)</f>
        <v/>
      </c>
    </row>
    <row r="74">
      <c r="A74" s="379" t="str">
        <f>'Normalized Import'!A73</f>
        <v/>
      </c>
      <c r="B74" s="402" t="str">
        <f>'Normalized Import'!B73</f>
        <v/>
      </c>
      <c r="C74" s="403" t="str">
        <f>'Normalized Import'!C73</f>
        <v/>
      </c>
      <c r="D74" s="404"/>
      <c r="E74" s="384" t="str">
        <f>'Most Recent Import'!E73</f>
        <v/>
      </c>
      <c r="F74" s="405" t="str">
        <f>'Normalized Import'!E73</f>
        <v/>
      </c>
      <c r="G74" s="405" t="str">
        <f>IF(EQ('Normalized Import'!F73, ""),"", 'Normalized Import'!F73+F74)</f>
        <v/>
      </c>
      <c r="H74" s="405" t="str">
        <f>IF(EQ('Normalized Import'!G73, ""), "", 'Normalized Import'!G73+G74)</f>
        <v/>
      </c>
      <c r="I74" s="405" t="str">
        <f>IF(EQ('Normalized Import'!H73, ""),"", 'Normalized Import'!H73+H74)</f>
        <v/>
      </c>
      <c r="J74" s="405" t="str">
        <f>IF(EQ('Normalized Import'!I73, ""), "", 'Normalized Import'!I73+I74)</f>
        <v/>
      </c>
      <c r="K74" s="405" t="str">
        <f>IF(EQ('Normalized Import'!J73, ""),"", 'Normalized Import'!J73+J74)</f>
        <v/>
      </c>
      <c r="L74" s="405" t="str">
        <f>IF(EQ('Normalized Import'!K73, ""), "", 'Normalized Import'!K73+K74)</f>
        <v/>
      </c>
      <c r="M74" s="405" t="str">
        <f>IF(EQ('Normalized Import'!L73, ""),"", 'Normalized Import'!L73+L74)</f>
        <v/>
      </c>
      <c r="N74" s="405" t="str">
        <f>IF(EQ('Normalized Import'!M73, ""), "", 'Normalized Import'!M73+M74)</f>
        <v/>
      </c>
      <c r="O74" s="405" t="str">
        <f>IF(EQ('Normalized Import'!N73, ""),"", 'Normalized Import'!N73+N74)</f>
        <v/>
      </c>
      <c r="P74" s="405" t="str">
        <f>IF(EQ('Normalized Import'!O73, ""), "", 'Normalized Import'!O73+O74)</f>
        <v/>
      </c>
      <c r="Q74" s="405" t="str">
        <f>IF(EQ('Normalized Import'!P73, ""),"", 'Normalized Import'!P73+P74)</f>
        <v/>
      </c>
    </row>
    <row r="75">
      <c r="A75" s="379" t="str">
        <f>'Normalized Import'!A74</f>
        <v/>
      </c>
      <c r="B75" s="402" t="str">
        <f>'Normalized Import'!B74</f>
        <v/>
      </c>
      <c r="C75" s="403" t="str">
        <f>'Normalized Import'!C74</f>
        <v/>
      </c>
      <c r="D75" s="404"/>
      <c r="E75" s="384" t="str">
        <f>'Most Recent Import'!E74</f>
        <v/>
      </c>
      <c r="F75" s="405" t="str">
        <f>'Normalized Import'!E74</f>
        <v/>
      </c>
      <c r="G75" s="405" t="str">
        <f>IF(EQ('Normalized Import'!F74, ""),"", 'Normalized Import'!F74+F75)</f>
        <v/>
      </c>
      <c r="H75" s="405" t="str">
        <f>IF(EQ('Normalized Import'!G74, ""), "", 'Normalized Import'!G74+G75)</f>
        <v/>
      </c>
      <c r="I75" s="405" t="str">
        <f>IF(EQ('Normalized Import'!H74, ""),"", 'Normalized Import'!H74+H75)</f>
        <v/>
      </c>
      <c r="J75" s="405" t="str">
        <f>IF(EQ('Normalized Import'!I74, ""), "", 'Normalized Import'!I74+I75)</f>
        <v/>
      </c>
      <c r="K75" s="405" t="str">
        <f>IF(EQ('Normalized Import'!J74, ""),"", 'Normalized Import'!J74+J75)</f>
        <v/>
      </c>
      <c r="L75" s="405" t="str">
        <f>IF(EQ('Normalized Import'!K74, ""), "", 'Normalized Import'!K74+K75)</f>
        <v/>
      </c>
      <c r="M75" s="405" t="str">
        <f>IF(EQ('Normalized Import'!L74, ""),"", 'Normalized Import'!L74+L75)</f>
        <v/>
      </c>
      <c r="N75" s="405" t="str">
        <f>IF(EQ('Normalized Import'!M74, ""), "", 'Normalized Import'!M74+M75)</f>
        <v/>
      </c>
      <c r="O75" s="405" t="str">
        <f>IF(EQ('Normalized Import'!N74, ""),"", 'Normalized Import'!N74+N75)</f>
        <v/>
      </c>
      <c r="P75" s="405" t="str">
        <f>IF(EQ('Normalized Import'!O74, ""), "", 'Normalized Import'!O74+O75)</f>
        <v/>
      </c>
      <c r="Q75" s="405" t="str">
        <f>IF(EQ('Normalized Import'!P74, ""),"", 'Normalized Import'!P74+P75)</f>
        <v/>
      </c>
    </row>
    <row r="76">
      <c r="A76" s="379" t="str">
        <f>'Normalized Import'!A75</f>
        <v/>
      </c>
      <c r="B76" s="402" t="str">
        <f>'Normalized Import'!B75</f>
        <v/>
      </c>
      <c r="C76" s="403" t="str">
        <f>'Normalized Import'!C75</f>
        <v/>
      </c>
      <c r="D76" s="404"/>
      <c r="E76" s="384" t="str">
        <f>'Most Recent Import'!E75</f>
        <v/>
      </c>
      <c r="F76" s="405" t="str">
        <f>'Normalized Import'!E75</f>
        <v/>
      </c>
      <c r="G76" s="405" t="str">
        <f>IF(EQ('Normalized Import'!F75, ""),"", 'Normalized Import'!F75+F76)</f>
        <v/>
      </c>
      <c r="H76" s="405" t="str">
        <f>IF(EQ('Normalized Import'!G75, ""), "", 'Normalized Import'!G75+G76)</f>
        <v/>
      </c>
      <c r="I76" s="405" t="str">
        <f>IF(EQ('Normalized Import'!H75, ""),"", 'Normalized Import'!H75+H76)</f>
        <v/>
      </c>
      <c r="J76" s="405" t="str">
        <f>IF(EQ('Normalized Import'!I75, ""), "", 'Normalized Import'!I75+I76)</f>
        <v/>
      </c>
      <c r="K76" s="405" t="str">
        <f>IF(EQ('Normalized Import'!J75, ""),"", 'Normalized Import'!J75+J76)</f>
        <v/>
      </c>
      <c r="L76" s="405" t="str">
        <f>IF(EQ('Normalized Import'!K75, ""), "", 'Normalized Import'!K75+K76)</f>
        <v/>
      </c>
      <c r="M76" s="405" t="str">
        <f>IF(EQ('Normalized Import'!L75, ""),"", 'Normalized Import'!L75+L76)</f>
        <v/>
      </c>
      <c r="N76" s="405" t="str">
        <f>IF(EQ('Normalized Import'!M75, ""), "", 'Normalized Import'!M75+M76)</f>
        <v/>
      </c>
      <c r="O76" s="405" t="str">
        <f>IF(EQ('Normalized Import'!N75, ""),"", 'Normalized Import'!N75+N76)</f>
        <v/>
      </c>
      <c r="P76" s="405" t="str">
        <f>IF(EQ('Normalized Import'!O75, ""), "", 'Normalized Import'!O75+O76)</f>
        <v/>
      </c>
      <c r="Q76" s="405" t="str">
        <f>IF(EQ('Normalized Import'!P75, ""),"", 'Normalized Import'!P75+P76)</f>
        <v/>
      </c>
    </row>
    <row r="77">
      <c r="A77" s="379" t="str">
        <f>'Normalized Import'!A76</f>
        <v/>
      </c>
      <c r="B77" s="402" t="str">
        <f>'Normalized Import'!B76</f>
        <v/>
      </c>
      <c r="C77" s="403" t="str">
        <f>'Normalized Import'!C76</f>
        <v/>
      </c>
      <c r="D77" s="404"/>
      <c r="E77" s="384" t="str">
        <f>'Most Recent Import'!E76</f>
        <v/>
      </c>
      <c r="F77" s="405" t="str">
        <f>'Normalized Import'!E76</f>
        <v/>
      </c>
      <c r="G77" s="405" t="str">
        <f>IF(EQ('Normalized Import'!F76, ""),"", 'Normalized Import'!F76+F77)</f>
        <v/>
      </c>
      <c r="H77" s="405" t="str">
        <f>IF(EQ('Normalized Import'!G76, ""), "", 'Normalized Import'!G76+G77)</f>
        <v/>
      </c>
      <c r="I77" s="405" t="str">
        <f>IF(EQ('Normalized Import'!H76, ""),"", 'Normalized Import'!H76+H77)</f>
        <v/>
      </c>
      <c r="J77" s="405" t="str">
        <f>IF(EQ('Normalized Import'!I76, ""), "", 'Normalized Import'!I76+I77)</f>
        <v/>
      </c>
      <c r="K77" s="405" t="str">
        <f>IF(EQ('Normalized Import'!J76, ""),"", 'Normalized Import'!J76+J77)</f>
        <v/>
      </c>
      <c r="L77" s="405" t="str">
        <f>IF(EQ('Normalized Import'!K76, ""), "", 'Normalized Import'!K76+K77)</f>
        <v/>
      </c>
      <c r="M77" s="405" t="str">
        <f>IF(EQ('Normalized Import'!L76, ""),"", 'Normalized Import'!L76+L77)</f>
        <v/>
      </c>
      <c r="N77" s="405" t="str">
        <f>IF(EQ('Normalized Import'!M76, ""), "", 'Normalized Import'!M76+M77)</f>
        <v/>
      </c>
      <c r="O77" s="405" t="str">
        <f>IF(EQ('Normalized Import'!N76, ""),"", 'Normalized Import'!N76+N77)</f>
        <v/>
      </c>
      <c r="P77" s="405" t="str">
        <f>IF(EQ('Normalized Import'!O76, ""), "", 'Normalized Import'!O76+O77)</f>
        <v/>
      </c>
      <c r="Q77" s="405" t="str">
        <f>IF(EQ('Normalized Import'!P76, ""),"", 'Normalized Import'!P76+P77)</f>
        <v/>
      </c>
    </row>
    <row r="78">
      <c r="A78" s="379" t="str">
        <f>'Normalized Import'!A77</f>
        <v/>
      </c>
      <c r="B78" s="402" t="str">
        <f>'Normalized Import'!B77</f>
        <v/>
      </c>
      <c r="C78" s="403" t="str">
        <f>'Normalized Import'!C77</f>
        <v/>
      </c>
      <c r="D78" s="404"/>
      <c r="E78" s="384" t="str">
        <f>'Most Recent Import'!E77</f>
        <v/>
      </c>
      <c r="F78" s="405" t="str">
        <f>'Normalized Import'!E77</f>
        <v/>
      </c>
      <c r="G78" s="405" t="str">
        <f>IF(EQ('Normalized Import'!F77, ""),"", 'Normalized Import'!F77+F78)</f>
        <v/>
      </c>
      <c r="H78" s="405" t="str">
        <f>IF(EQ('Normalized Import'!G77, ""), "", 'Normalized Import'!G77+G78)</f>
        <v/>
      </c>
      <c r="I78" s="405" t="str">
        <f>IF(EQ('Normalized Import'!H77, ""),"", 'Normalized Import'!H77+H78)</f>
        <v/>
      </c>
      <c r="J78" s="405" t="str">
        <f>IF(EQ('Normalized Import'!I77, ""), "", 'Normalized Import'!I77+I78)</f>
        <v/>
      </c>
      <c r="K78" s="405" t="str">
        <f>IF(EQ('Normalized Import'!J77, ""),"", 'Normalized Import'!J77+J78)</f>
        <v/>
      </c>
      <c r="L78" s="405" t="str">
        <f>IF(EQ('Normalized Import'!K77, ""), "", 'Normalized Import'!K77+K78)</f>
        <v/>
      </c>
      <c r="M78" s="405" t="str">
        <f>IF(EQ('Normalized Import'!L77, ""),"", 'Normalized Import'!L77+L78)</f>
        <v/>
      </c>
      <c r="N78" s="405" t="str">
        <f>IF(EQ('Normalized Import'!M77, ""), "", 'Normalized Import'!M77+M78)</f>
        <v/>
      </c>
      <c r="O78" s="405" t="str">
        <f>IF(EQ('Normalized Import'!N77, ""),"", 'Normalized Import'!N77+N78)</f>
        <v/>
      </c>
      <c r="P78" s="405" t="str">
        <f>IF(EQ('Normalized Import'!O77, ""), "", 'Normalized Import'!O77+O78)</f>
        <v/>
      </c>
      <c r="Q78" s="405" t="str">
        <f>IF(EQ('Normalized Import'!P77, ""),"", 'Normalized Import'!P77+P78)</f>
        <v/>
      </c>
    </row>
    <row r="79">
      <c r="A79" s="379" t="str">
        <f>'Normalized Import'!A78</f>
        <v/>
      </c>
      <c r="B79" s="402" t="str">
        <f>'Normalized Import'!B78</f>
        <v/>
      </c>
      <c r="C79" s="403" t="str">
        <f>'Normalized Import'!C78</f>
        <v/>
      </c>
      <c r="D79" s="404"/>
      <c r="E79" s="384" t="str">
        <f>'Most Recent Import'!E78</f>
        <v/>
      </c>
      <c r="F79" s="405" t="str">
        <f>'Normalized Import'!E78</f>
        <v/>
      </c>
      <c r="G79" s="405" t="str">
        <f>IF(EQ('Normalized Import'!F78, ""),"", 'Normalized Import'!F78+F79)</f>
        <v/>
      </c>
      <c r="H79" s="405" t="str">
        <f>IF(EQ('Normalized Import'!G78, ""), "", 'Normalized Import'!G78+G79)</f>
        <v/>
      </c>
      <c r="I79" s="405" t="str">
        <f>IF(EQ('Normalized Import'!H78, ""),"", 'Normalized Import'!H78+H79)</f>
        <v/>
      </c>
      <c r="J79" s="405" t="str">
        <f>IF(EQ('Normalized Import'!I78, ""), "", 'Normalized Import'!I78+I79)</f>
        <v/>
      </c>
      <c r="K79" s="405" t="str">
        <f>IF(EQ('Normalized Import'!J78, ""),"", 'Normalized Import'!J78+J79)</f>
        <v/>
      </c>
      <c r="L79" s="405" t="str">
        <f>IF(EQ('Normalized Import'!K78, ""), "", 'Normalized Import'!K78+K79)</f>
        <v/>
      </c>
      <c r="M79" s="405" t="str">
        <f>IF(EQ('Normalized Import'!L78, ""),"", 'Normalized Import'!L78+L79)</f>
        <v/>
      </c>
      <c r="N79" s="405" t="str">
        <f>IF(EQ('Normalized Import'!M78, ""), "", 'Normalized Import'!M78+M79)</f>
        <v/>
      </c>
      <c r="O79" s="405" t="str">
        <f>IF(EQ('Normalized Import'!N78, ""),"", 'Normalized Import'!N78+N79)</f>
        <v/>
      </c>
      <c r="P79" s="405" t="str">
        <f>IF(EQ('Normalized Import'!O78, ""), "", 'Normalized Import'!O78+O79)</f>
        <v/>
      </c>
      <c r="Q79" s="405" t="str">
        <f>IF(EQ('Normalized Import'!P78, ""),"", 'Normalized Import'!P78+P79)</f>
        <v/>
      </c>
    </row>
    <row r="80">
      <c r="A80" s="379" t="str">
        <f>'Normalized Import'!A79</f>
        <v/>
      </c>
      <c r="B80" s="402" t="str">
        <f>'Normalized Import'!B79</f>
        <v/>
      </c>
      <c r="C80" s="403" t="str">
        <f>'Normalized Import'!C79</f>
        <v/>
      </c>
      <c r="D80" s="404"/>
      <c r="E80" s="384" t="str">
        <f>'Most Recent Import'!E79</f>
        <v/>
      </c>
      <c r="F80" s="405" t="str">
        <f>'Normalized Import'!E79</f>
        <v/>
      </c>
      <c r="G80" s="405" t="str">
        <f>IF(EQ('Normalized Import'!F79, ""),"", 'Normalized Import'!F79+F80)</f>
        <v/>
      </c>
      <c r="H80" s="405" t="str">
        <f>IF(EQ('Normalized Import'!G79, ""), "", 'Normalized Import'!G79+G80)</f>
        <v/>
      </c>
      <c r="I80" s="405" t="str">
        <f>IF(EQ('Normalized Import'!H79, ""),"", 'Normalized Import'!H79+H80)</f>
        <v/>
      </c>
      <c r="J80" s="405" t="str">
        <f>IF(EQ('Normalized Import'!I79, ""), "", 'Normalized Import'!I79+I80)</f>
        <v/>
      </c>
      <c r="K80" s="405" t="str">
        <f>IF(EQ('Normalized Import'!J79, ""),"", 'Normalized Import'!J79+J80)</f>
        <v/>
      </c>
      <c r="L80" s="405" t="str">
        <f>IF(EQ('Normalized Import'!K79, ""), "", 'Normalized Import'!K79+K80)</f>
        <v/>
      </c>
      <c r="M80" s="405" t="str">
        <f>IF(EQ('Normalized Import'!L79, ""),"", 'Normalized Import'!L79+L80)</f>
        <v/>
      </c>
      <c r="N80" s="405" t="str">
        <f>IF(EQ('Normalized Import'!M79, ""), "", 'Normalized Import'!M79+M80)</f>
        <v/>
      </c>
      <c r="O80" s="405" t="str">
        <f>IF(EQ('Normalized Import'!N79, ""),"", 'Normalized Import'!N79+N80)</f>
        <v/>
      </c>
      <c r="P80" s="405" t="str">
        <f>IF(EQ('Normalized Import'!O79, ""), "", 'Normalized Import'!O79+O80)</f>
        <v/>
      </c>
      <c r="Q80" s="405" t="str">
        <f>IF(EQ('Normalized Import'!P79, ""),"", 'Normalized Import'!P79+P80)</f>
        <v/>
      </c>
    </row>
    <row r="81">
      <c r="A81" s="379" t="str">
        <f>'Normalized Import'!A80</f>
        <v/>
      </c>
      <c r="B81" s="402" t="str">
        <f>'Normalized Import'!B80</f>
        <v/>
      </c>
      <c r="C81" s="403" t="str">
        <f>'Normalized Import'!C80</f>
        <v/>
      </c>
      <c r="D81" s="404"/>
      <c r="E81" s="384" t="str">
        <f>'Most Recent Import'!E80</f>
        <v/>
      </c>
      <c r="F81" s="405" t="str">
        <f>'Normalized Import'!E80</f>
        <v/>
      </c>
      <c r="G81" s="405" t="str">
        <f>IF(EQ('Normalized Import'!F80, ""),"", 'Normalized Import'!F80+F81)</f>
        <v/>
      </c>
      <c r="H81" s="405" t="str">
        <f>IF(EQ('Normalized Import'!G80, ""), "", 'Normalized Import'!G80+G81)</f>
        <v/>
      </c>
      <c r="I81" s="405" t="str">
        <f>IF(EQ('Normalized Import'!H80, ""),"", 'Normalized Import'!H80+H81)</f>
        <v/>
      </c>
      <c r="J81" s="405" t="str">
        <f>IF(EQ('Normalized Import'!I80, ""), "", 'Normalized Import'!I80+I81)</f>
        <v/>
      </c>
      <c r="K81" s="405" t="str">
        <f>IF(EQ('Normalized Import'!J80, ""),"", 'Normalized Import'!J80+J81)</f>
        <v/>
      </c>
      <c r="L81" s="405" t="str">
        <f>IF(EQ('Normalized Import'!K80, ""), "", 'Normalized Import'!K80+K81)</f>
        <v/>
      </c>
      <c r="M81" s="405" t="str">
        <f>IF(EQ('Normalized Import'!L80, ""),"", 'Normalized Import'!L80+L81)</f>
        <v/>
      </c>
      <c r="N81" s="405" t="str">
        <f>IF(EQ('Normalized Import'!M80, ""), "", 'Normalized Import'!M80+M81)</f>
        <v/>
      </c>
      <c r="O81" s="405" t="str">
        <f>IF(EQ('Normalized Import'!N80, ""),"", 'Normalized Import'!N80+N81)</f>
        <v/>
      </c>
      <c r="P81" s="405" t="str">
        <f>IF(EQ('Normalized Import'!O80, ""), "", 'Normalized Import'!O80+O81)</f>
        <v/>
      </c>
      <c r="Q81" s="405" t="str">
        <f>IF(EQ('Normalized Import'!P80, ""),"", 'Normalized Import'!P80+P81)</f>
        <v/>
      </c>
    </row>
    <row r="82">
      <c r="A82" s="379" t="str">
        <f>'Normalized Import'!A81</f>
        <v/>
      </c>
      <c r="B82" s="402" t="str">
        <f>'Normalized Import'!B81</f>
        <v/>
      </c>
      <c r="C82" s="403" t="str">
        <f>'Normalized Import'!C81</f>
        <v/>
      </c>
      <c r="D82" s="404"/>
      <c r="E82" s="384" t="str">
        <f>'Most Recent Import'!E81</f>
        <v/>
      </c>
      <c r="F82" s="405" t="str">
        <f>'Normalized Import'!E81</f>
        <v/>
      </c>
      <c r="G82" s="405" t="str">
        <f>IF(EQ('Normalized Import'!F81, ""),"", 'Normalized Import'!F81+F82)</f>
        <v/>
      </c>
      <c r="H82" s="405" t="str">
        <f>IF(EQ('Normalized Import'!G81, ""), "", 'Normalized Import'!G81+G82)</f>
        <v/>
      </c>
      <c r="I82" s="405" t="str">
        <f>IF(EQ('Normalized Import'!H81, ""),"", 'Normalized Import'!H81+H82)</f>
        <v/>
      </c>
      <c r="J82" s="405" t="str">
        <f>IF(EQ('Normalized Import'!I81, ""), "", 'Normalized Import'!I81+I82)</f>
        <v/>
      </c>
      <c r="K82" s="405" t="str">
        <f>IF(EQ('Normalized Import'!J81, ""),"", 'Normalized Import'!J81+J82)</f>
        <v/>
      </c>
      <c r="L82" s="405" t="str">
        <f>IF(EQ('Normalized Import'!K81, ""), "", 'Normalized Import'!K81+K82)</f>
        <v/>
      </c>
      <c r="M82" s="405" t="str">
        <f>IF(EQ('Normalized Import'!L81, ""),"", 'Normalized Import'!L81+L82)</f>
        <v/>
      </c>
      <c r="N82" s="405" t="str">
        <f>IF(EQ('Normalized Import'!M81, ""), "", 'Normalized Import'!M81+M82)</f>
        <v/>
      </c>
      <c r="O82" s="405" t="str">
        <f>IF(EQ('Normalized Import'!N81, ""),"", 'Normalized Import'!N81+N82)</f>
        <v/>
      </c>
      <c r="P82" s="405" t="str">
        <f>IF(EQ('Normalized Import'!O81, ""), "", 'Normalized Import'!O81+O82)</f>
        <v/>
      </c>
      <c r="Q82" s="405" t="str">
        <f>IF(EQ('Normalized Import'!P81, ""),"", 'Normalized Import'!P81+P82)</f>
        <v/>
      </c>
    </row>
    <row r="83">
      <c r="A83" s="379" t="str">
        <f>'Normalized Import'!A82</f>
        <v/>
      </c>
      <c r="B83" s="402" t="str">
        <f>'Normalized Import'!B82</f>
        <v/>
      </c>
      <c r="C83" s="403" t="str">
        <f>'Normalized Import'!C82</f>
        <v/>
      </c>
      <c r="D83" s="404"/>
      <c r="E83" s="384" t="str">
        <f>'Most Recent Import'!E82</f>
        <v/>
      </c>
      <c r="F83" s="405" t="str">
        <f>'Normalized Import'!E82</f>
        <v/>
      </c>
      <c r="G83" s="405" t="str">
        <f>IF(EQ('Normalized Import'!F82, ""),"", 'Normalized Import'!F82+F83)</f>
        <v/>
      </c>
      <c r="H83" s="405" t="str">
        <f>IF(EQ('Normalized Import'!G82, ""), "", 'Normalized Import'!G82+G83)</f>
        <v/>
      </c>
      <c r="I83" s="405" t="str">
        <f>IF(EQ('Normalized Import'!H82, ""),"", 'Normalized Import'!H82+H83)</f>
        <v/>
      </c>
      <c r="J83" s="405" t="str">
        <f>IF(EQ('Normalized Import'!I82, ""), "", 'Normalized Import'!I82+I83)</f>
        <v/>
      </c>
      <c r="K83" s="405" t="str">
        <f>IF(EQ('Normalized Import'!J82, ""),"", 'Normalized Import'!J82+J83)</f>
        <v/>
      </c>
      <c r="L83" s="405" t="str">
        <f>IF(EQ('Normalized Import'!K82, ""), "", 'Normalized Import'!K82+K83)</f>
        <v/>
      </c>
      <c r="M83" s="405" t="str">
        <f>IF(EQ('Normalized Import'!L82, ""),"", 'Normalized Import'!L82+L83)</f>
        <v/>
      </c>
      <c r="N83" s="405" t="str">
        <f>IF(EQ('Normalized Import'!M82, ""), "", 'Normalized Import'!M82+M83)</f>
        <v/>
      </c>
      <c r="O83" s="405" t="str">
        <f>IF(EQ('Normalized Import'!N82, ""),"", 'Normalized Import'!N82+N83)</f>
        <v/>
      </c>
      <c r="P83" s="405" t="str">
        <f>IF(EQ('Normalized Import'!O82, ""), "", 'Normalized Import'!O82+O83)</f>
        <v/>
      </c>
      <c r="Q83" s="405" t="str">
        <f>IF(EQ('Normalized Import'!P82, ""),"", 'Normalized Import'!P82+P83)</f>
        <v/>
      </c>
    </row>
    <row r="84">
      <c r="A84" s="379" t="str">
        <f>'Normalized Import'!A83</f>
        <v/>
      </c>
      <c r="B84" s="402" t="str">
        <f>'Normalized Import'!B83</f>
        <v/>
      </c>
      <c r="C84" s="403" t="str">
        <f>'Normalized Import'!C83</f>
        <v/>
      </c>
      <c r="D84" s="404"/>
      <c r="E84" s="384" t="str">
        <f>'Most Recent Import'!E83</f>
        <v/>
      </c>
      <c r="F84" s="405" t="str">
        <f>'Normalized Import'!E83</f>
        <v/>
      </c>
      <c r="G84" s="405" t="str">
        <f>IF(EQ('Normalized Import'!F83, ""),"", 'Normalized Import'!F83+F84)</f>
        <v/>
      </c>
      <c r="H84" s="405" t="str">
        <f>IF(EQ('Normalized Import'!G83, ""), "", 'Normalized Import'!G83+G84)</f>
        <v/>
      </c>
      <c r="I84" s="405" t="str">
        <f>IF(EQ('Normalized Import'!H83, ""),"", 'Normalized Import'!H83+H84)</f>
        <v/>
      </c>
      <c r="J84" s="405" t="str">
        <f>IF(EQ('Normalized Import'!I83, ""), "", 'Normalized Import'!I83+I84)</f>
        <v/>
      </c>
      <c r="K84" s="405" t="str">
        <f>IF(EQ('Normalized Import'!J83, ""),"", 'Normalized Import'!J83+J84)</f>
        <v/>
      </c>
      <c r="L84" s="405" t="str">
        <f>IF(EQ('Normalized Import'!K83, ""), "", 'Normalized Import'!K83+K84)</f>
        <v/>
      </c>
      <c r="M84" s="405" t="str">
        <f>IF(EQ('Normalized Import'!L83, ""),"", 'Normalized Import'!L83+L84)</f>
        <v/>
      </c>
      <c r="N84" s="405" t="str">
        <f>IF(EQ('Normalized Import'!M83, ""), "", 'Normalized Import'!M83+M84)</f>
        <v/>
      </c>
      <c r="O84" s="405" t="str">
        <f>IF(EQ('Normalized Import'!N83, ""),"", 'Normalized Import'!N83+N84)</f>
        <v/>
      </c>
      <c r="P84" s="405" t="str">
        <f>IF(EQ('Normalized Import'!O83, ""), "", 'Normalized Import'!O83+O84)</f>
        <v/>
      </c>
      <c r="Q84" s="405" t="str">
        <f>IF(EQ('Normalized Import'!P83, ""),"", 'Normalized Import'!P83+P84)</f>
        <v/>
      </c>
    </row>
    <row r="85">
      <c r="A85" s="379" t="str">
        <f>'Normalized Import'!A84</f>
        <v/>
      </c>
      <c r="B85" s="402" t="str">
        <f>'Normalized Import'!B84</f>
        <v/>
      </c>
      <c r="C85" s="403" t="str">
        <f>'Normalized Import'!C84</f>
        <v/>
      </c>
      <c r="D85" s="404"/>
      <c r="E85" s="384" t="str">
        <f>'Most Recent Import'!E84</f>
        <v/>
      </c>
      <c r="F85" s="405" t="str">
        <f>'Normalized Import'!E84</f>
        <v/>
      </c>
      <c r="G85" s="405" t="str">
        <f>IF(EQ('Normalized Import'!F84, ""),"", 'Normalized Import'!F84+F85)</f>
        <v/>
      </c>
      <c r="H85" s="405" t="str">
        <f>IF(EQ('Normalized Import'!G84, ""), "", 'Normalized Import'!G84+G85)</f>
        <v/>
      </c>
      <c r="I85" s="405" t="str">
        <f>IF(EQ('Normalized Import'!H84, ""),"", 'Normalized Import'!H84+H85)</f>
        <v/>
      </c>
      <c r="J85" s="405" t="str">
        <f>IF(EQ('Normalized Import'!I84, ""), "", 'Normalized Import'!I84+I85)</f>
        <v/>
      </c>
      <c r="K85" s="405" t="str">
        <f>IF(EQ('Normalized Import'!J84, ""),"", 'Normalized Import'!J84+J85)</f>
        <v/>
      </c>
      <c r="L85" s="405" t="str">
        <f>IF(EQ('Normalized Import'!K84, ""), "", 'Normalized Import'!K84+K85)</f>
        <v/>
      </c>
      <c r="M85" s="405" t="str">
        <f>IF(EQ('Normalized Import'!L84, ""),"", 'Normalized Import'!L84+L85)</f>
        <v/>
      </c>
      <c r="N85" s="405" t="str">
        <f>IF(EQ('Normalized Import'!M84, ""), "", 'Normalized Import'!M84+M85)</f>
        <v/>
      </c>
      <c r="O85" s="405" t="str">
        <f>IF(EQ('Normalized Import'!N84, ""),"", 'Normalized Import'!N84+N85)</f>
        <v/>
      </c>
      <c r="P85" s="405" t="str">
        <f>IF(EQ('Normalized Import'!O84, ""), "", 'Normalized Import'!O84+O85)</f>
        <v/>
      </c>
      <c r="Q85" s="405" t="str">
        <f>IF(EQ('Normalized Import'!P84, ""),"", 'Normalized Import'!P84+P85)</f>
        <v/>
      </c>
    </row>
    <row r="86">
      <c r="A86" s="379" t="str">
        <f>'Normalized Import'!A85</f>
        <v/>
      </c>
      <c r="B86" s="402" t="str">
        <f>'Normalized Import'!B85</f>
        <v/>
      </c>
      <c r="C86" s="403" t="str">
        <f>'Normalized Import'!C85</f>
        <v/>
      </c>
      <c r="D86" s="404"/>
      <c r="E86" s="384" t="str">
        <f>'Most Recent Import'!E85</f>
        <v/>
      </c>
      <c r="F86" s="405" t="str">
        <f>'Normalized Import'!E85</f>
        <v/>
      </c>
      <c r="G86" s="405" t="str">
        <f>IF(EQ('Normalized Import'!F85, ""),"", 'Normalized Import'!F85+F86)</f>
        <v/>
      </c>
      <c r="H86" s="405" t="str">
        <f>IF(EQ('Normalized Import'!G85, ""), "", 'Normalized Import'!G85+G86)</f>
        <v/>
      </c>
      <c r="I86" s="405" t="str">
        <f>IF(EQ('Normalized Import'!H85, ""),"", 'Normalized Import'!H85+H86)</f>
        <v/>
      </c>
      <c r="J86" s="405" t="str">
        <f>IF(EQ('Normalized Import'!I85, ""), "", 'Normalized Import'!I85+I86)</f>
        <v/>
      </c>
      <c r="K86" s="405" t="str">
        <f>IF(EQ('Normalized Import'!J85, ""),"", 'Normalized Import'!J85+J86)</f>
        <v/>
      </c>
      <c r="L86" s="405" t="str">
        <f>IF(EQ('Normalized Import'!K85, ""), "", 'Normalized Import'!K85+K86)</f>
        <v/>
      </c>
      <c r="M86" s="405" t="str">
        <f>IF(EQ('Normalized Import'!L85, ""),"", 'Normalized Import'!L85+L86)</f>
        <v/>
      </c>
      <c r="N86" s="405" t="str">
        <f>IF(EQ('Normalized Import'!M85, ""), "", 'Normalized Import'!M85+M86)</f>
        <v/>
      </c>
      <c r="O86" s="405" t="str">
        <f>IF(EQ('Normalized Import'!N85, ""),"", 'Normalized Import'!N85+N86)</f>
        <v/>
      </c>
      <c r="P86" s="405" t="str">
        <f>IF(EQ('Normalized Import'!O85, ""), "", 'Normalized Import'!O85+O86)</f>
        <v/>
      </c>
      <c r="Q86" s="405" t="str">
        <f>IF(EQ('Normalized Import'!P85, ""),"", 'Normalized Import'!P85+P86)</f>
        <v/>
      </c>
    </row>
    <row r="87">
      <c r="A87" s="379" t="str">
        <f>'Normalized Import'!A86</f>
        <v/>
      </c>
      <c r="B87" s="402" t="str">
        <f>'Normalized Import'!B86</f>
        <v/>
      </c>
      <c r="C87" s="403" t="str">
        <f>'Normalized Import'!C86</f>
        <v/>
      </c>
      <c r="D87" s="404"/>
      <c r="E87" s="384" t="str">
        <f>'Most Recent Import'!E86</f>
        <v/>
      </c>
      <c r="F87" s="405" t="str">
        <f>'Normalized Import'!E86</f>
        <v/>
      </c>
      <c r="G87" s="405" t="str">
        <f>IF(EQ('Normalized Import'!F86, ""),"", 'Normalized Import'!F86+F87)</f>
        <v/>
      </c>
      <c r="H87" s="405" t="str">
        <f>IF(EQ('Normalized Import'!G86, ""), "", 'Normalized Import'!G86+G87)</f>
        <v/>
      </c>
      <c r="I87" s="405" t="str">
        <f>IF(EQ('Normalized Import'!H86, ""),"", 'Normalized Import'!H86+H87)</f>
        <v/>
      </c>
      <c r="J87" s="405" t="str">
        <f>IF(EQ('Normalized Import'!I86, ""), "", 'Normalized Import'!I86+I87)</f>
        <v/>
      </c>
      <c r="K87" s="405" t="str">
        <f>IF(EQ('Normalized Import'!J86, ""),"", 'Normalized Import'!J86+J87)</f>
        <v/>
      </c>
      <c r="L87" s="405" t="str">
        <f>IF(EQ('Normalized Import'!K86, ""), "", 'Normalized Import'!K86+K87)</f>
        <v/>
      </c>
      <c r="M87" s="405" t="str">
        <f>IF(EQ('Normalized Import'!L86, ""),"", 'Normalized Import'!L86+L87)</f>
        <v/>
      </c>
      <c r="N87" s="405" t="str">
        <f>IF(EQ('Normalized Import'!M86, ""), "", 'Normalized Import'!M86+M87)</f>
        <v/>
      </c>
      <c r="O87" s="405" t="str">
        <f>IF(EQ('Normalized Import'!N86, ""),"", 'Normalized Import'!N86+N87)</f>
        <v/>
      </c>
      <c r="P87" s="405" t="str">
        <f>IF(EQ('Normalized Import'!O86, ""), "", 'Normalized Import'!O86+O87)</f>
        <v/>
      </c>
      <c r="Q87" s="405" t="str">
        <f>IF(EQ('Normalized Import'!P86, ""),"", 'Normalized Import'!P86+P87)</f>
        <v/>
      </c>
    </row>
    <row r="88">
      <c r="A88" s="379" t="str">
        <f>'Normalized Import'!A87</f>
        <v/>
      </c>
      <c r="B88" s="402" t="str">
        <f>'Normalized Import'!B87</f>
        <v/>
      </c>
      <c r="C88" s="403" t="str">
        <f>'Normalized Import'!C87</f>
        <v/>
      </c>
      <c r="D88" s="404"/>
      <c r="E88" s="384" t="str">
        <f>'Most Recent Import'!E87</f>
        <v/>
      </c>
      <c r="F88" s="405" t="str">
        <f>'Normalized Import'!E87</f>
        <v/>
      </c>
      <c r="G88" s="405" t="str">
        <f>IF(EQ('Normalized Import'!F87, ""),"", 'Normalized Import'!F87+F88)</f>
        <v/>
      </c>
      <c r="H88" s="405" t="str">
        <f>IF(EQ('Normalized Import'!G87, ""), "", 'Normalized Import'!G87+G88)</f>
        <v/>
      </c>
      <c r="I88" s="405" t="str">
        <f>IF(EQ('Normalized Import'!H87, ""),"", 'Normalized Import'!H87+H88)</f>
        <v/>
      </c>
      <c r="J88" s="405" t="str">
        <f>IF(EQ('Normalized Import'!I87, ""), "", 'Normalized Import'!I87+I88)</f>
        <v/>
      </c>
      <c r="K88" s="405" t="str">
        <f>IF(EQ('Normalized Import'!J87, ""),"", 'Normalized Import'!J87+J88)</f>
        <v/>
      </c>
      <c r="L88" s="405" t="str">
        <f>IF(EQ('Normalized Import'!K87, ""), "", 'Normalized Import'!K87+K88)</f>
        <v/>
      </c>
      <c r="M88" s="405" t="str">
        <f>IF(EQ('Normalized Import'!L87, ""),"", 'Normalized Import'!L87+L88)</f>
        <v/>
      </c>
      <c r="N88" s="405" t="str">
        <f>IF(EQ('Normalized Import'!M87, ""), "", 'Normalized Import'!M87+M88)</f>
        <v/>
      </c>
      <c r="O88" s="405" t="str">
        <f>IF(EQ('Normalized Import'!N87, ""),"", 'Normalized Import'!N87+N88)</f>
        <v/>
      </c>
      <c r="P88" s="405" t="str">
        <f>IF(EQ('Normalized Import'!O87, ""), "", 'Normalized Import'!O87+O88)</f>
        <v/>
      </c>
      <c r="Q88" s="405" t="str">
        <f>IF(EQ('Normalized Import'!P87, ""),"", 'Normalized Import'!P87+P88)</f>
        <v/>
      </c>
    </row>
    <row r="89">
      <c r="A89" s="379" t="str">
        <f>'Normalized Import'!A88</f>
        <v/>
      </c>
      <c r="B89" s="402" t="str">
        <f>'Normalized Import'!B88</f>
        <v/>
      </c>
      <c r="C89" s="403" t="str">
        <f>'Normalized Import'!C88</f>
        <v/>
      </c>
      <c r="D89" s="404"/>
      <c r="E89" s="384" t="str">
        <f>'Most Recent Import'!E88</f>
        <v/>
      </c>
      <c r="F89" s="405" t="str">
        <f>'Normalized Import'!E88</f>
        <v/>
      </c>
      <c r="G89" s="405" t="str">
        <f>IF(EQ('Normalized Import'!F88, ""),"", 'Normalized Import'!F88+F89)</f>
        <v/>
      </c>
      <c r="H89" s="405" t="str">
        <f>IF(EQ('Normalized Import'!G88, ""), "", 'Normalized Import'!G88+G89)</f>
        <v/>
      </c>
      <c r="I89" s="405" t="str">
        <f>IF(EQ('Normalized Import'!H88, ""),"", 'Normalized Import'!H88+H89)</f>
        <v/>
      </c>
      <c r="J89" s="405" t="str">
        <f>IF(EQ('Normalized Import'!I88, ""), "", 'Normalized Import'!I88+I89)</f>
        <v/>
      </c>
      <c r="K89" s="405" t="str">
        <f>IF(EQ('Normalized Import'!J88, ""),"", 'Normalized Import'!J88+J89)</f>
        <v/>
      </c>
      <c r="L89" s="405" t="str">
        <f>IF(EQ('Normalized Import'!K88, ""), "", 'Normalized Import'!K88+K89)</f>
        <v/>
      </c>
      <c r="M89" s="405" t="str">
        <f>IF(EQ('Normalized Import'!L88, ""),"", 'Normalized Import'!L88+L89)</f>
        <v/>
      </c>
      <c r="N89" s="405" t="str">
        <f>IF(EQ('Normalized Import'!M88, ""), "", 'Normalized Import'!M88+M89)</f>
        <v/>
      </c>
      <c r="O89" s="405" t="str">
        <f>IF(EQ('Normalized Import'!N88, ""),"", 'Normalized Import'!N88+N89)</f>
        <v/>
      </c>
      <c r="P89" s="405" t="str">
        <f>IF(EQ('Normalized Import'!O88, ""), "", 'Normalized Import'!O88+O89)</f>
        <v/>
      </c>
      <c r="Q89" s="405" t="str">
        <f>IF(EQ('Normalized Import'!P88, ""),"", 'Normalized Import'!P88+P89)</f>
        <v/>
      </c>
    </row>
    <row r="90">
      <c r="A90" s="379" t="str">
        <f>'Normalized Import'!A89</f>
        <v/>
      </c>
      <c r="B90" s="402" t="str">
        <f>'Normalized Import'!B89</f>
        <v/>
      </c>
      <c r="C90" s="403" t="str">
        <f>'Normalized Import'!C89</f>
        <v/>
      </c>
      <c r="D90" s="404"/>
      <c r="E90" s="384" t="str">
        <f>'Most Recent Import'!E89</f>
        <v/>
      </c>
      <c r="F90" s="405" t="str">
        <f>'Normalized Import'!E89</f>
        <v/>
      </c>
      <c r="G90" s="405" t="str">
        <f>IF(EQ('Normalized Import'!F89, ""),"", 'Normalized Import'!F89+F90)</f>
        <v/>
      </c>
      <c r="H90" s="405" t="str">
        <f>IF(EQ('Normalized Import'!G89, ""), "", 'Normalized Import'!G89+G90)</f>
        <v/>
      </c>
      <c r="I90" s="405" t="str">
        <f>IF(EQ('Normalized Import'!H89, ""),"", 'Normalized Import'!H89+H90)</f>
        <v/>
      </c>
      <c r="J90" s="405" t="str">
        <f>IF(EQ('Normalized Import'!I89, ""), "", 'Normalized Import'!I89+I90)</f>
        <v/>
      </c>
      <c r="K90" s="405" t="str">
        <f>IF(EQ('Normalized Import'!J89, ""),"", 'Normalized Import'!J89+J90)</f>
        <v/>
      </c>
      <c r="L90" s="405" t="str">
        <f>IF(EQ('Normalized Import'!K89, ""), "", 'Normalized Import'!K89+K90)</f>
        <v/>
      </c>
      <c r="M90" s="405" t="str">
        <f>IF(EQ('Normalized Import'!L89, ""),"", 'Normalized Import'!L89+L90)</f>
        <v/>
      </c>
      <c r="N90" s="405" t="str">
        <f>IF(EQ('Normalized Import'!M89, ""), "", 'Normalized Import'!M89+M90)</f>
        <v/>
      </c>
      <c r="O90" s="405" t="str">
        <f>IF(EQ('Normalized Import'!N89, ""),"", 'Normalized Import'!N89+N90)</f>
        <v/>
      </c>
      <c r="P90" s="405" t="str">
        <f>IF(EQ('Normalized Import'!O89, ""), "", 'Normalized Import'!O89+O90)</f>
        <v/>
      </c>
      <c r="Q90" s="405" t="str">
        <f>IF(EQ('Normalized Import'!P89, ""),"", 'Normalized Import'!P89+P90)</f>
        <v/>
      </c>
    </row>
    <row r="91">
      <c r="A91" s="379" t="str">
        <f>'Normalized Import'!A90</f>
        <v/>
      </c>
      <c r="B91" s="402" t="str">
        <f>'Normalized Import'!B90</f>
        <v/>
      </c>
      <c r="C91" s="403" t="str">
        <f>'Normalized Import'!C90</f>
        <v/>
      </c>
      <c r="D91" s="404"/>
      <c r="E91" s="384" t="str">
        <f>'Most Recent Import'!E90</f>
        <v/>
      </c>
      <c r="F91" s="405" t="str">
        <f>'Normalized Import'!E90</f>
        <v/>
      </c>
      <c r="G91" s="405" t="str">
        <f>IF(EQ('Normalized Import'!F90, ""),"", 'Normalized Import'!F90+F91)</f>
        <v/>
      </c>
      <c r="H91" s="405" t="str">
        <f>IF(EQ('Normalized Import'!G90, ""), "", 'Normalized Import'!G90+G91)</f>
        <v/>
      </c>
      <c r="I91" s="405" t="str">
        <f>IF(EQ('Normalized Import'!H90, ""),"", 'Normalized Import'!H90+H91)</f>
        <v/>
      </c>
      <c r="J91" s="405" t="str">
        <f>IF(EQ('Normalized Import'!I90, ""), "", 'Normalized Import'!I90+I91)</f>
        <v/>
      </c>
      <c r="K91" s="405" t="str">
        <f>IF(EQ('Normalized Import'!J90, ""),"", 'Normalized Import'!J90+J91)</f>
        <v/>
      </c>
      <c r="L91" s="405" t="str">
        <f>IF(EQ('Normalized Import'!K90, ""), "", 'Normalized Import'!K90+K91)</f>
        <v/>
      </c>
      <c r="M91" s="405" t="str">
        <f>IF(EQ('Normalized Import'!L90, ""),"", 'Normalized Import'!L90+L91)</f>
        <v/>
      </c>
      <c r="N91" s="405" t="str">
        <f>IF(EQ('Normalized Import'!M90, ""), "", 'Normalized Import'!M90+M91)</f>
        <v/>
      </c>
      <c r="O91" s="405" t="str">
        <f>IF(EQ('Normalized Import'!N90, ""),"", 'Normalized Import'!N90+N91)</f>
        <v/>
      </c>
      <c r="P91" s="405" t="str">
        <f>IF(EQ('Normalized Import'!O90, ""), "", 'Normalized Import'!O90+O91)</f>
        <v/>
      </c>
      <c r="Q91" s="405" t="str">
        <f>IF(EQ('Normalized Import'!P90, ""),"", 'Normalized Import'!P90+P91)</f>
        <v/>
      </c>
    </row>
    <row r="92">
      <c r="A92" s="379" t="str">
        <f>'Normalized Import'!A91</f>
        <v/>
      </c>
      <c r="B92" s="402" t="str">
        <f>'Normalized Import'!B91</f>
        <v/>
      </c>
      <c r="C92" s="403" t="str">
        <f>'Normalized Import'!C91</f>
        <v/>
      </c>
      <c r="D92" s="404"/>
      <c r="E92" s="384" t="str">
        <f>'Most Recent Import'!E91</f>
        <v/>
      </c>
      <c r="F92" s="405" t="str">
        <f>'Normalized Import'!E91</f>
        <v/>
      </c>
      <c r="G92" s="405" t="str">
        <f>IF(EQ('Normalized Import'!F91, ""),"", 'Normalized Import'!F91+F92)</f>
        <v/>
      </c>
      <c r="H92" s="405" t="str">
        <f>IF(EQ('Normalized Import'!G91, ""), "", 'Normalized Import'!G91+G92)</f>
        <v/>
      </c>
      <c r="I92" s="405" t="str">
        <f>IF(EQ('Normalized Import'!H91, ""),"", 'Normalized Import'!H91+H92)</f>
        <v/>
      </c>
      <c r="J92" s="405" t="str">
        <f>IF(EQ('Normalized Import'!I91, ""), "", 'Normalized Import'!I91+I92)</f>
        <v/>
      </c>
      <c r="K92" s="405" t="str">
        <f>IF(EQ('Normalized Import'!J91, ""),"", 'Normalized Import'!J91+J92)</f>
        <v/>
      </c>
      <c r="L92" s="405" t="str">
        <f>IF(EQ('Normalized Import'!K91, ""), "", 'Normalized Import'!K91+K92)</f>
        <v/>
      </c>
      <c r="M92" s="405" t="str">
        <f>IF(EQ('Normalized Import'!L91, ""),"", 'Normalized Import'!L91+L92)</f>
        <v/>
      </c>
      <c r="N92" s="405" t="str">
        <f>IF(EQ('Normalized Import'!M91, ""), "", 'Normalized Import'!M91+M92)</f>
        <v/>
      </c>
      <c r="O92" s="405" t="str">
        <f>IF(EQ('Normalized Import'!N91, ""),"", 'Normalized Import'!N91+N92)</f>
        <v/>
      </c>
      <c r="P92" s="405" t="str">
        <f>IF(EQ('Normalized Import'!O91, ""), "", 'Normalized Import'!O91+O92)</f>
        <v/>
      </c>
      <c r="Q92" s="405" t="str">
        <f>IF(EQ('Normalized Import'!P91, ""),"", 'Normalized Import'!P91+P92)</f>
        <v/>
      </c>
    </row>
    <row r="93">
      <c r="A93" s="379" t="str">
        <f>'Normalized Import'!A92</f>
        <v/>
      </c>
      <c r="B93" s="402" t="str">
        <f>'Normalized Import'!B92</f>
        <v/>
      </c>
      <c r="C93" s="403" t="str">
        <f>'Normalized Import'!C92</f>
        <v/>
      </c>
      <c r="D93" s="404"/>
      <c r="E93" s="384" t="str">
        <f>'Most Recent Import'!E92</f>
        <v/>
      </c>
      <c r="F93" s="405" t="str">
        <f>'Normalized Import'!E92</f>
        <v/>
      </c>
      <c r="G93" s="405" t="str">
        <f>IF(EQ('Normalized Import'!F92, ""),"", 'Normalized Import'!F92+F93)</f>
        <v/>
      </c>
      <c r="H93" s="405" t="str">
        <f>IF(EQ('Normalized Import'!G92, ""), "", 'Normalized Import'!G92+G93)</f>
        <v/>
      </c>
      <c r="I93" s="405" t="str">
        <f>IF(EQ('Normalized Import'!H92, ""),"", 'Normalized Import'!H92+H93)</f>
        <v/>
      </c>
      <c r="J93" s="405" t="str">
        <f>IF(EQ('Normalized Import'!I92, ""), "", 'Normalized Import'!I92+I93)</f>
        <v/>
      </c>
      <c r="K93" s="405" t="str">
        <f>IF(EQ('Normalized Import'!J92, ""),"", 'Normalized Import'!J92+J93)</f>
        <v/>
      </c>
      <c r="L93" s="405" t="str">
        <f>IF(EQ('Normalized Import'!K92, ""), "", 'Normalized Import'!K92+K93)</f>
        <v/>
      </c>
      <c r="M93" s="405" t="str">
        <f>IF(EQ('Normalized Import'!L92, ""),"", 'Normalized Import'!L92+L93)</f>
        <v/>
      </c>
      <c r="N93" s="405" t="str">
        <f>IF(EQ('Normalized Import'!M92, ""), "", 'Normalized Import'!M92+M93)</f>
        <v/>
      </c>
      <c r="O93" s="405" t="str">
        <f>IF(EQ('Normalized Import'!N92, ""),"", 'Normalized Import'!N92+N93)</f>
        <v/>
      </c>
      <c r="P93" s="405" t="str">
        <f>IF(EQ('Normalized Import'!O92, ""), "", 'Normalized Import'!O92+O93)</f>
        <v/>
      </c>
      <c r="Q93" s="405" t="str">
        <f>IF(EQ('Normalized Import'!P92, ""),"", 'Normalized Import'!P92+P93)</f>
        <v/>
      </c>
    </row>
    <row r="94">
      <c r="A94" s="379" t="str">
        <f>'Normalized Import'!A93</f>
        <v/>
      </c>
      <c r="B94" s="402" t="str">
        <f>'Normalized Import'!B93</f>
        <v/>
      </c>
      <c r="C94" s="403" t="str">
        <f>'Normalized Import'!C93</f>
        <v/>
      </c>
      <c r="D94" s="404"/>
      <c r="E94" s="384" t="str">
        <f>'Most Recent Import'!E93</f>
        <v/>
      </c>
      <c r="F94" s="405" t="str">
        <f>'Normalized Import'!E93</f>
        <v/>
      </c>
      <c r="G94" s="405" t="str">
        <f>IF(EQ('Normalized Import'!F93, ""),"", 'Normalized Import'!F93+F94)</f>
        <v/>
      </c>
      <c r="H94" s="405" t="str">
        <f>IF(EQ('Normalized Import'!G93, ""), "", 'Normalized Import'!G93+G94)</f>
        <v/>
      </c>
      <c r="I94" s="405" t="str">
        <f>IF(EQ('Normalized Import'!H93, ""),"", 'Normalized Import'!H93+H94)</f>
        <v/>
      </c>
      <c r="J94" s="405" t="str">
        <f>IF(EQ('Normalized Import'!I93, ""), "", 'Normalized Import'!I93+I94)</f>
        <v/>
      </c>
      <c r="K94" s="405" t="str">
        <f>IF(EQ('Normalized Import'!J93, ""),"", 'Normalized Import'!J93+J94)</f>
        <v/>
      </c>
      <c r="L94" s="405" t="str">
        <f>IF(EQ('Normalized Import'!K93, ""), "", 'Normalized Import'!K93+K94)</f>
        <v/>
      </c>
      <c r="M94" s="405" t="str">
        <f>IF(EQ('Normalized Import'!L93, ""),"", 'Normalized Import'!L93+L94)</f>
        <v/>
      </c>
      <c r="N94" s="405" t="str">
        <f>IF(EQ('Normalized Import'!M93, ""), "", 'Normalized Import'!M93+M94)</f>
        <v/>
      </c>
      <c r="O94" s="405" t="str">
        <f>IF(EQ('Normalized Import'!N93, ""),"", 'Normalized Import'!N93+N94)</f>
        <v/>
      </c>
      <c r="P94" s="405" t="str">
        <f>IF(EQ('Normalized Import'!O93, ""), "", 'Normalized Import'!O93+O94)</f>
        <v/>
      </c>
      <c r="Q94" s="405" t="str">
        <f>IF(EQ('Normalized Import'!P93, ""),"", 'Normalized Import'!P93+P94)</f>
        <v/>
      </c>
    </row>
    <row r="95">
      <c r="A95" s="379" t="str">
        <f>'Normalized Import'!A94</f>
        <v/>
      </c>
      <c r="B95" s="402" t="str">
        <f>'Normalized Import'!B94</f>
        <v/>
      </c>
      <c r="C95" s="403" t="str">
        <f>'Normalized Import'!C94</f>
        <v/>
      </c>
      <c r="D95" s="404"/>
      <c r="E95" s="384" t="str">
        <f>'Most Recent Import'!E94</f>
        <v/>
      </c>
      <c r="F95" s="405" t="str">
        <f>'Normalized Import'!E94</f>
        <v/>
      </c>
      <c r="G95" s="405" t="str">
        <f>IF(EQ('Normalized Import'!F94, ""),"", 'Normalized Import'!F94+F95)</f>
        <v/>
      </c>
      <c r="H95" s="405" t="str">
        <f>IF(EQ('Normalized Import'!G94, ""), "", 'Normalized Import'!G94+G95)</f>
        <v/>
      </c>
      <c r="I95" s="405" t="str">
        <f>IF(EQ('Normalized Import'!H94, ""),"", 'Normalized Import'!H94+H95)</f>
        <v/>
      </c>
      <c r="J95" s="405" t="str">
        <f>IF(EQ('Normalized Import'!I94, ""), "", 'Normalized Import'!I94+I95)</f>
        <v/>
      </c>
      <c r="K95" s="405" t="str">
        <f>IF(EQ('Normalized Import'!J94, ""),"", 'Normalized Import'!J94+J95)</f>
        <v/>
      </c>
      <c r="L95" s="405" t="str">
        <f>IF(EQ('Normalized Import'!K94, ""), "", 'Normalized Import'!K94+K95)</f>
        <v/>
      </c>
      <c r="M95" s="405" t="str">
        <f>IF(EQ('Normalized Import'!L94, ""),"", 'Normalized Import'!L94+L95)</f>
        <v/>
      </c>
      <c r="N95" s="405" t="str">
        <f>IF(EQ('Normalized Import'!M94, ""), "", 'Normalized Import'!M94+M95)</f>
        <v/>
      </c>
      <c r="O95" s="405" t="str">
        <f>IF(EQ('Normalized Import'!N94, ""),"", 'Normalized Import'!N94+N95)</f>
        <v/>
      </c>
      <c r="P95" s="405" t="str">
        <f>IF(EQ('Normalized Import'!O94, ""), "", 'Normalized Import'!O94+O95)</f>
        <v/>
      </c>
      <c r="Q95" s="405" t="str">
        <f>IF(EQ('Normalized Import'!P94, ""),"", 'Normalized Import'!P94+P95)</f>
        <v/>
      </c>
    </row>
    <row r="96">
      <c r="A96" s="379" t="str">
        <f>'Normalized Import'!A95</f>
        <v/>
      </c>
      <c r="B96" s="402" t="str">
        <f>'Normalized Import'!B95</f>
        <v/>
      </c>
      <c r="C96" s="403" t="str">
        <f>'Normalized Import'!C95</f>
        <v/>
      </c>
      <c r="D96" s="404"/>
      <c r="E96" s="384" t="str">
        <f>'Most Recent Import'!E95</f>
        <v/>
      </c>
      <c r="F96" s="405" t="str">
        <f>'Normalized Import'!E95</f>
        <v/>
      </c>
      <c r="G96" s="405" t="str">
        <f>IF(EQ('Normalized Import'!F95, ""),"", 'Normalized Import'!F95+F96)</f>
        <v/>
      </c>
      <c r="H96" s="405" t="str">
        <f>IF(EQ('Normalized Import'!G95, ""), "", 'Normalized Import'!G95+G96)</f>
        <v/>
      </c>
      <c r="I96" s="405" t="str">
        <f>IF(EQ('Normalized Import'!H95, ""),"", 'Normalized Import'!H95+H96)</f>
        <v/>
      </c>
      <c r="J96" s="405" t="str">
        <f>IF(EQ('Normalized Import'!I95, ""), "", 'Normalized Import'!I95+I96)</f>
        <v/>
      </c>
      <c r="K96" s="405" t="str">
        <f>IF(EQ('Normalized Import'!J95, ""),"", 'Normalized Import'!J95+J96)</f>
        <v/>
      </c>
      <c r="L96" s="405" t="str">
        <f>IF(EQ('Normalized Import'!K95, ""), "", 'Normalized Import'!K95+K96)</f>
        <v/>
      </c>
      <c r="M96" s="405" t="str">
        <f>IF(EQ('Normalized Import'!L95, ""),"", 'Normalized Import'!L95+L96)</f>
        <v/>
      </c>
      <c r="N96" s="405" t="str">
        <f>IF(EQ('Normalized Import'!M95, ""), "", 'Normalized Import'!M95+M96)</f>
        <v/>
      </c>
      <c r="O96" s="405" t="str">
        <f>IF(EQ('Normalized Import'!N95, ""),"", 'Normalized Import'!N95+N96)</f>
        <v/>
      </c>
      <c r="P96" s="405" t="str">
        <f>IF(EQ('Normalized Import'!O95, ""), "", 'Normalized Import'!O95+O96)</f>
        <v/>
      </c>
      <c r="Q96" s="405" t="str">
        <f>IF(EQ('Normalized Import'!P95, ""),"", 'Normalized Import'!P95+P96)</f>
        <v/>
      </c>
    </row>
    <row r="97">
      <c r="A97" s="379" t="str">
        <f>'Normalized Import'!A96</f>
        <v/>
      </c>
      <c r="B97" s="402" t="str">
        <f>'Normalized Import'!B96</f>
        <v/>
      </c>
      <c r="C97" s="403" t="str">
        <f>'Normalized Import'!C96</f>
        <v/>
      </c>
      <c r="D97" s="404"/>
      <c r="E97" s="384" t="str">
        <f>'Most Recent Import'!E96</f>
        <v/>
      </c>
      <c r="F97" s="405" t="str">
        <f>'Normalized Import'!E96</f>
        <v/>
      </c>
      <c r="G97" s="405" t="str">
        <f>IF(EQ('Normalized Import'!F96, ""),"", 'Normalized Import'!F96+F97)</f>
        <v/>
      </c>
      <c r="H97" s="405" t="str">
        <f>IF(EQ('Normalized Import'!G96, ""), "", 'Normalized Import'!G96+G97)</f>
        <v/>
      </c>
      <c r="I97" s="405" t="str">
        <f>IF(EQ('Normalized Import'!H96, ""),"", 'Normalized Import'!H96+H97)</f>
        <v/>
      </c>
      <c r="J97" s="405" t="str">
        <f>IF(EQ('Normalized Import'!I96, ""), "", 'Normalized Import'!I96+I97)</f>
        <v/>
      </c>
      <c r="K97" s="405" t="str">
        <f>IF(EQ('Normalized Import'!J96, ""),"", 'Normalized Import'!J96+J97)</f>
        <v/>
      </c>
      <c r="L97" s="405" t="str">
        <f>IF(EQ('Normalized Import'!K96, ""), "", 'Normalized Import'!K96+K97)</f>
        <v/>
      </c>
      <c r="M97" s="405" t="str">
        <f>IF(EQ('Normalized Import'!L96, ""),"", 'Normalized Import'!L96+L97)</f>
        <v/>
      </c>
      <c r="N97" s="405" t="str">
        <f>IF(EQ('Normalized Import'!M96, ""), "", 'Normalized Import'!M96+M97)</f>
        <v/>
      </c>
      <c r="O97" s="405" t="str">
        <f>IF(EQ('Normalized Import'!N96, ""),"", 'Normalized Import'!N96+N97)</f>
        <v/>
      </c>
      <c r="P97" s="405" t="str">
        <f>IF(EQ('Normalized Import'!O96, ""), "", 'Normalized Import'!O96+O97)</f>
        <v/>
      </c>
      <c r="Q97" s="405" t="str">
        <f>IF(EQ('Normalized Import'!P96, ""),"", 'Normalized Import'!P96+P97)</f>
        <v/>
      </c>
    </row>
    <row r="98">
      <c r="A98" s="379" t="str">
        <f>'Normalized Import'!A97</f>
        <v/>
      </c>
      <c r="B98" s="402" t="str">
        <f>'Normalized Import'!B97</f>
        <v/>
      </c>
      <c r="C98" s="403" t="str">
        <f>'Normalized Import'!C97</f>
        <v/>
      </c>
      <c r="D98" s="404"/>
      <c r="E98" s="384" t="str">
        <f>'Most Recent Import'!E97</f>
        <v/>
      </c>
      <c r="F98" s="405" t="str">
        <f>'Normalized Import'!E97</f>
        <v/>
      </c>
      <c r="G98" s="405" t="str">
        <f>IF(EQ('Normalized Import'!F97, ""),"", 'Normalized Import'!F97+F98)</f>
        <v/>
      </c>
      <c r="H98" s="405" t="str">
        <f>IF(EQ('Normalized Import'!G97, ""), "", 'Normalized Import'!G97+G98)</f>
        <v/>
      </c>
      <c r="I98" s="405" t="str">
        <f>IF(EQ('Normalized Import'!H97, ""),"", 'Normalized Import'!H97+H98)</f>
        <v/>
      </c>
      <c r="J98" s="405" t="str">
        <f>IF(EQ('Normalized Import'!I97, ""), "", 'Normalized Import'!I97+I98)</f>
        <v/>
      </c>
      <c r="K98" s="405" t="str">
        <f>IF(EQ('Normalized Import'!J97, ""),"", 'Normalized Import'!J97+J98)</f>
        <v/>
      </c>
      <c r="L98" s="405" t="str">
        <f>IF(EQ('Normalized Import'!K97, ""), "", 'Normalized Import'!K97+K98)</f>
        <v/>
      </c>
      <c r="M98" s="405" t="str">
        <f>IF(EQ('Normalized Import'!L97, ""),"", 'Normalized Import'!L97+L98)</f>
        <v/>
      </c>
      <c r="N98" s="405" t="str">
        <f>IF(EQ('Normalized Import'!M97, ""), "", 'Normalized Import'!M97+M98)</f>
        <v/>
      </c>
      <c r="O98" s="405" t="str">
        <f>IF(EQ('Normalized Import'!N97, ""),"", 'Normalized Import'!N97+N98)</f>
        <v/>
      </c>
      <c r="P98" s="405" t="str">
        <f>IF(EQ('Normalized Import'!O97, ""), "", 'Normalized Import'!O97+O98)</f>
        <v/>
      </c>
      <c r="Q98" s="405" t="str">
        <f>IF(EQ('Normalized Import'!P97, ""),"", 'Normalized Import'!P97+P98)</f>
        <v/>
      </c>
    </row>
    <row r="99">
      <c r="A99" s="379" t="str">
        <f>'Normalized Import'!A98</f>
        <v/>
      </c>
      <c r="B99" s="402" t="str">
        <f>'Normalized Import'!B98</f>
        <v/>
      </c>
      <c r="C99" s="403" t="str">
        <f>'Normalized Import'!C98</f>
        <v/>
      </c>
      <c r="D99" s="404"/>
      <c r="E99" s="384" t="str">
        <f>'Most Recent Import'!E98</f>
        <v/>
      </c>
      <c r="F99" s="405" t="str">
        <f>'Normalized Import'!E98</f>
        <v/>
      </c>
      <c r="G99" s="405" t="str">
        <f>IF(EQ('Normalized Import'!F98, ""),"", 'Normalized Import'!F98+F99)</f>
        <v/>
      </c>
      <c r="H99" s="405" t="str">
        <f>IF(EQ('Normalized Import'!G98, ""), "", 'Normalized Import'!G98+G99)</f>
        <v/>
      </c>
      <c r="I99" s="405" t="str">
        <f>IF(EQ('Normalized Import'!H98, ""),"", 'Normalized Import'!H98+H99)</f>
        <v/>
      </c>
      <c r="J99" s="405" t="str">
        <f>IF(EQ('Normalized Import'!I98, ""), "", 'Normalized Import'!I98+I99)</f>
        <v/>
      </c>
      <c r="K99" s="405" t="str">
        <f>IF(EQ('Normalized Import'!J98, ""),"", 'Normalized Import'!J98+J99)</f>
        <v/>
      </c>
      <c r="L99" s="405" t="str">
        <f>IF(EQ('Normalized Import'!K98, ""), "", 'Normalized Import'!K98+K99)</f>
        <v/>
      </c>
      <c r="M99" s="405" t="str">
        <f>IF(EQ('Normalized Import'!L98, ""),"", 'Normalized Import'!L98+L99)</f>
        <v/>
      </c>
      <c r="N99" s="405" t="str">
        <f>IF(EQ('Normalized Import'!M98, ""), "", 'Normalized Import'!M98+M99)</f>
        <v/>
      </c>
      <c r="O99" s="405" t="str">
        <f>IF(EQ('Normalized Import'!N98, ""),"", 'Normalized Import'!N98+N99)</f>
        <v/>
      </c>
      <c r="P99" s="405" t="str">
        <f>IF(EQ('Normalized Import'!O98, ""), "", 'Normalized Import'!O98+O99)</f>
        <v/>
      </c>
      <c r="Q99" s="405" t="str">
        <f>IF(EQ('Normalized Import'!P98, ""),"", 'Normalized Import'!P98+P99)</f>
        <v/>
      </c>
    </row>
    <row r="100">
      <c r="A100" s="379" t="str">
        <f>'Normalized Import'!A99</f>
        <v/>
      </c>
      <c r="B100" s="402" t="str">
        <f>'Normalized Import'!B99</f>
        <v/>
      </c>
      <c r="C100" s="403" t="str">
        <f>'Normalized Import'!C99</f>
        <v/>
      </c>
      <c r="D100" s="404"/>
      <c r="E100" s="384" t="str">
        <f>'Most Recent Import'!E99</f>
        <v/>
      </c>
      <c r="F100" s="405" t="str">
        <f>'Normalized Import'!E99</f>
        <v/>
      </c>
      <c r="G100" s="405" t="str">
        <f>IF(EQ('Normalized Import'!F99, ""),"", 'Normalized Import'!F99+F100)</f>
        <v/>
      </c>
      <c r="H100" s="405" t="str">
        <f>IF(EQ('Normalized Import'!G99, ""), "", 'Normalized Import'!G99+G100)</f>
        <v/>
      </c>
      <c r="I100" s="405" t="str">
        <f>IF(EQ('Normalized Import'!H99, ""),"", 'Normalized Import'!H99+H100)</f>
        <v/>
      </c>
      <c r="J100" s="405" t="str">
        <f>IF(EQ('Normalized Import'!I99, ""), "", 'Normalized Import'!I99+I100)</f>
        <v/>
      </c>
      <c r="K100" s="405" t="str">
        <f>IF(EQ('Normalized Import'!J99, ""),"", 'Normalized Import'!J99+J100)</f>
        <v/>
      </c>
      <c r="L100" s="405" t="str">
        <f>IF(EQ('Normalized Import'!K99, ""), "", 'Normalized Import'!K99+K100)</f>
        <v/>
      </c>
      <c r="M100" s="405" t="str">
        <f>IF(EQ('Normalized Import'!L99, ""),"", 'Normalized Import'!L99+L100)</f>
        <v/>
      </c>
      <c r="N100" s="405" t="str">
        <f>IF(EQ('Normalized Import'!M99, ""), "", 'Normalized Import'!M99+M100)</f>
        <v/>
      </c>
      <c r="O100" s="405" t="str">
        <f>IF(EQ('Normalized Import'!N99, ""),"", 'Normalized Import'!N99+N100)</f>
        <v/>
      </c>
      <c r="P100" s="405" t="str">
        <f>IF(EQ('Normalized Import'!O99, ""), "", 'Normalized Import'!O99+O100)</f>
        <v/>
      </c>
      <c r="Q100" s="405" t="str">
        <f>IF(EQ('Normalized Import'!P99, ""),"", 'Normalized Import'!P99+P100)</f>
        <v/>
      </c>
    </row>
  </sheetData>
  <mergeCells count="2">
    <mergeCell ref="F1:N1"/>
    <mergeCell ref="O1:Z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9999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25"/>
  </cols>
  <sheetData>
    <row r="1">
      <c r="A1" s="7" t="s">
        <v>317</v>
      </c>
      <c r="B1" s="7" t="s">
        <v>469</v>
      </c>
      <c r="C1" s="410" t="s">
        <v>322</v>
      </c>
      <c r="D1" s="410" t="s">
        <v>321</v>
      </c>
      <c r="E1" s="411" t="s">
        <v>302</v>
      </c>
      <c r="F1" s="411" t="s">
        <v>303</v>
      </c>
      <c r="G1" s="411" t="s">
        <v>304</v>
      </c>
      <c r="H1" s="411" t="s">
        <v>305</v>
      </c>
      <c r="I1" s="411" t="s">
        <v>306</v>
      </c>
      <c r="J1" s="411" t="s">
        <v>307</v>
      </c>
      <c r="K1" s="411" t="s">
        <v>308</v>
      </c>
      <c r="L1" s="411" t="s">
        <v>309</v>
      </c>
      <c r="M1" s="411" t="s">
        <v>310</v>
      </c>
      <c r="N1" s="411" t="s">
        <v>311</v>
      </c>
      <c r="O1" s="411" t="s">
        <v>312</v>
      </c>
      <c r="P1" s="411" t="s">
        <v>313</v>
      </c>
    </row>
    <row r="2">
      <c r="A2" s="412" t="str">
        <f>'Most Recent Import'!A2</f>
        <v>safe</v>
      </c>
      <c r="B2" s="413">
        <f>IF(ISBLANK(A2), "", DATE(LEFT('Most Recent Import'!C2, 4), RIGHT('Most Recent Import'!C2, 2), 1))</f>
        <v>44958</v>
      </c>
      <c r="C2" s="414">
        <f>'Most Recent Import'!B2</f>
        <v>1000</v>
      </c>
      <c r="D2" s="412">
        <f>'Most Recent Import'!D2</f>
        <v>10</v>
      </c>
      <c r="E2" s="412">
        <f t="array" ref="E2">IF(
    DATEDIF($B2, TODAY(), "M") &gt;= 11,
    INDEX('Most Recent Import'!$F2:$Q2, 1, MATCH(11 - (COLUMN(E:E) - 5), {0, 1, 2, 3, 4, 5, 6, 7, 8, 9, 10, 11}, 0)),
    IF(
      DATEDIF($B2, TODAY(), "M") + 1 &gt;= COLUMN(E:E) - 5,
      INDEX('Most Recent Import'!$F2:$Q2, 1, MATCH(DATEDIF($B2, TODAY(), "M") + 1 - (COLUMN(E:E) - 5), {0, 1, 2, 3, 4, 5, 6, 7, 8, 9, 10, 11}, 0)),
      ""
    )
  )
</f>
        <v>0</v>
      </c>
      <c r="F2" s="412">
        <f t="array" ref="F2">IF(
    DATEDIF($B2, TODAY(), "M") &gt;= 11,
    INDEX('Most Recent Import'!$F2:$Q2, 1, MATCH(11 - (COLUMN(F:F) - 5), {0, 1, 2, 3, 4, 5, 6, 7, 8, 9, 10, 11}, 0)),
    IF(
      DATEDIF($B2, TODAY(), "M") + 1 &gt;= COLUMN(F:F) - 5,
      INDEX('Most Recent Import'!$F2:$Q2, 1, MATCH(DATEDIF($B2, TODAY(), "M") + 1 - (COLUMN(F:F) - 5), {0, 1, 2, 3, 4, 5, 6, 7, 8, 9, 10, 11}, 0)),
      ""
    )
  )
</f>
        <v>2</v>
      </c>
      <c r="G2" s="412">
        <f t="array" ref="G2">IF(
    DATEDIF($B2, TODAY(), "M") &gt;= 11,
    INDEX('Most Recent Import'!$F2:$Q2, 1, MATCH(11 - (COLUMN(G:G) - 5), {0, 1, 2, 3, 4, 5, 6, 7, 8, 9, 10, 11}, 0)),
    IF(
      DATEDIF($B2, TODAY(), "M") + 1 &gt;= COLUMN(G:G) - 5,
      INDEX('Most Recent Import'!$F2:$Q2, 1, MATCH(DATEDIF($B2, TODAY(), "M") + 1 - (COLUMN(G:G) - 5), {0, 1, 2, 3, 4, 5, 6, 7, 8, 9, 10, 11}, 0)),
      ""
    )
  )
</f>
        <v>0</v>
      </c>
      <c r="H2" s="412">
        <f t="array" ref="H2">IF(
    DATEDIF($B2, TODAY(), "M") &gt;= 11,
    INDEX('Most Recent Import'!$F2:$Q2, 1, MATCH(11 - (COLUMN(H:H) - 5), {0, 1, 2, 3, 4, 5, 6, 7, 8, 9, 10, 11}, 0)),
    IF(
      DATEDIF($B2, TODAY(), "M") + 1 &gt;= COLUMN(H:H) - 5,
      INDEX('Most Recent Import'!$F2:$Q2, 1, MATCH(DATEDIF($B2, TODAY(), "M") + 1 - (COLUMN(H:H) - 5), {0, 1, 2, 3, 4, 5, 6, 7, 8, 9, 10, 11}, 0)),
      ""
    )
  )
</f>
        <v>1</v>
      </c>
      <c r="I2" s="412">
        <f t="array" ref="I2">IF(
    DATEDIF($B2, TODAY(), "M") &gt;= 11,
    INDEX('Most Recent Import'!$F2:$Q2, 1, MATCH(11 - (COLUMN(I:I) - 5), {0, 1, 2, 3, 4, 5, 6, 7, 8, 9, 10, 11}, 0)),
    IF(
      DATEDIF($B2, TODAY(), "M") + 1 &gt;= COLUMN(I:I) - 5,
      INDEX('Most Recent Import'!$F2:$Q2, 1, MATCH(DATEDIF($B2, TODAY(), "M") + 1 - (COLUMN(I:I) - 5), {0, 1, 2, 3, 4, 5, 6, 7, 8, 9, 10, 11}, 0)),
      ""
    )
  )
</f>
        <v>2</v>
      </c>
      <c r="J2" s="412">
        <f t="array" ref="J2">IF(
    DATEDIF($B2, TODAY(), "M") &gt;= 11,
    INDEX('Most Recent Import'!$F2:$Q2, 1, MATCH(11 - (COLUMN(J:J) - 5), {0, 1, 2, 3, 4, 5, 6, 7, 8, 9, 10, 11}, 0)),
    IF(
      DATEDIF($B2, TODAY(), "M") + 1 &gt;= COLUMN(J:J) - 5,
      INDEX('Most Recent Import'!$F2:$Q2, 1, MATCH(DATEDIF($B2, TODAY(), "M") + 1 - (COLUMN(J:J) - 5), {0, 1, 2, 3, 4, 5, 6, 7, 8, 9, 10, 11}, 0)),
      ""
    )
  )
</f>
        <v>1</v>
      </c>
      <c r="K2" s="412">
        <f t="array" ref="K2">IF(
    DATEDIF($B2, TODAY(), "M") &gt;= 11,
    INDEX('Most Recent Import'!$F2:$Q2, 1, MATCH(11 - (COLUMN(K:K) - 5), {0, 1, 2, 3, 4, 5, 6, 7, 8, 9, 10, 11}, 0)),
    IF(
      DATEDIF($B2, TODAY(), "M") + 1 &gt;= COLUMN(K:K) - 5,
      INDEX('Most Recent Import'!$F2:$Q2, 1, MATCH(DATEDIF($B2, TODAY(), "M") + 1 - (COLUMN(K:K) - 5), {0, 1, 2, 3, 4, 5, 6, 7, 8, 9, 10, 11}, 0)),
      ""
    )
  )
</f>
        <v>0</v>
      </c>
      <c r="L2" s="412">
        <f t="array" ref="L2">IF(
    DATEDIF($B2, TODAY(), "M") &gt;= 11,
    INDEX('Most Recent Import'!$F2:$Q2, 1, MATCH(11 - (COLUMN(L:L) - 5), {0, 1, 2, 3, 4, 5, 6, 7, 8, 9, 10, 11}, 0)),
    IF(
      DATEDIF($B2, TODAY(), "M") + 1 &gt;= COLUMN(L:L) - 5,
      INDEX('Most Recent Import'!$F2:$Q2, 1, MATCH(DATEDIF($B2, TODAY(), "M") + 1 - (COLUMN(L:L) - 5), {0, 1, 2, 3, 4, 5, 6, 7, 8, 9, 10, 11}, 0)),
      ""
    )
  )
</f>
        <v>1</v>
      </c>
      <c r="M2" s="412">
        <f t="array" ref="M2">IF(
    DATEDIF($B2, TODAY(), "M") &gt;= 11,
    INDEX('Most Recent Import'!$F2:$Q2, 1, MATCH(11 - (COLUMN(M:M) - 5), {0, 1, 2, 3, 4, 5, 6, 7, 8, 9, 10, 11}, 0)),
    IF(
      DATEDIF($B2, TODAY(), "M") + 1 &gt;= COLUMN(M:M) - 5,
      INDEX('Most Recent Import'!$F2:$Q2, 1, MATCH(DATEDIF($B2, TODAY(), "M") + 1 - (COLUMN(M:M) - 5), {0, 1, 2, 3, 4, 5, 6, 7, 8, 9, 10, 11}, 0)),
      ""
    )
  )
</f>
        <v>1</v>
      </c>
      <c r="N2" s="412">
        <f t="array" ref="N2">IF(
    DATEDIF($B2, TODAY(), "M") &gt;= 11,
    INDEX('Most Recent Import'!$F2:$Q2, 1, MATCH(11 - (COLUMN(N:N) - 5), {0, 1, 2, 3, 4, 5, 6, 7, 8, 9, 10, 11}, 0)),
    IF(
      DATEDIF($B2, TODAY(), "M") + 1 &gt;= COLUMN(N:N) - 5,
      INDEX('Most Recent Import'!$F2:$Q2, 1, MATCH(DATEDIF($B2, TODAY(), "M") + 1 - (COLUMN(N:N) - 5), {0, 1, 2, 3, 4, 5, 6, 7, 8, 9, 10, 11}, 0)),
      ""
    )
  )
</f>
        <v>3</v>
      </c>
      <c r="O2" s="412">
        <f t="array" ref="O2">IF(
    DATEDIF($B2, TODAY(), "M") &gt;= 11,
    INDEX('Most Recent Import'!$F2:$Q2, 1, MATCH(11 - (COLUMN(O:O) - 5), {0, 1, 2, 3, 4, 5, 6, 7, 8, 9, 10, 11}, 0)),
    IF(
      DATEDIF($B2, TODAY(), "M") + 1 &gt;= COLUMN(O:O) - 5,
      INDEX('Most Recent Import'!$F2:$Q2, 1, MATCH(DATEDIF($B2, TODAY(), "M") + 1 - (COLUMN(O:O) - 5), {0, 1, 2, 3, 4, 5, 6, 7, 8, 9, 10, 11}, 0)),
      ""
    )
  )
</f>
        <v>0</v>
      </c>
      <c r="P2" s="412">
        <f t="array" ref="P2">IF(
    DATEDIF($B2, TODAY(), "M") &gt;= 11,
    INDEX('Most Recent Import'!$F2:$Q2, 1, MATCH(11 - (COLUMN(P:P) - 5), {0, 1, 2, 3, 4, 5, 6, 7, 8, 9, 10, 11}, 0)),
    IF(
      DATEDIF($B2, TODAY(), "M") + 1 &gt;= COLUMN(P:P) - 5,
      INDEX('Most Recent Import'!$F2:$Q2, 1, MATCH(DATEDIF($B2, TODAY(), "M") + 1 - (COLUMN(P:P) - 5), {0, 1, 2, 3, 4, 5, 6, 7, 8, 9, 10, 11}, 0)),
      ""
    )
  )
</f>
        <v>1</v>
      </c>
    </row>
    <row r="3">
      <c r="A3" s="412" t="str">
        <f>'Most Recent Import'!A3</f>
        <v>8x8</v>
      </c>
      <c r="B3" s="413">
        <f>IF(ISBLANK(A3), "", DATE(LEFT('Most Recent Import'!C3, 4), RIGHT('Most Recent Import'!C3, 2), 1))</f>
        <v>45047</v>
      </c>
      <c r="C3" s="414">
        <f>'Most Recent Import'!B3</f>
        <v>15000</v>
      </c>
      <c r="D3" s="412">
        <f>'Most Recent Import'!D3</f>
        <v>9</v>
      </c>
      <c r="E3" s="412">
        <f t="array" ref="E3">IF(
    DATEDIF($B3, TODAY(), "M") &gt;= 11,
    INDEX('Most Recent Import'!$F3:$Q3, 1, MATCH(11 - (COLUMN(E:E) - 5), {0, 1, 2, 3, 4, 5, 6, 7, 8, 9, 10, 11}, 0)),
    IF(
      DATEDIF($B3, TODAY(), "M") + 1 &gt;= COLUMN(E:E) - 5,
      INDEX('Most Recent Import'!$F3:$Q3, 1, MATCH(DATEDIF($B3, TODAY(), "M") + 1 - (COLUMN(E:E) - 5), {0, 1, 2, 3, 4, 5, 6, 7, 8, 9, 10, 11}, 0)),
      ""
    )
  )
</f>
        <v>0</v>
      </c>
      <c r="F3" s="412">
        <f t="array" ref="F3">IF(
    DATEDIF($B3, TODAY(), "M") &gt;= 11,
    INDEX('Most Recent Import'!$F3:$Q3, 1, MATCH(11 - (COLUMN(F:F) - 5), {0, 1, 2, 3, 4, 5, 6, 7, 8, 9, 10, 11}, 0)),
    IF(
      DATEDIF($B3, TODAY(), "M") + 1 &gt;= COLUMN(F:F) - 5,
      INDEX('Most Recent Import'!$F3:$Q3, 1, MATCH(DATEDIF($B3, TODAY(), "M") + 1 - (COLUMN(F:F) - 5), {0, 1, 2, 3, 4, 5, 6, 7, 8, 9, 10, 11}, 0)),
      ""
    )
  )
</f>
        <v>0</v>
      </c>
      <c r="G3" s="412">
        <f t="array" ref="G3">IF(
    DATEDIF($B3, TODAY(), "M") &gt;= 11,
    INDEX('Most Recent Import'!$F3:$Q3, 1, MATCH(11 - (COLUMN(G:G) - 5), {0, 1, 2, 3, 4, 5, 6, 7, 8, 9, 10, 11}, 0)),
    IF(
      DATEDIF($B3, TODAY(), "M") + 1 &gt;= COLUMN(G:G) - 5,
      INDEX('Most Recent Import'!$F3:$Q3, 1, MATCH(DATEDIF($B3, TODAY(), "M") + 1 - (COLUMN(G:G) - 5), {0, 1, 2, 3, 4, 5, 6, 7, 8, 9, 10, 11}, 0)),
      ""
    )
  )
</f>
        <v>3</v>
      </c>
      <c r="H3" s="412">
        <f t="array" ref="H3">IF(
    DATEDIF($B3, TODAY(), "M") &gt;= 11,
    INDEX('Most Recent Import'!$F3:$Q3, 1, MATCH(11 - (COLUMN(H:H) - 5), {0, 1, 2, 3, 4, 5, 6, 7, 8, 9, 10, 11}, 0)),
    IF(
      DATEDIF($B3, TODAY(), "M") + 1 &gt;= COLUMN(H:H) - 5,
      INDEX('Most Recent Import'!$F3:$Q3, 1, MATCH(DATEDIF($B3, TODAY(), "M") + 1 - (COLUMN(H:H) - 5), {0, 1, 2, 3, 4, 5, 6, 7, 8, 9, 10, 11}, 0)),
      ""
    )
  )
</f>
        <v>1</v>
      </c>
      <c r="I3" s="412">
        <f t="array" ref="I3">IF(
    DATEDIF($B3, TODAY(), "M") &gt;= 11,
    INDEX('Most Recent Import'!$F3:$Q3, 1, MATCH(11 - (COLUMN(I:I) - 5), {0, 1, 2, 3, 4, 5, 6, 7, 8, 9, 10, 11}, 0)),
    IF(
      DATEDIF($B3, TODAY(), "M") + 1 &gt;= COLUMN(I:I) - 5,
      INDEX('Most Recent Import'!$F3:$Q3, 1, MATCH(DATEDIF($B3, TODAY(), "M") + 1 - (COLUMN(I:I) - 5), {0, 1, 2, 3, 4, 5, 6, 7, 8, 9, 10, 11}, 0)),
      ""
    )
  )
</f>
        <v>4</v>
      </c>
      <c r="J3" s="412">
        <f t="array" ref="J3">IF(
    DATEDIF($B3, TODAY(), "M") &gt;= 11,
    INDEX('Most Recent Import'!$F3:$Q3, 1, MATCH(11 - (COLUMN(J:J) - 5), {0, 1, 2, 3, 4, 5, 6, 7, 8, 9, 10, 11}, 0)),
    IF(
      DATEDIF($B3, TODAY(), "M") + 1 &gt;= COLUMN(J:J) - 5,
      INDEX('Most Recent Import'!$F3:$Q3, 1, MATCH(DATEDIF($B3, TODAY(), "M") + 1 - (COLUMN(J:J) - 5), {0, 1, 2, 3, 4, 5, 6, 7, 8, 9, 10, 11}, 0)),
      ""
    )
  )
</f>
        <v>4</v>
      </c>
      <c r="K3" s="412">
        <f t="array" ref="K3">IF(
    DATEDIF($B3, TODAY(), "M") &gt;= 11,
    INDEX('Most Recent Import'!$F3:$Q3, 1, MATCH(11 - (COLUMN(K:K) - 5), {0, 1, 2, 3, 4, 5, 6, 7, 8, 9, 10, 11}, 0)),
    IF(
      DATEDIF($B3, TODAY(), "M") + 1 &gt;= COLUMN(K:K) - 5,
      INDEX('Most Recent Import'!$F3:$Q3, 1, MATCH(DATEDIF($B3, TODAY(), "M") + 1 - (COLUMN(K:K) - 5), {0, 1, 2, 3, 4, 5, 6, 7, 8, 9, 10, 11}, 0)),
      ""
    )
  )
</f>
        <v>7</v>
      </c>
      <c r="L3" s="412">
        <f t="array" ref="L3">IF(
    DATEDIF($B3, TODAY(), "M") &gt;= 11,
    INDEX('Most Recent Import'!$F3:$Q3, 1, MATCH(11 - (COLUMN(L:L) - 5), {0, 1, 2, 3, 4, 5, 6, 7, 8, 9, 10, 11}, 0)),
    IF(
      DATEDIF($B3, TODAY(), "M") + 1 &gt;= COLUMN(L:L) - 5,
      INDEX('Most Recent Import'!$F3:$Q3, 1, MATCH(DATEDIF($B3, TODAY(), "M") + 1 - (COLUMN(L:L) - 5), {0, 1, 2, 3, 4, 5, 6, 7, 8, 9, 10, 11}, 0)),
      ""
    )
  )
</f>
        <v>4</v>
      </c>
      <c r="M3" s="412">
        <f t="array" ref="M3">IF(
    DATEDIF($B3, TODAY(), "M") &gt;= 11,
    INDEX('Most Recent Import'!$F3:$Q3, 1, MATCH(11 - (COLUMN(M:M) - 5), {0, 1, 2, 3, 4, 5, 6, 7, 8, 9, 10, 11}, 0)),
    IF(
      DATEDIF($B3, TODAY(), "M") + 1 &gt;= COLUMN(M:M) - 5,
      INDEX('Most Recent Import'!$F3:$Q3, 1, MATCH(DATEDIF($B3, TODAY(), "M") + 1 - (COLUMN(M:M) - 5), {0, 1, 2, 3, 4, 5, 6, 7, 8, 9, 10, 11}, 0)),
      ""
    )
  )
</f>
        <v>0</v>
      </c>
      <c r="N3" s="412">
        <f t="array" ref="N3">IF(
    DATEDIF($B3, TODAY(), "M") &gt;= 11,
    INDEX('Most Recent Import'!$F3:$Q3, 1, MATCH(11 - (COLUMN(N:N) - 5), {0, 1, 2, 3, 4, 5, 6, 7, 8, 9, 10, 11}, 0)),
    IF(
      DATEDIF($B3, TODAY(), "M") + 1 &gt;= COLUMN(N:N) - 5,
      INDEX('Most Recent Import'!$F3:$Q3, 1, MATCH(DATEDIF($B3, TODAY(), "M") + 1 - (COLUMN(N:N) - 5), {0, 1, 2, 3, 4, 5, 6, 7, 8, 9, 10, 11}, 0)),
      ""
    )
  )
</f>
        <v>2</v>
      </c>
      <c r="O3" s="412">
        <f t="array" ref="O3">IF(
    DATEDIF($B3, TODAY(), "M") &gt;= 11,
    INDEX('Most Recent Import'!$F3:$Q3, 1, MATCH(11 - (COLUMN(O:O) - 5), {0, 1, 2, 3, 4, 5, 6, 7, 8, 9, 10, 11}, 0)),
    IF(
      DATEDIF($B3, TODAY(), "M") + 1 &gt;= COLUMN(O:O) - 5,
      INDEX('Most Recent Import'!$F3:$Q3, 1, MATCH(DATEDIF($B3, TODAY(), "M") + 1 - (COLUMN(O:O) - 5), {0, 1, 2, 3, 4, 5, 6, 7, 8, 9, 10, 11}, 0)),
      ""
    )
  )
</f>
        <v>2</v>
      </c>
      <c r="P3" s="412">
        <f t="array" ref="P3">IF(
    DATEDIF($B3, TODAY(), "M") &gt;= 11,
    INDEX('Most Recent Import'!$F3:$Q3, 1, MATCH(11 - (COLUMN(P:P) - 5), {0, 1, 2, 3, 4, 5, 6, 7, 8, 9, 10, 11}, 0)),
    IF(
      DATEDIF($B3, TODAY(), "M") + 1 &gt;= COLUMN(P:P) - 5,
      INDEX('Most Recent Import'!$F3:$Q3, 1, MATCH(DATEDIF($B3, TODAY(), "M") + 1 - (COLUMN(P:P) - 5), {0, 1, 2, 3, 4, 5, 6, 7, 8, 9, 10, 11}, 0)),
      ""
    )
  )
</f>
        <v>3</v>
      </c>
    </row>
    <row r="4">
      <c r="A4" s="412" t="str">
        <f>'Most Recent Import'!A4</f>
        <v>convera</v>
      </c>
      <c r="B4" s="413">
        <f>IF(ISBLANK(A4), "", DATE(LEFT('Most Recent Import'!C4, 4), RIGHT('Most Recent Import'!C4, 2), 1))</f>
        <v>45047</v>
      </c>
      <c r="C4" s="414">
        <f>'Most Recent Import'!B4</f>
        <v>5000</v>
      </c>
      <c r="D4" s="412">
        <f>'Most Recent Import'!D4</f>
        <v>5</v>
      </c>
      <c r="E4" s="412">
        <f t="array" ref="E4">IF(
    DATEDIF($B4, TODAY(), "M") &gt;= 11,
    INDEX('Most Recent Import'!$F4:$Q4, 1, MATCH(11 - (COLUMN(E:E) - 5), {0, 1, 2, 3, 4, 5, 6, 7, 8, 9, 10, 11}, 0)),
    IF(
      DATEDIF($B4, TODAY(), "M") + 1 &gt;= COLUMN(E:E) - 5,
      INDEX('Most Recent Import'!$F4:$Q4, 1, MATCH(DATEDIF($B4, TODAY(), "M") + 1 - (COLUMN(E:E) - 5), {0, 1, 2, 3, 4, 5, 6, 7, 8, 9, 10, 11}, 0)),
      ""
    )
  )
</f>
        <v>0</v>
      </c>
      <c r="F4" s="412">
        <f t="array" ref="F4">IF(
    DATEDIF($B4, TODAY(), "M") &gt;= 11,
    INDEX('Most Recent Import'!$F4:$Q4, 1, MATCH(11 - (COLUMN(F:F) - 5), {0, 1, 2, 3, 4, 5, 6, 7, 8, 9, 10, 11}, 0)),
    IF(
      DATEDIF($B4, TODAY(), "M") + 1 &gt;= COLUMN(F:F) - 5,
      INDEX('Most Recent Import'!$F4:$Q4, 1, MATCH(DATEDIF($B4, TODAY(), "M") + 1 - (COLUMN(F:F) - 5), {0, 1, 2, 3, 4, 5, 6, 7, 8, 9, 10, 11}, 0)),
      ""
    )
  )
</f>
        <v>0</v>
      </c>
      <c r="G4" s="412">
        <f t="array" ref="G4">IF(
    DATEDIF($B4, TODAY(), "M") &gt;= 11,
    INDEX('Most Recent Import'!$F4:$Q4, 1, MATCH(11 - (COLUMN(G:G) - 5), {0, 1, 2, 3, 4, 5, 6, 7, 8, 9, 10, 11}, 0)),
    IF(
      DATEDIF($B4, TODAY(), "M") + 1 &gt;= COLUMN(G:G) - 5,
      INDEX('Most Recent Import'!$F4:$Q4, 1, MATCH(DATEDIF($B4, TODAY(), "M") + 1 - (COLUMN(G:G) - 5), {0, 1, 2, 3, 4, 5, 6, 7, 8, 9, 10, 11}, 0)),
      ""
    )
  )
</f>
        <v>0</v>
      </c>
      <c r="H4" s="412">
        <f t="array" ref="H4">IF(
    DATEDIF($B4, TODAY(), "M") &gt;= 11,
    INDEX('Most Recent Import'!$F4:$Q4, 1, MATCH(11 - (COLUMN(H:H) - 5), {0, 1, 2, 3, 4, 5, 6, 7, 8, 9, 10, 11}, 0)),
    IF(
      DATEDIF($B4, TODAY(), "M") + 1 &gt;= COLUMN(H:H) - 5,
      INDEX('Most Recent Import'!$F4:$Q4, 1, MATCH(DATEDIF($B4, TODAY(), "M") + 1 - (COLUMN(H:H) - 5), {0, 1, 2, 3, 4, 5, 6, 7, 8, 9, 10, 11}, 0)),
      ""
    )
  )
</f>
        <v>0</v>
      </c>
      <c r="I4" s="412">
        <f t="array" ref="I4">IF(
    DATEDIF($B4, TODAY(), "M") &gt;= 11,
    INDEX('Most Recent Import'!$F4:$Q4, 1, MATCH(11 - (COLUMN(I:I) - 5), {0, 1, 2, 3, 4, 5, 6, 7, 8, 9, 10, 11}, 0)),
    IF(
      DATEDIF($B4, TODAY(), "M") + 1 &gt;= COLUMN(I:I) - 5,
      INDEX('Most Recent Import'!$F4:$Q4, 1, MATCH(DATEDIF($B4, TODAY(), "M") + 1 - (COLUMN(I:I) - 5), {0, 1, 2, 3, 4, 5, 6, 7, 8, 9, 10, 11}, 0)),
      ""
    )
  )
</f>
        <v>0</v>
      </c>
      <c r="J4" s="412">
        <f t="array" ref="J4">IF(
    DATEDIF($B4, TODAY(), "M") &gt;= 11,
    INDEX('Most Recent Import'!$F4:$Q4, 1, MATCH(11 - (COLUMN(J:J) - 5), {0, 1, 2, 3, 4, 5, 6, 7, 8, 9, 10, 11}, 0)),
    IF(
      DATEDIF($B4, TODAY(), "M") + 1 &gt;= COLUMN(J:J) - 5,
      INDEX('Most Recent Import'!$F4:$Q4, 1, MATCH(DATEDIF($B4, TODAY(), "M") + 1 - (COLUMN(J:J) - 5), {0, 1, 2, 3, 4, 5, 6, 7, 8, 9, 10, 11}, 0)),
      ""
    )
  )
</f>
        <v>1</v>
      </c>
      <c r="K4" s="412">
        <f t="array" ref="K4">IF(
    DATEDIF($B4, TODAY(), "M") &gt;= 11,
    INDEX('Most Recent Import'!$F4:$Q4, 1, MATCH(11 - (COLUMN(K:K) - 5), {0, 1, 2, 3, 4, 5, 6, 7, 8, 9, 10, 11}, 0)),
    IF(
      DATEDIF($B4, TODAY(), "M") + 1 &gt;= COLUMN(K:K) - 5,
      INDEX('Most Recent Import'!$F4:$Q4, 1, MATCH(DATEDIF($B4, TODAY(), "M") + 1 - (COLUMN(K:K) - 5), {0, 1, 2, 3, 4, 5, 6, 7, 8, 9, 10, 11}, 0)),
      ""
    )
  )
</f>
        <v>0</v>
      </c>
      <c r="L4" s="412">
        <f t="array" ref="L4">IF(
    DATEDIF($B4, TODAY(), "M") &gt;= 11,
    INDEX('Most Recent Import'!$F4:$Q4, 1, MATCH(11 - (COLUMN(L:L) - 5), {0, 1, 2, 3, 4, 5, 6, 7, 8, 9, 10, 11}, 0)),
    IF(
      DATEDIF($B4, TODAY(), "M") + 1 &gt;= COLUMN(L:L) - 5,
      INDEX('Most Recent Import'!$F4:$Q4, 1, MATCH(DATEDIF($B4, TODAY(), "M") + 1 - (COLUMN(L:L) - 5), {0, 1, 2, 3, 4, 5, 6, 7, 8, 9, 10, 11}, 0)),
      ""
    )
  )
</f>
        <v>0</v>
      </c>
      <c r="M4" s="412">
        <f t="array" ref="M4">IF(
    DATEDIF($B4, TODAY(), "M") &gt;= 11,
    INDEX('Most Recent Import'!$F4:$Q4, 1, MATCH(11 - (COLUMN(M:M) - 5), {0, 1, 2, 3, 4, 5, 6, 7, 8, 9, 10, 11}, 0)),
    IF(
      DATEDIF($B4, TODAY(), "M") + 1 &gt;= COLUMN(M:M) - 5,
      INDEX('Most Recent Import'!$F4:$Q4, 1, MATCH(DATEDIF($B4, TODAY(), "M") + 1 - (COLUMN(M:M) - 5), {0, 1, 2, 3, 4, 5, 6, 7, 8, 9, 10, 11}, 0)),
      ""
    )
  )
</f>
        <v>0</v>
      </c>
      <c r="N4" s="412">
        <f t="array" ref="N4">IF(
    DATEDIF($B4, TODAY(), "M") &gt;= 11,
    INDEX('Most Recent Import'!$F4:$Q4, 1, MATCH(11 - (COLUMN(N:N) - 5), {0, 1, 2, 3, 4, 5, 6, 7, 8, 9, 10, 11}, 0)),
    IF(
      DATEDIF($B4, TODAY(), "M") + 1 &gt;= COLUMN(N:N) - 5,
      INDEX('Most Recent Import'!$F4:$Q4, 1, MATCH(DATEDIF($B4, TODAY(), "M") + 1 - (COLUMN(N:N) - 5), {0, 1, 2, 3, 4, 5, 6, 7, 8, 9, 10, 11}, 0)),
      ""
    )
  )
</f>
        <v>0</v>
      </c>
      <c r="O4" s="412">
        <f t="array" ref="O4">IF(
    DATEDIF($B4, TODAY(), "M") &gt;= 11,
    INDEX('Most Recent Import'!$F4:$Q4, 1, MATCH(11 - (COLUMN(O:O) - 5), {0, 1, 2, 3, 4, 5, 6, 7, 8, 9, 10, 11}, 0)),
    IF(
      DATEDIF($B4, TODAY(), "M") + 1 &gt;= COLUMN(O:O) - 5,
      INDEX('Most Recent Import'!$F4:$Q4, 1, MATCH(DATEDIF($B4, TODAY(), "M") + 1 - (COLUMN(O:O) - 5), {0, 1, 2, 3, 4, 5, 6, 7, 8, 9, 10, 11}, 0)),
      ""
    )
  )
</f>
        <v>0</v>
      </c>
      <c r="P4" s="412">
        <f t="array" ref="P4">IF(
    DATEDIF($B4, TODAY(), "M") &gt;= 11,
    INDEX('Most Recent Import'!$F4:$Q4, 1, MATCH(11 - (COLUMN(P:P) - 5), {0, 1, 2, 3, 4, 5, 6, 7, 8, 9, 10, 11}, 0)),
    IF(
      DATEDIF($B4, TODAY(), "M") + 1 &gt;= COLUMN(P:P) - 5,
      INDEX('Most Recent Import'!$F4:$Q4, 1, MATCH(DATEDIF($B4, TODAY(), "M") + 1 - (COLUMN(P:P) - 5), {0, 1, 2, 3, 4, 5, 6, 7, 8, 9, 10, 11}, 0)),
      ""
    )
  )
</f>
        <v>1</v>
      </c>
    </row>
    <row r="5">
      <c r="A5" s="412" t="str">
        <f>'Most Recent Import'!A5</f>
        <v>glovo</v>
      </c>
      <c r="B5" s="413">
        <f>IF(ISBLANK(A5), "", DATE(LEFT('Most Recent Import'!C5, 4), RIGHT('Most Recent Import'!C5, 2), 1))</f>
        <v>45047</v>
      </c>
      <c r="C5" s="414">
        <f>'Most Recent Import'!B5</f>
        <v>30000</v>
      </c>
      <c r="D5" s="412">
        <f>'Most Recent Import'!D5</f>
        <v>5</v>
      </c>
      <c r="E5" s="412">
        <f t="array" ref="E5">IF(
    DATEDIF($B5, TODAY(), "M") &gt;= 11,
    INDEX('Most Recent Import'!$F5:$Q5, 1, MATCH(11 - (COLUMN(E:E) - 5), {0, 1, 2, 3, 4, 5, 6, 7, 8, 9, 10, 11}, 0)),
    IF(
      DATEDIF($B5, TODAY(), "M") + 1 &gt;= COLUMN(E:E) - 5,
      INDEX('Most Recent Import'!$F5:$Q5, 1, MATCH(DATEDIF($B5, TODAY(), "M") + 1 - (COLUMN(E:E) - 5), {0, 1, 2, 3, 4, 5, 6, 7, 8, 9, 10, 11}, 0)),
      ""
    )
  )
</f>
        <v>0</v>
      </c>
      <c r="F5" s="412">
        <f t="array" ref="F5">IF(
    DATEDIF($B5, TODAY(), "M") &gt;= 11,
    INDEX('Most Recent Import'!$F5:$Q5, 1, MATCH(11 - (COLUMN(F:F) - 5), {0, 1, 2, 3, 4, 5, 6, 7, 8, 9, 10, 11}, 0)),
    IF(
      DATEDIF($B5, TODAY(), "M") + 1 &gt;= COLUMN(F:F) - 5,
      INDEX('Most Recent Import'!$F5:$Q5, 1, MATCH(DATEDIF($B5, TODAY(), "M") + 1 - (COLUMN(F:F) - 5), {0, 1, 2, 3, 4, 5, 6, 7, 8, 9, 10, 11}, 0)),
      ""
    )
  )
</f>
        <v>1</v>
      </c>
      <c r="G5" s="412">
        <f t="array" ref="G5">IF(
    DATEDIF($B5, TODAY(), "M") &gt;= 11,
    INDEX('Most Recent Import'!$F5:$Q5, 1, MATCH(11 - (COLUMN(G:G) - 5), {0, 1, 2, 3, 4, 5, 6, 7, 8, 9, 10, 11}, 0)),
    IF(
      DATEDIF($B5, TODAY(), "M") + 1 &gt;= COLUMN(G:G) - 5,
      INDEX('Most Recent Import'!$F5:$Q5, 1, MATCH(DATEDIF($B5, TODAY(), "M") + 1 - (COLUMN(G:G) - 5), {0, 1, 2, 3, 4, 5, 6, 7, 8, 9, 10, 11}, 0)),
      ""
    )
  )
</f>
        <v>6</v>
      </c>
      <c r="H5" s="412">
        <f t="array" ref="H5">IF(
    DATEDIF($B5, TODAY(), "M") &gt;= 11,
    INDEX('Most Recent Import'!$F5:$Q5, 1, MATCH(11 - (COLUMN(H:H) - 5), {0, 1, 2, 3, 4, 5, 6, 7, 8, 9, 10, 11}, 0)),
    IF(
      DATEDIF($B5, TODAY(), "M") + 1 &gt;= COLUMN(H:H) - 5,
      INDEX('Most Recent Import'!$F5:$Q5, 1, MATCH(DATEDIF($B5, TODAY(), "M") + 1 - (COLUMN(H:H) - 5), {0, 1, 2, 3, 4, 5, 6, 7, 8, 9, 10, 11}, 0)),
      ""
    )
  )
</f>
        <v>29</v>
      </c>
      <c r="I5" s="412">
        <f t="array" ref="I5">IF(
    DATEDIF($B5, TODAY(), "M") &gt;= 11,
    INDEX('Most Recent Import'!$F5:$Q5, 1, MATCH(11 - (COLUMN(I:I) - 5), {0, 1, 2, 3, 4, 5, 6, 7, 8, 9, 10, 11}, 0)),
    IF(
      DATEDIF($B5, TODAY(), "M") + 1 &gt;= COLUMN(I:I) - 5,
      INDEX('Most Recent Import'!$F5:$Q5, 1, MATCH(DATEDIF($B5, TODAY(), "M") + 1 - (COLUMN(I:I) - 5), {0, 1, 2, 3, 4, 5, 6, 7, 8, 9, 10, 11}, 0)),
      ""
    )
  )
</f>
        <v>15</v>
      </c>
      <c r="J5" s="412">
        <f t="array" ref="J5">IF(
    DATEDIF($B5, TODAY(), "M") &gt;= 11,
    INDEX('Most Recent Import'!$F5:$Q5, 1, MATCH(11 - (COLUMN(J:J) - 5), {0, 1, 2, 3, 4, 5, 6, 7, 8, 9, 10, 11}, 0)),
    IF(
      DATEDIF($B5, TODAY(), "M") + 1 &gt;= COLUMN(J:J) - 5,
      INDEX('Most Recent Import'!$F5:$Q5, 1, MATCH(DATEDIF($B5, TODAY(), "M") + 1 - (COLUMN(J:J) - 5), {0, 1, 2, 3, 4, 5, 6, 7, 8, 9, 10, 11}, 0)),
      ""
    )
  )
</f>
        <v>11</v>
      </c>
      <c r="K5" s="412">
        <f t="array" ref="K5">IF(
    DATEDIF($B5, TODAY(), "M") &gt;= 11,
    INDEX('Most Recent Import'!$F5:$Q5, 1, MATCH(11 - (COLUMN(K:K) - 5), {0, 1, 2, 3, 4, 5, 6, 7, 8, 9, 10, 11}, 0)),
    IF(
      DATEDIF($B5, TODAY(), "M") + 1 &gt;= COLUMN(K:K) - 5,
      INDEX('Most Recent Import'!$F5:$Q5, 1, MATCH(DATEDIF($B5, TODAY(), "M") + 1 - (COLUMN(K:K) - 5), {0, 1, 2, 3, 4, 5, 6, 7, 8, 9, 10, 11}, 0)),
      ""
    )
  )
</f>
        <v>8</v>
      </c>
      <c r="L5" s="412">
        <f t="array" ref="L5">IF(
    DATEDIF($B5, TODAY(), "M") &gt;= 11,
    INDEX('Most Recent Import'!$F5:$Q5, 1, MATCH(11 - (COLUMN(L:L) - 5), {0, 1, 2, 3, 4, 5, 6, 7, 8, 9, 10, 11}, 0)),
    IF(
      DATEDIF($B5, TODAY(), "M") + 1 &gt;= COLUMN(L:L) - 5,
      INDEX('Most Recent Import'!$F5:$Q5, 1, MATCH(DATEDIF($B5, TODAY(), "M") + 1 - (COLUMN(L:L) - 5), {0, 1, 2, 3, 4, 5, 6, 7, 8, 9, 10, 11}, 0)),
      ""
    )
  )
</f>
        <v>24</v>
      </c>
      <c r="M5" s="412">
        <f t="array" ref="M5">IF(
    DATEDIF($B5, TODAY(), "M") &gt;= 11,
    INDEX('Most Recent Import'!$F5:$Q5, 1, MATCH(11 - (COLUMN(M:M) - 5), {0, 1, 2, 3, 4, 5, 6, 7, 8, 9, 10, 11}, 0)),
    IF(
      DATEDIF($B5, TODAY(), "M") + 1 &gt;= COLUMN(M:M) - 5,
      INDEX('Most Recent Import'!$F5:$Q5, 1, MATCH(DATEDIF($B5, TODAY(), "M") + 1 - (COLUMN(M:M) - 5), {0, 1, 2, 3, 4, 5, 6, 7, 8, 9, 10, 11}, 0)),
      ""
    )
  )
</f>
        <v>8</v>
      </c>
      <c r="N5" s="412">
        <f t="array" ref="N5">IF(
    DATEDIF($B5, TODAY(), "M") &gt;= 11,
    INDEX('Most Recent Import'!$F5:$Q5, 1, MATCH(11 - (COLUMN(N:N) - 5), {0, 1, 2, 3, 4, 5, 6, 7, 8, 9, 10, 11}, 0)),
    IF(
      DATEDIF($B5, TODAY(), "M") + 1 &gt;= COLUMN(N:N) - 5,
      INDEX('Most Recent Import'!$F5:$Q5, 1, MATCH(DATEDIF($B5, TODAY(), "M") + 1 - (COLUMN(N:N) - 5), {0, 1, 2, 3, 4, 5, 6, 7, 8, 9, 10, 11}, 0)),
      ""
    )
  )
</f>
        <v>15</v>
      </c>
      <c r="O5" s="412">
        <f t="array" ref="O5">IF(
    DATEDIF($B5, TODAY(), "M") &gt;= 11,
    INDEX('Most Recent Import'!$F5:$Q5, 1, MATCH(11 - (COLUMN(O:O) - 5), {0, 1, 2, 3, 4, 5, 6, 7, 8, 9, 10, 11}, 0)),
    IF(
      DATEDIF($B5, TODAY(), "M") + 1 &gt;= COLUMN(O:O) - 5,
      INDEX('Most Recent Import'!$F5:$Q5, 1, MATCH(DATEDIF($B5, TODAY(), "M") + 1 - (COLUMN(O:O) - 5), {0, 1, 2, 3, 4, 5, 6, 7, 8, 9, 10, 11}, 0)),
      ""
    )
  )
</f>
        <v>21</v>
      </c>
      <c r="P5" s="412">
        <f t="array" ref="P5">IF(
    DATEDIF($B5, TODAY(), "M") &gt;= 11,
    INDEX('Most Recent Import'!$F5:$Q5, 1, MATCH(11 - (COLUMN(P:P) - 5), {0, 1, 2, 3, 4, 5, 6, 7, 8, 9, 10, 11}, 0)),
    IF(
      DATEDIF($B5, TODAY(), "M") + 1 &gt;= COLUMN(P:P) - 5,
      INDEX('Most Recent Import'!$F5:$Q5, 1, MATCH(DATEDIF($B5, TODAY(), "M") + 1 - (COLUMN(P:P) - 5), {0, 1, 2, 3, 4, 5, 6, 7, 8, 9, 10, 11}, 0)),
      ""
    )
  )
</f>
        <v>9</v>
      </c>
    </row>
    <row r="6">
      <c r="A6" s="412" t="str">
        <f>'Most Recent Import'!A6</f>
        <v>webflow</v>
      </c>
      <c r="B6" s="413">
        <f>IF(ISBLANK(A6), "", DATE(LEFT('Most Recent Import'!C6, 4), RIGHT('Most Recent Import'!C6, 2), 1))</f>
        <v>45047</v>
      </c>
      <c r="C6" s="414">
        <f>'Most Recent Import'!B6</f>
        <v>20000</v>
      </c>
      <c r="D6" s="412">
        <f>'Most Recent Import'!D6</f>
        <v>10</v>
      </c>
      <c r="E6" s="412">
        <f t="array" ref="E6">IF(
    DATEDIF($B6, TODAY(), "M") &gt;= 11,
    INDEX('Most Recent Import'!$F6:$Q6, 1, MATCH(11 - (COLUMN(E:E) - 5), {0, 1, 2, 3, 4, 5, 6, 7, 8, 9, 10, 11}, 0)),
    IF(
      DATEDIF($B6, TODAY(), "M") + 1 &gt;= COLUMN(E:E) - 5,
      INDEX('Most Recent Import'!$F6:$Q6, 1, MATCH(DATEDIF($B6, TODAY(), "M") + 1 - (COLUMN(E:E) - 5), {0, 1, 2, 3, 4, 5, 6, 7, 8, 9, 10, 11}, 0)),
      ""
    )
  )
</f>
        <v>0</v>
      </c>
      <c r="F6" s="412">
        <f t="array" ref="F6">IF(
    DATEDIF($B6, TODAY(), "M") &gt;= 11,
    INDEX('Most Recent Import'!$F6:$Q6, 1, MATCH(11 - (COLUMN(F:F) - 5), {0, 1, 2, 3, 4, 5, 6, 7, 8, 9, 10, 11}, 0)),
    IF(
      DATEDIF($B6, TODAY(), "M") + 1 &gt;= COLUMN(F:F) - 5,
      INDEX('Most Recent Import'!$F6:$Q6, 1, MATCH(DATEDIF($B6, TODAY(), "M") + 1 - (COLUMN(F:F) - 5), {0, 1, 2, 3, 4, 5, 6, 7, 8, 9, 10, 11}, 0)),
      ""
    )
  )
</f>
        <v>1</v>
      </c>
      <c r="G6" s="412">
        <f t="array" ref="G6">IF(
    DATEDIF($B6, TODAY(), "M") &gt;= 11,
    INDEX('Most Recent Import'!$F6:$Q6, 1, MATCH(11 - (COLUMN(G:G) - 5), {0, 1, 2, 3, 4, 5, 6, 7, 8, 9, 10, 11}, 0)),
    IF(
      DATEDIF($B6, TODAY(), "M") + 1 &gt;= COLUMN(G:G) - 5,
      INDEX('Most Recent Import'!$F6:$Q6, 1, MATCH(DATEDIF($B6, TODAY(), "M") + 1 - (COLUMN(G:G) - 5), {0, 1, 2, 3, 4, 5, 6, 7, 8, 9, 10, 11}, 0)),
      ""
    )
  )
</f>
        <v>6</v>
      </c>
      <c r="H6" s="412">
        <f t="array" ref="H6">IF(
    DATEDIF($B6, TODAY(), "M") &gt;= 11,
    INDEX('Most Recent Import'!$F6:$Q6, 1, MATCH(11 - (COLUMN(H:H) - 5), {0, 1, 2, 3, 4, 5, 6, 7, 8, 9, 10, 11}, 0)),
    IF(
      DATEDIF($B6, TODAY(), "M") + 1 &gt;= COLUMN(H:H) - 5,
      INDEX('Most Recent Import'!$F6:$Q6, 1, MATCH(DATEDIF($B6, TODAY(), "M") + 1 - (COLUMN(H:H) - 5), {0, 1, 2, 3, 4, 5, 6, 7, 8, 9, 10, 11}, 0)),
      ""
    )
  )
</f>
        <v>7</v>
      </c>
      <c r="I6" s="412">
        <f t="array" ref="I6">IF(
    DATEDIF($B6, TODAY(), "M") &gt;= 11,
    INDEX('Most Recent Import'!$F6:$Q6, 1, MATCH(11 - (COLUMN(I:I) - 5), {0, 1, 2, 3, 4, 5, 6, 7, 8, 9, 10, 11}, 0)),
    IF(
      DATEDIF($B6, TODAY(), "M") + 1 &gt;= COLUMN(I:I) - 5,
      INDEX('Most Recent Import'!$F6:$Q6, 1, MATCH(DATEDIF($B6, TODAY(), "M") + 1 - (COLUMN(I:I) - 5), {0, 1, 2, 3, 4, 5, 6, 7, 8, 9, 10, 11}, 0)),
      ""
    )
  )
</f>
        <v>9</v>
      </c>
      <c r="J6" s="412">
        <f t="array" ref="J6">IF(
    DATEDIF($B6, TODAY(), "M") &gt;= 11,
    INDEX('Most Recent Import'!$F6:$Q6, 1, MATCH(11 - (COLUMN(J:J) - 5), {0, 1, 2, 3, 4, 5, 6, 7, 8, 9, 10, 11}, 0)),
    IF(
      DATEDIF($B6, TODAY(), "M") + 1 &gt;= COLUMN(J:J) - 5,
      INDEX('Most Recent Import'!$F6:$Q6, 1, MATCH(DATEDIF($B6, TODAY(), "M") + 1 - (COLUMN(J:J) - 5), {0, 1, 2, 3, 4, 5, 6, 7, 8, 9, 10, 11}, 0)),
      ""
    )
  )
</f>
        <v>6</v>
      </c>
      <c r="K6" s="412">
        <f t="array" ref="K6">IF(
    DATEDIF($B6, TODAY(), "M") &gt;= 11,
    INDEX('Most Recent Import'!$F6:$Q6, 1, MATCH(11 - (COLUMN(K:K) - 5), {0, 1, 2, 3, 4, 5, 6, 7, 8, 9, 10, 11}, 0)),
    IF(
      DATEDIF($B6, TODAY(), "M") + 1 &gt;= COLUMN(K:K) - 5,
      INDEX('Most Recent Import'!$F6:$Q6, 1, MATCH(DATEDIF($B6, TODAY(), "M") + 1 - (COLUMN(K:K) - 5), {0, 1, 2, 3, 4, 5, 6, 7, 8, 9, 10, 11}, 0)),
      ""
    )
  )
</f>
        <v>4</v>
      </c>
      <c r="L6" s="412">
        <f t="array" ref="L6">IF(
    DATEDIF($B6, TODAY(), "M") &gt;= 11,
    INDEX('Most Recent Import'!$F6:$Q6, 1, MATCH(11 - (COLUMN(L:L) - 5), {0, 1, 2, 3, 4, 5, 6, 7, 8, 9, 10, 11}, 0)),
    IF(
      DATEDIF($B6, TODAY(), "M") + 1 &gt;= COLUMN(L:L) - 5,
      INDEX('Most Recent Import'!$F6:$Q6, 1, MATCH(DATEDIF($B6, TODAY(), "M") + 1 - (COLUMN(L:L) - 5), {0, 1, 2, 3, 4, 5, 6, 7, 8, 9, 10, 11}, 0)),
      ""
    )
  )
</f>
        <v>6</v>
      </c>
      <c r="M6" s="412">
        <f t="array" ref="M6">IF(
    DATEDIF($B6, TODAY(), "M") &gt;= 11,
    INDEX('Most Recent Import'!$F6:$Q6, 1, MATCH(11 - (COLUMN(M:M) - 5), {0, 1, 2, 3, 4, 5, 6, 7, 8, 9, 10, 11}, 0)),
    IF(
      DATEDIF($B6, TODAY(), "M") + 1 &gt;= COLUMN(M:M) - 5,
      INDEX('Most Recent Import'!$F6:$Q6, 1, MATCH(DATEDIF($B6, TODAY(), "M") + 1 - (COLUMN(M:M) - 5), {0, 1, 2, 3, 4, 5, 6, 7, 8, 9, 10, 11}, 0)),
      ""
    )
  )
</f>
        <v>5</v>
      </c>
      <c r="N6" s="412">
        <f t="array" ref="N6">IF(
    DATEDIF($B6, TODAY(), "M") &gt;= 11,
    INDEX('Most Recent Import'!$F6:$Q6, 1, MATCH(11 - (COLUMN(N:N) - 5), {0, 1, 2, 3, 4, 5, 6, 7, 8, 9, 10, 11}, 0)),
    IF(
      DATEDIF($B6, TODAY(), "M") + 1 &gt;= COLUMN(N:N) - 5,
      INDEX('Most Recent Import'!$F6:$Q6, 1, MATCH(DATEDIF($B6, TODAY(), "M") + 1 - (COLUMN(N:N) - 5), {0, 1, 2, 3, 4, 5, 6, 7, 8, 9, 10, 11}, 0)),
      ""
    )
  )
</f>
        <v>3</v>
      </c>
      <c r="O6" s="412">
        <f t="array" ref="O6">IF(
    DATEDIF($B6, TODAY(), "M") &gt;= 11,
    INDEX('Most Recent Import'!$F6:$Q6, 1, MATCH(11 - (COLUMN(O:O) - 5), {0, 1, 2, 3, 4, 5, 6, 7, 8, 9, 10, 11}, 0)),
    IF(
      DATEDIF($B6, TODAY(), "M") + 1 &gt;= COLUMN(O:O) - 5,
      INDEX('Most Recent Import'!$F6:$Q6, 1, MATCH(DATEDIF($B6, TODAY(), "M") + 1 - (COLUMN(O:O) - 5), {0, 1, 2, 3, 4, 5, 6, 7, 8, 9, 10, 11}, 0)),
      ""
    )
  )
</f>
        <v>6</v>
      </c>
      <c r="P6" s="412">
        <f t="array" ref="P6">IF(
    DATEDIF($B6, TODAY(), "M") &gt;= 11,
    INDEX('Most Recent Import'!$F6:$Q6, 1, MATCH(11 - (COLUMN(P:P) - 5), {0, 1, 2, 3, 4, 5, 6, 7, 8, 9, 10, 11}, 0)),
    IF(
      DATEDIF($B6, TODAY(), "M") + 1 &gt;= COLUMN(P:P) - 5,
      INDEX('Most Recent Import'!$F6:$Q6, 1, MATCH(DATEDIF($B6, TODAY(), "M") + 1 - (COLUMN(P:P) - 5), {0, 1, 2, 3, 4, 5, 6, 7, 8, 9, 10, 11}, 0)),
      ""
    )
  )
</f>
        <v>2</v>
      </c>
    </row>
    <row r="7">
      <c r="A7" s="412" t="str">
        <f>'Most Recent Import'!A7</f>
        <v>gitlab</v>
      </c>
      <c r="B7" s="413">
        <f>IF(ISBLANK(A7), "", DATE(LEFT('Most Recent Import'!C7, 4), RIGHT('Most Recent Import'!C7, 2), 1))</f>
        <v>45078</v>
      </c>
      <c r="C7" s="414">
        <f>'Most Recent Import'!B7</f>
        <v>25000</v>
      </c>
      <c r="D7" s="412">
        <f>'Most Recent Import'!D7</f>
        <v>4</v>
      </c>
      <c r="E7" s="412">
        <f t="array" ref="E7">IF(
    DATEDIF($B7, TODAY(), "M") &gt;= 11,
    INDEX('Most Recent Import'!$F7:$Q7, 1, MATCH(11 - (COLUMN(E:E) - 5), {0, 1, 2, 3, 4, 5, 6, 7, 8, 9, 10, 11}, 0)),
    IF(
      DATEDIF($B7, TODAY(), "M") + 1 &gt;= COLUMN(E:E) - 5,
      INDEX('Most Recent Import'!$F7:$Q7, 1, MATCH(DATEDIF($B7, TODAY(), "M") + 1 - (COLUMN(E:E) - 5), {0, 1, 2, 3, 4, 5, 6, 7, 8, 9, 10, 11}, 0)),
      ""
    )
  )
</f>
        <v>0</v>
      </c>
      <c r="F7" s="412">
        <f t="array" ref="F7">IF(
    DATEDIF($B7, TODAY(), "M") &gt;= 11,
    INDEX('Most Recent Import'!$F7:$Q7, 1, MATCH(11 - (COLUMN(F:F) - 5), {0, 1, 2, 3, 4, 5, 6, 7, 8, 9, 10, 11}, 0)),
    IF(
      DATEDIF($B7, TODAY(), "M") + 1 &gt;= COLUMN(F:F) - 5,
      INDEX('Most Recent Import'!$F7:$Q7, 1, MATCH(DATEDIF($B7, TODAY(), "M") + 1 - (COLUMN(F:F) - 5), {0, 1, 2, 3, 4, 5, 6, 7, 8, 9, 10, 11}, 0)),
      ""
    )
  )
</f>
        <v>0</v>
      </c>
      <c r="G7" s="412">
        <f t="array" ref="G7">IF(
    DATEDIF($B7, TODAY(), "M") &gt;= 11,
    INDEX('Most Recent Import'!$F7:$Q7, 1, MATCH(11 - (COLUMN(G:G) - 5), {0, 1, 2, 3, 4, 5, 6, 7, 8, 9, 10, 11}, 0)),
    IF(
      DATEDIF($B7, TODAY(), "M") + 1 &gt;= COLUMN(G:G) - 5,
      INDEX('Most Recent Import'!$F7:$Q7, 1, MATCH(DATEDIF($B7, TODAY(), "M") + 1 - (COLUMN(G:G) - 5), {0, 1, 2, 3, 4, 5, 6, 7, 8, 9, 10, 11}, 0)),
      ""
    )
  )
</f>
        <v>0</v>
      </c>
      <c r="H7" s="412">
        <f t="array" ref="H7">IF(
    DATEDIF($B7, TODAY(), "M") &gt;= 11,
    INDEX('Most Recent Import'!$F7:$Q7, 1, MATCH(11 - (COLUMN(H:H) - 5), {0, 1, 2, 3, 4, 5, 6, 7, 8, 9, 10, 11}, 0)),
    IF(
      DATEDIF($B7, TODAY(), "M") + 1 &gt;= COLUMN(H:H) - 5,
      INDEX('Most Recent Import'!$F7:$Q7, 1, MATCH(DATEDIF($B7, TODAY(), "M") + 1 - (COLUMN(H:H) - 5), {0, 1, 2, 3, 4, 5, 6, 7, 8, 9, 10, 11}, 0)),
      ""
    )
  )
</f>
        <v>0</v>
      </c>
      <c r="I7" s="412">
        <f t="array" ref="I7">IF(
    DATEDIF($B7, TODAY(), "M") &gt;= 11,
    INDEX('Most Recent Import'!$F7:$Q7, 1, MATCH(11 - (COLUMN(I:I) - 5), {0, 1, 2, 3, 4, 5, 6, 7, 8, 9, 10, 11}, 0)),
    IF(
      DATEDIF($B7, TODAY(), "M") + 1 &gt;= COLUMN(I:I) - 5,
      INDEX('Most Recent Import'!$F7:$Q7, 1, MATCH(DATEDIF($B7, TODAY(), "M") + 1 - (COLUMN(I:I) - 5), {0, 1, 2, 3, 4, 5, 6, 7, 8, 9, 10, 11}, 0)),
      ""
    )
  )
</f>
        <v>5</v>
      </c>
      <c r="J7" s="412">
        <f t="array" ref="J7">IF(
    DATEDIF($B7, TODAY(), "M") &gt;= 11,
    INDEX('Most Recent Import'!$F7:$Q7, 1, MATCH(11 - (COLUMN(J:J) - 5), {0, 1, 2, 3, 4, 5, 6, 7, 8, 9, 10, 11}, 0)),
    IF(
      DATEDIF($B7, TODAY(), "M") + 1 &gt;= COLUMN(J:J) - 5,
      INDEX('Most Recent Import'!$F7:$Q7, 1, MATCH(DATEDIF($B7, TODAY(), "M") + 1 - (COLUMN(J:J) - 5), {0, 1, 2, 3, 4, 5, 6, 7, 8, 9, 10, 11}, 0)),
      ""
    )
  )
</f>
        <v>4</v>
      </c>
      <c r="K7" s="412">
        <f t="array" ref="K7">IF(
    DATEDIF($B7, TODAY(), "M") &gt;= 11,
    INDEX('Most Recent Import'!$F7:$Q7, 1, MATCH(11 - (COLUMN(K:K) - 5), {0, 1, 2, 3, 4, 5, 6, 7, 8, 9, 10, 11}, 0)),
    IF(
      DATEDIF($B7, TODAY(), "M") + 1 &gt;= COLUMN(K:K) - 5,
      INDEX('Most Recent Import'!$F7:$Q7, 1, MATCH(DATEDIF($B7, TODAY(), "M") + 1 - (COLUMN(K:K) - 5), {0, 1, 2, 3, 4, 5, 6, 7, 8, 9, 10, 11}, 0)),
      ""
    )
  )
</f>
        <v>3</v>
      </c>
      <c r="L7" s="412">
        <f t="array" ref="L7">IF(
    DATEDIF($B7, TODAY(), "M") &gt;= 11,
    INDEX('Most Recent Import'!$F7:$Q7, 1, MATCH(11 - (COLUMN(L:L) - 5), {0, 1, 2, 3, 4, 5, 6, 7, 8, 9, 10, 11}, 0)),
    IF(
      DATEDIF($B7, TODAY(), "M") + 1 &gt;= COLUMN(L:L) - 5,
      INDEX('Most Recent Import'!$F7:$Q7, 1, MATCH(DATEDIF($B7, TODAY(), "M") + 1 - (COLUMN(L:L) - 5), {0, 1, 2, 3, 4, 5, 6, 7, 8, 9, 10, 11}, 0)),
      ""
    )
  )
</f>
        <v>2</v>
      </c>
      <c r="M7" s="412">
        <f t="array" ref="M7">IF(
    DATEDIF($B7, TODAY(), "M") &gt;= 11,
    INDEX('Most Recent Import'!$F7:$Q7, 1, MATCH(11 - (COLUMN(M:M) - 5), {0, 1, 2, 3, 4, 5, 6, 7, 8, 9, 10, 11}, 0)),
    IF(
      DATEDIF($B7, TODAY(), "M") + 1 &gt;= COLUMN(M:M) - 5,
      INDEX('Most Recent Import'!$F7:$Q7, 1, MATCH(DATEDIF($B7, TODAY(), "M") + 1 - (COLUMN(M:M) - 5), {0, 1, 2, 3, 4, 5, 6, 7, 8, 9, 10, 11}, 0)),
      ""
    )
  )
</f>
        <v>3</v>
      </c>
      <c r="N7" s="412">
        <f t="array" ref="N7">IF(
    DATEDIF($B7, TODAY(), "M") &gt;= 11,
    INDEX('Most Recent Import'!$F7:$Q7, 1, MATCH(11 - (COLUMN(N:N) - 5), {0, 1, 2, 3, 4, 5, 6, 7, 8, 9, 10, 11}, 0)),
    IF(
      DATEDIF($B7, TODAY(), "M") + 1 &gt;= COLUMN(N:N) - 5,
      INDEX('Most Recent Import'!$F7:$Q7, 1, MATCH(DATEDIF($B7, TODAY(), "M") + 1 - (COLUMN(N:N) - 5), {0, 1, 2, 3, 4, 5, 6, 7, 8, 9, 10, 11}, 0)),
      ""
    )
  )
</f>
        <v>9</v>
      </c>
      <c r="O7" s="412">
        <f t="array" ref="O7">IF(
    DATEDIF($B7, TODAY(), "M") &gt;= 11,
    INDEX('Most Recent Import'!$F7:$Q7, 1, MATCH(11 - (COLUMN(O:O) - 5), {0, 1, 2, 3, 4, 5, 6, 7, 8, 9, 10, 11}, 0)),
    IF(
      DATEDIF($B7, TODAY(), "M") + 1 &gt;= COLUMN(O:O) - 5,
      INDEX('Most Recent Import'!$F7:$Q7, 1, MATCH(DATEDIF($B7, TODAY(), "M") + 1 - (COLUMN(O:O) - 5), {0, 1, 2, 3, 4, 5, 6, 7, 8, 9, 10, 11}, 0)),
      ""
    )
  )
</f>
        <v>8</v>
      </c>
      <c r="P7" s="412">
        <f t="array" ref="P7">IF(
    DATEDIF($B7, TODAY(), "M") &gt;= 11,
    INDEX('Most Recent Import'!$F7:$Q7, 1, MATCH(11 - (COLUMN(P:P) - 5), {0, 1, 2, 3, 4, 5, 6, 7, 8, 9, 10, 11}, 0)),
    IF(
      DATEDIF($B7, TODAY(), "M") + 1 &gt;= COLUMN(P:P) - 5,
      INDEX('Most Recent Import'!$F7:$Q7, 1, MATCH(DATEDIF($B7, TODAY(), "M") + 1 - (COLUMN(P:P) - 5), {0, 1, 2, 3, 4, 5, 6, 7, 8, 9, 10, 11}, 0)),
      ""
    )
  )
</f>
        <v>10</v>
      </c>
    </row>
    <row r="8">
      <c r="A8" s="412" t="str">
        <f>'Most Recent Import'!A8</f>
        <v>chegg</v>
      </c>
      <c r="B8" s="413">
        <f>IF(ISBLANK(A8), "", DATE(LEFT('Most Recent Import'!C8, 4), RIGHT('Most Recent Import'!C8, 2), 1))</f>
        <v>45139</v>
      </c>
      <c r="C8" s="414">
        <f>'Most Recent Import'!B8</f>
        <v>25000</v>
      </c>
      <c r="D8" s="412">
        <f>'Most Recent Import'!D8</f>
        <v>7</v>
      </c>
      <c r="E8" s="412">
        <f t="array" ref="E8">IF(
    DATEDIF($B8, TODAY(), "M") &gt;= 11,
    INDEX('Most Recent Import'!$F8:$Q8, 1, MATCH(11 - (COLUMN(E:E) - 5), {0, 1, 2, 3, 4, 5, 6, 7, 8, 9, 10, 11}, 0)),
    IF(
      DATEDIF($B8, TODAY(), "M") + 1 &gt;= COLUMN(E:E) - 5,
      INDEX('Most Recent Import'!$F8:$Q8, 1, MATCH(DATEDIF($B8, TODAY(), "M") + 1 - (COLUMN(E:E) - 5), {0, 1, 2, 3, 4, 5, 6, 7, 8, 9, 10, 11}, 0)),
      ""
    )
  )
</f>
        <v>0</v>
      </c>
      <c r="F8" s="412">
        <f t="array" ref="F8">IF(
    DATEDIF($B8, TODAY(), "M") &gt;= 11,
    INDEX('Most Recent Import'!$F8:$Q8, 1, MATCH(11 - (COLUMN(F:F) - 5), {0, 1, 2, 3, 4, 5, 6, 7, 8, 9, 10, 11}, 0)),
    IF(
      DATEDIF($B8, TODAY(), "M") + 1 &gt;= COLUMN(F:F) - 5,
      INDEX('Most Recent Import'!$F8:$Q8, 1, MATCH(DATEDIF($B8, TODAY(), "M") + 1 - (COLUMN(F:F) - 5), {0, 1, 2, 3, 4, 5, 6, 7, 8, 9, 10, 11}, 0)),
      ""
    )
  )
</f>
        <v>0</v>
      </c>
      <c r="G8" s="412">
        <f t="array" ref="G8">IF(
    DATEDIF($B8, TODAY(), "M") &gt;= 11,
    INDEX('Most Recent Import'!$F8:$Q8, 1, MATCH(11 - (COLUMN(G:G) - 5), {0, 1, 2, 3, 4, 5, 6, 7, 8, 9, 10, 11}, 0)),
    IF(
      DATEDIF($B8, TODAY(), "M") + 1 &gt;= COLUMN(G:G) - 5,
      INDEX('Most Recent Import'!$F8:$Q8, 1, MATCH(DATEDIF($B8, TODAY(), "M") + 1 - (COLUMN(G:G) - 5), {0, 1, 2, 3, 4, 5, 6, 7, 8, 9, 10, 11}, 0)),
      ""
    )
  )
</f>
        <v>0</v>
      </c>
      <c r="H8" s="412">
        <f t="array" ref="H8">IF(
    DATEDIF($B8, TODAY(), "M") &gt;= 11,
    INDEX('Most Recent Import'!$F8:$Q8, 1, MATCH(11 - (COLUMN(H:H) - 5), {0, 1, 2, 3, 4, 5, 6, 7, 8, 9, 10, 11}, 0)),
    IF(
      DATEDIF($B8, TODAY(), "M") + 1 &gt;= COLUMN(H:H) - 5,
      INDEX('Most Recent Import'!$F8:$Q8, 1, MATCH(DATEDIF($B8, TODAY(), "M") + 1 - (COLUMN(H:H) - 5), {0, 1, 2, 3, 4, 5, 6, 7, 8, 9, 10, 11}, 0)),
      ""
    )
  )
</f>
        <v>0</v>
      </c>
      <c r="I8" s="412">
        <f t="array" ref="I8">IF(
    DATEDIF($B8, TODAY(), "M") &gt;= 11,
    INDEX('Most Recent Import'!$F8:$Q8, 1, MATCH(11 - (COLUMN(I:I) - 5), {0, 1, 2, 3, 4, 5, 6, 7, 8, 9, 10, 11}, 0)),
    IF(
      DATEDIF($B8, TODAY(), "M") + 1 &gt;= COLUMN(I:I) - 5,
      INDEX('Most Recent Import'!$F8:$Q8, 1, MATCH(DATEDIF($B8, TODAY(), "M") + 1 - (COLUMN(I:I) - 5), {0, 1, 2, 3, 4, 5, 6, 7, 8, 9, 10, 11}, 0)),
      ""
    )
  )
</f>
        <v>1</v>
      </c>
      <c r="J8" s="412">
        <f t="array" ref="J8">IF(
    DATEDIF($B8, TODAY(), "M") &gt;= 11,
    INDEX('Most Recent Import'!$F8:$Q8, 1, MATCH(11 - (COLUMN(J:J) - 5), {0, 1, 2, 3, 4, 5, 6, 7, 8, 9, 10, 11}, 0)),
    IF(
      DATEDIF($B8, TODAY(), "M") + 1 &gt;= COLUMN(J:J) - 5,
      INDEX('Most Recent Import'!$F8:$Q8, 1, MATCH(DATEDIF($B8, TODAY(), "M") + 1 - (COLUMN(J:J) - 5), {0, 1, 2, 3, 4, 5, 6, 7, 8, 9, 10, 11}, 0)),
      ""
    )
  )
</f>
        <v>7</v>
      </c>
      <c r="K8" s="412">
        <f t="array" ref="K8">IF(
    DATEDIF($B8, TODAY(), "M") &gt;= 11,
    INDEX('Most Recent Import'!$F8:$Q8, 1, MATCH(11 - (COLUMN(K:K) - 5), {0, 1, 2, 3, 4, 5, 6, 7, 8, 9, 10, 11}, 0)),
    IF(
      DATEDIF($B8, TODAY(), "M") + 1 &gt;= COLUMN(K:K) - 5,
      INDEX('Most Recent Import'!$F8:$Q8, 1, MATCH(DATEDIF($B8, TODAY(), "M") + 1 - (COLUMN(K:K) - 5), {0, 1, 2, 3, 4, 5, 6, 7, 8, 9, 10, 11}, 0)),
      ""
    )
  )
</f>
        <v>1</v>
      </c>
      <c r="L8" s="412">
        <f t="array" ref="L8">IF(
    DATEDIF($B8, TODAY(), "M") &gt;= 11,
    INDEX('Most Recent Import'!$F8:$Q8, 1, MATCH(11 - (COLUMN(L:L) - 5), {0, 1, 2, 3, 4, 5, 6, 7, 8, 9, 10, 11}, 0)),
    IF(
      DATEDIF($B8, TODAY(), "M") + 1 &gt;= COLUMN(L:L) - 5,
      INDEX('Most Recent Import'!$F8:$Q8, 1, MATCH(DATEDIF($B8, TODAY(), "M") + 1 - (COLUMN(L:L) - 5), {0, 1, 2, 3, 4, 5, 6, 7, 8, 9, 10, 11}, 0)),
      ""
    )
  )
</f>
        <v>4</v>
      </c>
      <c r="M8" s="412">
        <f t="array" ref="M8">IF(
    DATEDIF($B8, TODAY(), "M") &gt;= 11,
    INDEX('Most Recent Import'!$F8:$Q8, 1, MATCH(11 - (COLUMN(M:M) - 5), {0, 1, 2, 3, 4, 5, 6, 7, 8, 9, 10, 11}, 0)),
    IF(
      DATEDIF($B8, TODAY(), "M") + 1 &gt;= COLUMN(M:M) - 5,
      INDEX('Most Recent Import'!$F8:$Q8, 1, MATCH(DATEDIF($B8, TODAY(), "M") + 1 - (COLUMN(M:M) - 5), {0, 1, 2, 3, 4, 5, 6, 7, 8, 9, 10, 11}, 0)),
      ""
    )
  )
</f>
        <v>5</v>
      </c>
      <c r="N8" s="412">
        <f t="array" ref="N8">IF(
    DATEDIF($B8, TODAY(), "M") &gt;= 11,
    INDEX('Most Recent Import'!$F8:$Q8, 1, MATCH(11 - (COLUMN(N:N) - 5), {0, 1, 2, 3, 4, 5, 6, 7, 8, 9, 10, 11}, 0)),
    IF(
      DATEDIF($B8, TODAY(), "M") + 1 &gt;= COLUMN(N:N) - 5,
      INDEX('Most Recent Import'!$F8:$Q8, 1, MATCH(DATEDIF($B8, TODAY(), "M") + 1 - (COLUMN(N:N) - 5), {0, 1, 2, 3, 4, 5, 6, 7, 8, 9, 10, 11}, 0)),
      ""
    )
  )
</f>
        <v>4</v>
      </c>
      <c r="O8" s="412">
        <f t="array" ref="O8">IF(
    DATEDIF($B8, TODAY(), "M") &gt;= 11,
    INDEX('Most Recent Import'!$F8:$Q8, 1, MATCH(11 - (COLUMN(O:O) - 5), {0, 1, 2, 3, 4, 5, 6, 7, 8, 9, 10, 11}, 0)),
    IF(
      DATEDIF($B8, TODAY(), "M") + 1 &gt;= COLUMN(O:O) - 5,
      INDEX('Most Recent Import'!$F8:$Q8, 1, MATCH(DATEDIF($B8, TODAY(), "M") + 1 - (COLUMN(O:O) - 5), {0, 1, 2, 3, 4, 5, 6, 7, 8, 9, 10, 11}, 0)),
      ""
    )
  )
</f>
        <v>0</v>
      </c>
      <c r="P8" s="412">
        <f t="array" ref="P8">IF(
    DATEDIF($B8, TODAY(), "M") &gt;= 11,
    INDEX('Most Recent Import'!$F8:$Q8, 1, MATCH(11 - (COLUMN(P:P) - 5), {0, 1, 2, 3, 4, 5, 6, 7, 8, 9, 10, 11}, 0)),
    IF(
      DATEDIF($B8, TODAY(), "M") + 1 &gt;= COLUMN(P:P) - 5,
      INDEX('Most Recent Import'!$F8:$Q8, 1, MATCH(DATEDIF($B8, TODAY(), "M") + 1 - (COLUMN(P:P) - 5), {0, 1, 2, 3, 4, 5, 6, 7, 8, 9, 10, 11}, 0)),
      ""
    )
  )
</f>
        <v>3</v>
      </c>
    </row>
    <row r="9">
      <c r="A9" s="412" t="str">
        <f>'Most Recent Import'!A9</f>
        <v>ezcater</v>
      </c>
      <c r="B9" s="413">
        <f>IF(ISBLANK(A9), "", DATE(LEFT('Most Recent Import'!C9, 4), RIGHT('Most Recent Import'!C9, 2), 1))</f>
        <v>45139</v>
      </c>
      <c r="C9" s="414">
        <f>'Most Recent Import'!B9</f>
        <v>20000</v>
      </c>
      <c r="D9" s="412">
        <f>'Most Recent Import'!D9</f>
        <v>10</v>
      </c>
      <c r="E9" s="412">
        <f t="array" ref="E9">IF(
    DATEDIF($B9, TODAY(), "M") &gt;= 11,
    INDEX('Most Recent Import'!$F9:$Q9, 1, MATCH(11 - (COLUMN(E:E) - 5), {0, 1, 2, 3, 4, 5, 6, 7, 8, 9, 10, 11}, 0)),
    IF(
      DATEDIF($B9, TODAY(), "M") + 1 &gt;= COLUMN(E:E) - 5,
      INDEX('Most Recent Import'!$F9:$Q9, 1, MATCH(DATEDIF($B9, TODAY(), "M") + 1 - (COLUMN(E:E) - 5), {0, 1, 2, 3, 4, 5, 6, 7, 8, 9, 10, 11}, 0)),
      ""
    )
  )
</f>
        <v>0</v>
      </c>
      <c r="F9" s="412">
        <f t="array" ref="F9">IF(
    DATEDIF($B9, TODAY(), "M") &gt;= 11,
    INDEX('Most Recent Import'!$F9:$Q9, 1, MATCH(11 - (COLUMN(F:F) - 5), {0, 1, 2, 3, 4, 5, 6, 7, 8, 9, 10, 11}, 0)),
    IF(
      DATEDIF($B9, TODAY(), "M") + 1 &gt;= COLUMN(F:F) - 5,
      INDEX('Most Recent Import'!$F9:$Q9, 1, MATCH(DATEDIF($B9, TODAY(), "M") + 1 - (COLUMN(F:F) - 5), {0, 1, 2, 3, 4, 5, 6, 7, 8, 9, 10, 11}, 0)),
      ""
    )
  )
</f>
        <v>0</v>
      </c>
      <c r="G9" s="412">
        <f t="array" ref="G9">IF(
    DATEDIF($B9, TODAY(), "M") &gt;= 11,
    INDEX('Most Recent Import'!$F9:$Q9, 1, MATCH(11 - (COLUMN(G:G) - 5), {0, 1, 2, 3, 4, 5, 6, 7, 8, 9, 10, 11}, 0)),
    IF(
      DATEDIF($B9, TODAY(), "M") + 1 &gt;= COLUMN(G:G) - 5,
      INDEX('Most Recent Import'!$F9:$Q9, 1, MATCH(DATEDIF($B9, TODAY(), "M") + 1 - (COLUMN(G:G) - 5), {0, 1, 2, 3, 4, 5, 6, 7, 8, 9, 10, 11}, 0)),
      ""
    )
  )
</f>
        <v>0</v>
      </c>
      <c r="H9" s="412">
        <f t="array" ref="H9">IF(
    DATEDIF($B9, TODAY(), "M") &gt;= 11,
    INDEX('Most Recent Import'!$F9:$Q9, 1, MATCH(11 - (COLUMN(H:H) - 5), {0, 1, 2, 3, 4, 5, 6, 7, 8, 9, 10, 11}, 0)),
    IF(
      DATEDIF($B9, TODAY(), "M") + 1 &gt;= COLUMN(H:H) - 5,
      INDEX('Most Recent Import'!$F9:$Q9, 1, MATCH(DATEDIF($B9, TODAY(), "M") + 1 - (COLUMN(H:H) - 5), {0, 1, 2, 3, 4, 5, 6, 7, 8, 9, 10, 11}, 0)),
      ""
    )
  )
</f>
        <v>0</v>
      </c>
      <c r="I9" s="412">
        <f t="array" ref="I9">IF(
    DATEDIF($B9, TODAY(), "M") &gt;= 11,
    INDEX('Most Recent Import'!$F9:$Q9, 1, MATCH(11 - (COLUMN(I:I) - 5), {0, 1, 2, 3, 4, 5, 6, 7, 8, 9, 10, 11}, 0)),
    IF(
      DATEDIF($B9, TODAY(), "M") + 1 &gt;= COLUMN(I:I) - 5,
      INDEX('Most Recent Import'!$F9:$Q9, 1, MATCH(DATEDIF($B9, TODAY(), "M") + 1 - (COLUMN(I:I) - 5), {0, 1, 2, 3, 4, 5, 6, 7, 8, 9, 10, 11}, 0)),
      ""
    )
  )
</f>
        <v>8</v>
      </c>
      <c r="J9" s="412">
        <f t="array" ref="J9">IF(
    DATEDIF($B9, TODAY(), "M") &gt;= 11,
    INDEX('Most Recent Import'!$F9:$Q9, 1, MATCH(11 - (COLUMN(J:J) - 5), {0, 1, 2, 3, 4, 5, 6, 7, 8, 9, 10, 11}, 0)),
    IF(
      DATEDIF($B9, TODAY(), "M") + 1 &gt;= COLUMN(J:J) - 5,
      INDEX('Most Recent Import'!$F9:$Q9, 1, MATCH(DATEDIF($B9, TODAY(), "M") + 1 - (COLUMN(J:J) - 5), {0, 1, 2, 3, 4, 5, 6, 7, 8, 9, 10, 11}, 0)),
      ""
    )
  )
</f>
        <v>5</v>
      </c>
      <c r="K9" s="412">
        <f t="array" ref="K9">IF(
    DATEDIF($B9, TODAY(), "M") &gt;= 11,
    INDEX('Most Recent Import'!$F9:$Q9, 1, MATCH(11 - (COLUMN(K:K) - 5), {0, 1, 2, 3, 4, 5, 6, 7, 8, 9, 10, 11}, 0)),
    IF(
      DATEDIF($B9, TODAY(), "M") + 1 &gt;= COLUMN(K:K) - 5,
      INDEX('Most Recent Import'!$F9:$Q9, 1, MATCH(DATEDIF($B9, TODAY(), "M") + 1 - (COLUMN(K:K) - 5), {0, 1, 2, 3, 4, 5, 6, 7, 8, 9, 10, 11}, 0)),
      ""
    )
  )
</f>
        <v>7</v>
      </c>
      <c r="L9" s="412">
        <f t="array" ref="L9">IF(
    DATEDIF($B9, TODAY(), "M") &gt;= 11,
    INDEX('Most Recent Import'!$F9:$Q9, 1, MATCH(11 - (COLUMN(L:L) - 5), {0, 1, 2, 3, 4, 5, 6, 7, 8, 9, 10, 11}, 0)),
    IF(
      DATEDIF($B9, TODAY(), "M") + 1 &gt;= COLUMN(L:L) - 5,
      INDEX('Most Recent Import'!$F9:$Q9, 1, MATCH(DATEDIF($B9, TODAY(), "M") + 1 - (COLUMN(L:L) - 5), {0, 1, 2, 3, 4, 5, 6, 7, 8, 9, 10, 11}, 0)),
      ""
    )
  )
</f>
        <v>6</v>
      </c>
      <c r="M9" s="412">
        <f t="array" ref="M9">IF(
    DATEDIF($B9, TODAY(), "M") &gt;= 11,
    INDEX('Most Recent Import'!$F9:$Q9, 1, MATCH(11 - (COLUMN(M:M) - 5), {0, 1, 2, 3, 4, 5, 6, 7, 8, 9, 10, 11}, 0)),
    IF(
      DATEDIF($B9, TODAY(), "M") + 1 &gt;= COLUMN(M:M) - 5,
      INDEX('Most Recent Import'!$F9:$Q9, 1, MATCH(DATEDIF($B9, TODAY(), "M") + 1 - (COLUMN(M:M) - 5), {0, 1, 2, 3, 4, 5, 6, 7, 8, 9, 10, 11}, 0)),
      ""
    )
  )
</f>
        <v>2</v>
      </c>
      <c r="N9" s="412">
        <f t="array" ref="N9">IF(
    DATEDIF($B9, TODAY(), "M") &gt;= 11,
    INDEX('Most Recent Import'!$F9:$Q9, 1, MATCH(11 - (COLUMN(N:N) - 5), {0, 1, 2, 3, 4, 5, 6, 7, 8, 9, 10, 11}, 0)),
    IF(
      DATEDIF($B9, TODAY(), "M") + 1 &gt;= COLUMN(N:N) - 5,
      INDEX('Most Recent Import'!$F9:$Q9, 1, MATCH(DATEDIF($B9, TODAY(), "M") + 1 - (COLUMN(N:N) - 5), {0, 1, 2, 3, 4, 5, 6, 7, 8, 9, 10, 11}, 0)),
      ""
    )
  )
</f>
        <v>10</v>
      </c>
      <c r="O9" s="412">
        <f t="array" ref="O9">IF(
    DATEDIF($B9, TODAY(), "M") &gt;= 11,
    INDEX('Most Recent Import'!$F9:$Q9, 1, MATCH(11 - (COLUMN(O:O) - 5), {0, 1, 2, 3, 4, 5, 6, 7, 8, 9, 10, 11}, 0)),
    IF(
      DATEDIF($B9, TODAY(), "M") + 1 &gt;= COLUMN(O:O) - 5,
      INDEX('Most Recent Import'!$F9:$Q9, 1, MATCH(DATEDIF($B9, TODAY(), "M") + 1 - (COLUMN(O:O) - 5), {0, 1, 2, 3, 4, 5, 6, 7, 8, 9, 10, 11}, 0)),
      ""
    )
  )
</f>
        <v>17</v>
      </c>
      <c r="P9" s="412">
        <f t="array" ref="P9">IF(
    DATEDIF($B9, TODAY(), "M") &gt;= 11,
    INDEX('Most Recent Import'!$F9:$Q9, 1, MATCH(11 - (COLUMN(P:P) - 5), {0, 1, 2, 3, 4, 5, 6, 7, 8, 9, 10, 11}, 0)),
    IF(
      DATEDIF($B9, TODAY(), "M") + 1 &gt;= COLUMN(P:P) - 5,
      INDEX('Most Recent Import'!$F9:$Q9, 1, MATCH(DATEDIF($B9, TODAY(), "M") + 1 - (COLUMN(P:P) - 5), {0, 1, 2, 3, 4, 5, 6, 7, 8, 9, 10, 11}, 0)),
      ""
    )
  )
</f>
        <v>15</v>
      </c>
    </row>
    <row r="10">
      <c r="A10" s="412" t="str">
        <f>'Most Recent Import'!A10</f>
        <v>impact</v>
      </c>
      <c r="B10" s="413">
        <f>IF(ISBLANK(A10), "", DATE(LEFT('Most Recent Import'!C10, 4), RIGHT('Most Recent Import'!C10, 2), 1))</f>
        <v>45139</v>
      </c>
      <c r="C10" s="414">
        <f>'Most Recent Import'!B10</f>
        <v>5000</v>
      </c>
      <c r="D10" s="412">
        <f>'Most Recent Import'!D10</f>
        <v>2</v>
      </c>
      <c r="E10" s="412">
        <f t="array" ref="E10">IF(
    DATEDIF($B10, TODAY(), "M") &gt;= 11,
    INDEX('Most Recent Import'!$F10:$Q10, 1, MATCH(11 - (COLUMN(E:E) - 5), {0, 1, 2, 3, 4, 5, 6, 7, 8, 9, 10, 11}, 0)),
    IF(
      DATEDIF($B10, TODAY(), "M") + 1 &gt;= COLUMN(E:E) - 5,
      INDEX('Most Recent Import'!$F10:$Q10, 1, MATCH(DATEDIF($B10, TODAY(), "M") + 1 - (COLUMN(E:E) - 5), {0, 1, 2, 3, 4, 5, 6, 7, 8, 9, 10, 11}, 0)),
      ""
    )
  )
</f>
        <v>0</v>
      </c>
      <c r="F10" s="412">
        <f t="array" ref="F10">IF(
    DATEDIF($B10, TODAY(), "M") &gt;= 11,
    INDEX('Most Recent Import'!$F10:$Q10, 1, MATCH(11 - (COLUMN(F:F) - 5), {0, 1, 2, 3, 4, 5, 6, 7, 8, 9, 10, 11}, 0)),
    IF(
      DATEDIF($B10, TODAY(), "M") + 1 &gt;= COLUMN(F:F) - 5,
      INDEX('Most Recent Import'!$F10:$Q10, 1, MATCH(DATEDIF($B10, TODAY(), "M") + 1 - (COLUMN(F:F) - 5), {0, 1, 2, 3, 4, 5, 6, 7, 8, 9, 10, 11}, 0)),
      ""
    )
  )
</f>
        <v>0</v>
      </c>
      <c r="G10" s="412">
        <f t="array" ref="G10">IF(
    DATEDIF($B10, TODAY(), "M") &gt;= 11,
    INDEX('Most Recent Import'!$F10:$Q10, 1, MATCH(11 - (COLUMN(G:G) - 5), {0, 1, 2, 3, 4, 5, 6, 7, 8, 9, 10, 11}, 0)),
    IF(
      DATEDIF($B10, TODAY(), "M") + 1 &gt;= COLUMN(G:G) - 5,
      INDEX('Most Recent Import'!$F10:$Q10, 1, MATCH(DATEDIF($B10, TODAY(), "M") + 1 - (COLUMN(G:G) - 5), {0, 1, 2, 3, 4, 5, 6, 7, 8, 9, 10, 11}, 0)),
      ""
    )
  )
</f>
        <v>0</v>
      </c>
      <c r="H10" s="412">
        <f t="array" ref="H10">IF(
    DATEDIF($B10, TODAY(), "M") &gt;= 11,
    INDEX('Most Recent Import'!$F10:$Q10, 1, MATCH(11 - (COLUMN(H:H) - 5), {0, 1, 2, 3, 4, 5, 6, 7, 8, 9, 10, 11}, 0)),
    IF(
      DATEDIF($B10, TODAY(), "M") + 1 &gt;= COLUMN(H:H) - 5,
      INDEX('Most Recent Import'!$F10:$Q10, 1, MATCH(DATEDIF($B10, TODAY(), "M") + 1 - (COLUMN(H:H) - 5), {0, 1, 2, 3, 4, 5, 6, 7, 8, 9, 10, 11}, 0)),
      ""
    )
  )
</f>
        <v>0</v>
      </c>
      <c r="I10" s="412">
        <f t="array" ref="I10">IF(
    DATEDIF($B10, TODAY(), "M") &gt;= 11,
    INDEX('Most Recent Import'!$F10:$Q10, 1, MATCH(11 - (COLUMN(I:I) - 5), {0, 1, 2, 3, 4, 5, 6, 7, 8, 9, 10, 11}, 0)),
    IF(
      DATEDIF($B10, TODAY(), "M") + 1 &gt;= COLUMN(I:I) - 5,
      INDEX('Most Recent Import'!$F10:$Q10, 1, MATCH(DATEDIF($B10, TODAY(), "M") + 1 - (COLUMN(I:I) - 5), {0, 1, 2, 3, 4, 5, 6, 7, 8, 9, 10, 11}, 0)),
      ""
    )
  )
</f>
        <v>1</v>
      </c>
      <c r="J10" s="412">
        <f t="array" ref="J10">IF(
    DATEDIF($B10, TODAY(), "M") &gt;= 11,
    INDEX('Most Recent Import'!$F10:$Q10, 1, MATCH(11 - (COLUMN(J:J) - 5), {0, 1, 2, 3, 4, 5, 6, 7, 8, 9, 10, 11}, 0)),
    IF(
      DATEDIF($B10, TODAY(), "M") + 1 &gt;= COLUMN(J:J) - 5,
      INDEX('Most Recent Import'!$F10:$Q10, 1, MATCH(DATEDIF($B10, TODAY(), "M") + 1 - (COLUMN(J:J) - 5), {0, 1, 2, 3, 4, 5, 6, 7, 8, 9, 10, 11}, 0)),
      ""
    )
  )
</f>
        <v>4</v>
      </c>
      <c r="K10" s="412">
        <f t="array" ref="K10">IF(
    DATEDIF($B10, TODAY(), "M") &gt;= 11,
    INDEX('Most Recent Import'!$F10:$Q10, 1, MATCH(11 - (COLUMN(K:K) - 5), {0, 1, 2, 3, 4, 5, 6, 7, 8, 9, 10, 11}, 0)),
    IF(
      DATEDIF($B10, TODAY(), "M") + 1 &gt;= COLUMN(K:K) - 5,
      INDEX('Most Recent Import'!$F10:$Q10, 1, MATCH(DATEDIF($B10, TODAY(), "M") + 1 - (COLUMN(K:K) - 5), {0, 1, 2, 3, 4, 5, 6, 7, 8, 9, 10, 11}, 0)),
      ""
    )
  )
</f>
        <v>6</v>
      </c>
      <c r="L10" s="412">
        <f t="array" ref="L10">IF(
    DATEDIF($B10, TODAY(), "M") &gt;= 11,
    INDEX('Most Recent Import'!$F10:$Q10, 1, MATCH(11 - (COLUMN(L:L) - 5), {0, 1, 2, 3, 4, 5, 6, 7, 8, 9, 10, 11}, 0)),
    IF(
      DATEDIF($B10, TODAY(), "M") + 1 &gt;= COLUMN(L:L) - 5,
      INDEX('Most Recent Import'!$F10:$Q10, 1, MATCH(DATEDIF($B10, TODAY(), "M") + 1 - (COLUMN(L:L) - 5), {0, 1, 2, 3, 4, 5, 6, 7, 8, 9, 10, 11}, 0)),
      ""
    )
  )
</f>
        <v>1</v>
      </c>
      <c r="M10" s="412">
        <f t="array" ref="M10">IF(
    DATEDIF($B10, TODAY(), "M") &gt;= 11,
    INDEX('Most Recent Import'!$F10:$Q10, 1, MATCH(11 - (COLUMN(M:M) - 5), {0, 1, 2, 3, 4, 5, 6, 7, 8, 9, 10, 11}, 0)),
    IF(
      DATEDIF($B10, TODAY(), "M") + 1 &gt;= COLUMN(M:M) - 5,
      INDEX('Most Recent Import'!$F10:$Q10, 1, MATCH(DATEDIF($B10, TODAY(), "M") + 1 - (COLUMN(M:M) - 5), {0, 1, 2, 3, 4, 5, 6, 7, 8, 9, 10, 11}, 0)),
      ""
    )
  )
</f>
        <v>0</v>
      </c>
      <c r="N10" s="412">
        <f t="array" ref="N10">IF(
    DATEDIF($B10, TODAY(), "M") &gt;= 11,
    INDEX('Most Recent Import'!$F10:$Q10, 1, MATCH(11 - (COLUMN(N:N) - 5), {0, 1, 2, 3, 4, 5, 6, 7, 8, 9, 10, 11}, 0)),
    IF(
      DATEDIF($B10, TODAY(), "M") + 1 &gt;= COLUMN(N:N) - 5,
      INDEX('Most Recent Import'!$F10:$Q10, 1, MATCH(DATEDIF($B10, TODAY(), "M") + 1 - (COLUMN(N:N) - 5), {0, 1, 2, 3, 4, 5, 6, 7, 8, 9, 10, 11}, 0)),
      ""
    )
  )
</f>
        <v>0</v>
      </c>
      <c r="O10" s="412">
        <f t="array" ref="O10">IF(
    DATEDIF($B10, TODAY(), "M") &gt;= 11,
    INDEX('Most Recent Import'!$F10:$Q10, 1, MATCH(11 - (COLUMN(O:O) - 5), {0, 1, 2, 3, 4, 5, 6, 7, 8, 9, 10, 11}, 0)),
    IF(
      DATEDIF($B10, TODAY(), "M") + 1 &gt;= COLUMN(O:O) - 5,
      INDEX('Most Recent Import'!$F10:$Q10, 1, MATCH(DATEDIF($B10, TODAY(), "M") + 1 - (COLUMN(O:O) - 5), {0, 1, 2, 3, 4, 5, 6, 7, 8, 9, 10, 11}, 0)),
      ""
    )
  )
</f>
        <v>4</v>
      </c>
      <c r="P10" s="412">
        <f t="array" ref="P10">IF(
    DATEDIF($B10, TODAY(), "M") &gt;= 11,
    INDEX('Most Recent Import'!$F10:$Q10, 1, MATCH(11 - (COLUMN(P:P) - 5), {0, 1, 2, 3, 4, 5, 6, 7, 8, 9, 10, 11}, 0)),
    IF(
      DATEDIF($B10, TODAY(), "M") + 1 &gt;= COLUMN(P:P) - 5,
      INDEX('Most Recent Import'!$F10:$Q10, 1, MATCH(DATEDIF($B10, TODAY(), "M") + 1 - (COLUMN(P:P) - 5), {0, 1, 2, 3, 4, 5, 6, 7, 8, 9, 10, 11}, 0)),
      ""
    )
  )
</f>
        <v>0</v>
      </c>
    </row>
    <row r="11">
      <c r="A11" s="412" t="str">
        <f>'Most Recent Import'!A11</f>
        <v>usertesting</v>
      </c>
      <c r="B11" s="413">
        <f>IF(ISBLANK(A11), "", DATE(LEFT('Most Recent Import'!C11, 4), RIGHT('Most Recent Import'!C11, 2), 1))</f>
        <v>45139</v>
      </c>
      <c r="C11" s="414">
        <f>'Most Recent Import'!B11</f>
        <v>15000</v>
      </c>
      <c r="D11" s="412">
        <f>'Most Recent Import'!D11</f>
        <v>5</v>
      </c>
      <c r="E11" s="412">
        <f t="array" ref="E11">IF(
    DATEDIF($B11, TODAY(), "M") &gt;= 11,
    INDEX('Most Recent Import'!$F11:$Q11, 1, MATCH(11 - (COLUMN(E:E) - 5), {0, 1, 2, 3, 4, 5, 6, 7, 8, 9, 10, 11}, 0)),
    IF(
      DATEDIF($B11, TODAY(), "M") + 1 &gt;= COLUMN(E:E) - 5,
      INDEX('Most Recent Import'!$F11:$Q11, 1, MATCH(DATEDIF($B11, TODAY(), "M") + 1 - (COLUMN(E:E) - 5), {0, 1, 2, 3, 4, 5, 6, 7, 8, 9, 10, 11}, 0)),
      ""
    )
  )
</f>
        <v>0</v>
      </c>
      <c r="F11" s="412">
        <f t="array" ref="F11">IF(
    DATEDIF($B11, TODAY(), "M") &gt;= 11,
    INDEX('Most Recent Import'!$F11:$Q11, 1, MATCH(11 - (COLUMN(F:F) - 5), {0, 1, 2, 3, 4, 5, 6, 7, 8, 9, 10, 11}, 0)),
    IF(
      DATEDIF($B11, TODAY(), "M") + 1 &gt;= COLUMN(F:F) - 5,
      INDEX('Most Recent Import'!$F11:$Q11, 1, MATCH(DATEDIF($B11, TODAY(), "M") + 1 - (COLUMN(F:F) - 5), {0, 1, 2, 3, 4, 5, 6, 7, 8, 9, 10, 11}, 0)),
      ""
    )
  )
</f>
        <v>0</v>
      </c>
      <c r="G11" s="412">
        <f t="array" ref="G11">IF(
    DATEDIF($B11, TODAY(), "M") &gt;= 11,
    INDEX('Most Recent Import'!$F11:$Q11, 1, MATCH(11 - (COLUMN(G:G) - 5), {0, 1, 2, 3, 4, 5, 6, 7, 8, 9, 10, 11}, 0)),
    IF(
      DATEDIF($B11, TODAY(), "M") + 1 &gt;= COLUMN(G:G) - 5,
      INDEX('Most Recent Import'!$F11:$Q11, 1, MATCH(DATEDIF($B11, TODAY(), "M") + 1 - (COLUMN(G:G) - 5), {0, 1, 2, 3, 4, 5, 6, 7, 8, 9, 10, 11}, 0)),
      ""
    )
  )
</f>
        <v>0</v>
      </c>
      <c r="H11" s="412">
        <f t="array" ref="H11">IF(
    DATEDIF($B11, TODAY(), "M") &gt;= 11,
    INDEX('Most Recent Import'!$F11:$Q11, 1, MATCH(11 - (COLUMN(H:H) - 5), {0, 1, 2, 3, 4, 5, 6, 7, 8, 9, 10, 11}, 0)),
    IF(
      DATEDIF($B11, TODAY(), "M") + 1 &gt;= COLUMN(H:H) - 5,
      INDEX('Most Recent Import'!$F11:$Q11, 1, MATCH(DATEDIF($B11, TODAY(), "M") + 1 - (COLUMN(H:H) - 5), {0, 1, 2, 3, 4, 5, 6, 7, 8, 9, 10, 11}, 0)),
      ""
    )
  )
</f>
        <v>0</v>
      </c>
      <c r="I11" s="412">
        <f t="array" ref="I11">IF(
    DATEDIF($B11, TODAY(), "M") &gt;= 11,
    INDEX('Most Recent Import'!$F11:$Q11, 1, MATCH(11 - (COLUMN(I:I) - 5), {0, 1, 2, 3, 4, 5, 6, 7, 8, 9, 10, 11}, 0)),
    IF(
      DATEDIF($B11, TODAY(), "M") + 1 &gt;= COLUMN(I:I) - 5,
      INDEX('Most Recent Import'!$F11:$Q11, 1, MATCH(DATEDIF($B11, TODAY(), "M") + 1 - (COLUMN(I:I) - 5), {0, 1, 2, 3, 4, 5, 6, 7, 8, 9, 10, 11}, 0)),
      ""
    )
  )
</f>
        <v>4</v>
      </c>
      <c r="J11" s="412">
        <f t="array" ref="J11">IF(
    DATEDIF($B11, TODAY(), "M") &gt;= 11,
    INDEX('Most Recent Import'!$F11:$Q11, 1, MATCH(11 - (COLUMN(J:J) - 5), {0, 1, 2, 3, 4, 5, 6, 7, 8, 9, 10, 11}, 0)),
    IF(
      DATEDIF($B11, TODAY(), "M") + 1 &gt;= COLUMN(J:J) - 5,
      INDEX('Most Recent Import'!$F11:$Q11, 1, MATCH(DATEDIF($B11, TODAY(), "M") + 1 - (COLUMN(J:J) - 5), {0, 1, 2, 3, 4, 5, 6, 7, 8, 9, 10, 11}, 0)),
      ""
    )
  )
</f>
        <v>2</v>
      </c>
      <c r="K11" s="412">
        <f t="array" ref="K11">IF(
    DATEDIF($B11, TODAY(), "M") &gt;= 11,
    INDEX('Most Recent Import'!$F11:$Q11, 1, MATCH(11 - (COLUMN(K:K) - 5), {0, 1, 2, 3, 4, 5, 6, 7, 8, 9, 10, 11}, 0)),
    IF(
      DATEDIF($B11, TODAY(), "M") + 1 &gt;= COLUMN(K:K) - 5,
      INDEX('Most Recent Import'!$F11:$Q11, 1, MATCH(DATEDIF($B11, TODAY(), "M") + 1 - (COLUMN(K:K) - 5), {0, 1, 2, 3, 4, 5, 6, 7, 8, 9, 10, 11}, 0)),
      ""
    )
  )
</f>
        <v>15</v>
      </c>
      <c r="L11" s="412">
        <f t="array" ref="L11">IF(
    DATEDIF($B11, TODAY(), "M") &gt;= 11,
    INDEX('Most Recent Import'!$F11:$Q11, 1, MATCH(11 - (COLUMN(L:L) - 5), {0, 1, 2, 3, 4, 5, 6, 7, 8, 9, 10, 11}, 0)),
    IF(
      DATEDIF($B11, TODAY(), "M") + 1 &gt;= COLUMN(L:L) - 5,
      INDEX('Most Recent Import'!$F11:$Q11, 1, MATCH(DATEDIF($B11, TODAY(), "M") + 1 - (COLUMN(L:L) - 5), {0, 1, 2, 3, 4, 5, 6, 7, 8, 9, 10, 11}, 0)),
      ""
    )
  )
</f>
        <v>22</v>
      </c>
      <c r="M11" s="412">
        <f t="array" ref="M11">IF(
    DATEDIF($B11, TODAY(), "M") &gt;= 11,
    INDEX('Most Recent Import'!$F11:$Q11, 1, MATCH(11 - (COLUMN(M:M) - 5), {0, 1, 2, 3, 4, 5, 6, 7, 8, 9, 10, 11}, 0)),
    IF(
      DATEDIF($B11, TODAY(), "M") + 1 &gt;= COLUMN(M:M) - 5,
      INDEX('Most Recent Import'!$F11:$Q11, 1, MATCH(DATEDIF($B11, TODAY(), "M") + 1 - (COLUMN(M:M) - 5), {0, 1, 2, 3, 4, 5, 6, 7, 8, 9, 10, 11}, 0)),
      ""
    )
  )
</f>
        <v>6</v>
      </c>
      <c r="N11" s="412">
        <f t="array" ref="N11">IF(
    DATEDIF($B11, TODAY(), "M") &gt;= 11,
    INDEX('Most Recent Import'!$F11:$Q11, 1, MATCH(11 - (COLUMN(N:N) - 5), {0, 1, 2, 3, 4, 5, 6, 7, 8, 9, 10, 11}, 0)),
    IF(
      DATEDIF($B11, TODAY(), "M") + 1 &gt;= COLUMN(N:N) - 5,
      INDEX('Most Recent Import'!$F11:$Q11, 1, MATCH(DATEDIF($B11, TODAY(), "M") + 1 - (COLUMN(N:N) - 5), {0, 1, 2, 3, 4, 5, 6, 7, 8, 9, 10, 11}, 0)),
      ""
    )
  )
</f>
        <v>6</v>
      </c>
      <c r="O11" s="412">
        <f t="array" ref="O11">IF(
    DATEDIF($B11, TODAY(), "M") &gt;= 11,
    INDEX('Most Recent Import'!$F11:$Q11, 1, MATCH(11 - (COLUMN(O:O) - 5), {0, 1, 2, 3, 4, 5, 6, 7, 8, 9, 10, 11}, 0)),
    IF(
      DATEDIF($B11, TODAY(), "M") + 1 &gt;= COLUMN(O:O) - 5,
      INDEX('Most Recent Import'!$F11:$Q11, 1, MATCH(DATEDIF($B11, TODAY(), "M") + 1 - (COLUMN(O:O) - 5), {0, 1, 2, 3, 4, 5, 6, 7, 8, 9, 10, 11}, 0)),
      ""
    )
  )
</f>
        <v>13</v>
      </c>
      <c r="P11" s="412">
        <f t="array" ref="P11">IF(
    DATEDIF($B11, TODAY(), "M") &gt;= 11,
    INDEX('Most Recent Import'!$F11:$Q11, 1, MATCH(11 - (COLUMN(P:P) - 5), {0, 1, 2, 3, 4, 5, 6, 7, 8, 9, 10, 11}, 0)),
    IF(
      DATEDIF($B11, TODAY(), "M") + 1 &gt;= COLUMN(P:P) - 5,
      INDEX('Most Recent Import'!$F11:$Q11, 1, MATCH(DATEDIF($B11, TODAY(), "M") + 1 - (COLUMN(P:P) - 5), {0, 1, 2, 3, 4, 5, 6, 7, 8, 9, 10, 11}, 0)),
      ""
    )
  )
</f>
        <v>17</v>
      </c>
    </row>
    <row r="12">
      <c r="A12" s="412" t="str">
        <f>'Most Recent Import'!A12</f>
        <v>xplor_technologies</v>
      </c>
      <c r="B12" s="413">
        <f>IF(ISBLANK(A12), "", DATE(LEFT('Most Recent Import'!C12, 4), RIGHT('Most Recent Import'!C12, 2), 1))</f>
        <v>45139</v>
      </c>
      <c r="C12" s="414">
        <f>'Most Recent Import'!B12</f>
        <v>8000</v>
      </c>
      <c r="D12" s="412">
        <f>'Most Recent Import'!D12</f>
        <v>6</v>
      </c>
      <c r="E12" s="412">
        <f t="array" ref="E12">IF(
    DATEDIF($B12, TODAY(), "M") &gt;= 11,
    INDEX('Most Recent Import'!$F12:$Q12, 1, MATCH(11 - (COLUMN(E:E) - 5), {0, 1, 2, 3, 4, 5, 6, 7, 8, 9, 10, 11}, 0)),
    IF(
      DATEDIF($B12, TODAY(), "M") + 1 &gt;= COLUMN(E:E) - 5,
      INDEX('Most Recent Import'!$F12:$Q12, 1, MATCH(DATEDIF($B12, TODAY(), "M") + 1 - (COLUMN(E:E) - 5), {0, 1, 2, 3, 4, 5, 6, 7, 8, 9, 10, 11}, 0)),
      ""
    )
  )
</f>
        <v>5</v>
      </c>
      <c r="F12" s="412">
        <f t="array" ref="F12">IF(
    DATEDIF($B12, TODAY(), "M") &gt;= 11,
    INDEX('Most Recent Import'!$F12:$Q12, 1, MATCH(11 - (COLUMN(F:F) - 5), {0, 1, 2, 3, 4, 5, 6, 7, 8, 9, 10, 11}, 0)),
    IF(
      DATEDIF($B12, TODAY(), "M") + 1 &gt;= COLUMN(F:F) - 5,
      INDEX('Most Recent Import'!$F12:$Q12, 1, MATCH(DATEDIF($B12, TODAY(), "M") + 1 - (COLUMN(F:F) - 5), {0, 1, 2, 3, 4, 5, 6, 7, 8, 9, 10, 11}, 0)),
      ""
    )
  )
</f>
        <v>5</v>
      </c>
      <c r="G12" s="412">
        <f t="array" ref="G12">IF(
    DATEDIF($B12, TODAY(), "M") &gt;= 11,
    INDEX('Most Recent Import'!$F12:$Q12, 1, MATCH(11 - (COLUMN(G:G) - 5), {0, 1, 2, 3, 4, 5, 6, 7, 8, 9, 10, 11}, 0)),
    IF(
      DATEDIF($B12, TODAY(), "M") + 1 &gt;= COLUMN(G:G) - 5,
      INDEX('Most Recent Import'!$F12:$Q12, 1, MATCH(DATEDIF($B12, TODAY(), "M") + 1 - (COLUMN(G:G) - 5), {0, 1, 2, 3, 4, 5, 6, 7, 8, 9, 10, 11}, 0)),
      ""
    )
  )
</f>
        <v>3</v>
      </c>
      <c r="H12" s="412">
        <f t="array" ref="H12">IF(
    DATEDIF($B12, TODAY(), "M") &gt;= 11,
    INDEX('Most Recent Import'!$F12:$Q12, 1, MATCH(11 - (COLUMN(H:H) - 5), {0, 1, 2, 3, 4, 5, 6, 7, 8, 9, 10, 11}, 0)),
    IF(
      DATEDIF($B12, TODAY(), "M") + 1 &gt;= COLUMN(H:H) - 5,
      INDEX('Most Recent Import'!$F12:$Q12, 1, MATCH(DATEDIF($B12, TODAY(), "M") + 1 - (COLUMN(H:H) - 5), {0, 1, 2, 3, 4, 5, 6, 7, 8, 9, 10, 11}, 0)),
      ""
    )
  )
</f>
        <v>3</v>
      </c>
      <c r="I12" s="412">
        <f t="array" ref="I12">IF(
    DATEDIF($B12, TODAY(), "M") &gt;= 11,
    INDEX('Most Recent Import'!$F12:$Q12, 1, MATCH(11 - (COLUMN(I:I) - 5), {0, 1, 2, 3, 4, 5, 6, 7, 8, 9, 10, 11}, 0)),
    IF(
      DATEDIF($B12, TODAY(), "M") + 1 &gt;= COLUMN(I:I) - 5,
      INDEX('Most Recent Import'!$F12:$Q12, 1, MATCH(DATEDIF($B12, TODAY(), "M") + 1 - (COLUMN(I:I) - 5), {0, 1, 2, 3, 4, 5, 6, 7, 8, 9, 10, 11}, 0)),
      ""
    )
  )
</f>
        <v>2</v>
      </c>
      <c r="J12" s="412">
        <f t="array" ref="J12">IF(
    DATEDIF($B12, TODAY(), "M") &gt;= 11,
    INDEX('Most Recent Import'!$F12:$Q12, 1, MATCH(11 - (COLUMN(J:J) - 5), {0, 1, 2, 3, 4, 5, 6, 7, 8, 9, 10, 11}, 0)),
    IF(
      DATEDIF($B12, TODAY(), "M") + 1 &gt;= COLUMN(J:J) - 5,
      INDEX('Most Recent Import'!$F12:$Q12, 1, MATCH(DATEDIF($B12, TODAY(), "M") + 1 - (COLUMN(J:J) - 5), {0, 1, 2, 3, 4, 5, 6, 7, 8, 9, 10, 11}, 0)),
      ""
    )
  )
</f>
        <v>4</v>
      </c>
      <c r="K12" s="412">
        <f t="array" ref="K12">IF(
    DATEDIF($B12, TODAY(), "M") &gt;= 11,
    INDEX('Most Recent Import'!$F12:$Q12, 1, MATCH(11 - (COLUMN(K:K) - 5), {0, 1, 2, 3, 4, 5, 6, 7, 8, 9, 10, 11}, 0)),
    IF(
      DATEDIF($B12, TODAY(), "M") + 1 &gt;= COLUMN(K:K) - 5,
      INDEX('Most Recent Import'!$F12:$Q12, 1, MATCH(DATEDIF($B12, TODAY(), "M") + 1 - (COLUMN(K:K) - 5), {0, 1, 2, 3, 4, 5, 6, 7, 8, 9, 10, 11}, 0)),
      ""
    )
  )
</f>
        <v>1</v>
      </c>
      <c r="L12" s="412">
        <f t="array" ref="L12">IF(
    DATEDIF($B12, TODAY(), "M") &gt;= 11,
    INDEX('Most Recent Import'!$F12:$Q12, 1, MATCH(11 - (COLUMN(L:L) - 5), {0, 1, 2, 3, 4, 5, 6, 7, 8, 9, 10, 11}, 0)),
    IF(
      DATEDIF($B12, TODAY(), "M") + 1 &gt;= COLUMN(L:L) - 5,
      INDEX('Most Recent Import'!$F12:$Q12, 1, MATCH(DATEDIF($B12, TODAY(), "M") + 1 - (COLUMN(L:L) - 5), {0, 1, 2, 3, 4, 5, 6, 7, 8, 9, 10, 11}, 0)),
      ""
    )
  )
</f>
        <v>2</v>
      </c>
      <c r="M12" s="412">
        <f t="array" ref="M12">IF(
    DATEDIF($B12, TODAY(), "M") &gt;= 11,
    INDEX('Most Recent Import'!$F12:$Q12, 1, MATCH(11 - (COLUMN(M:M) - 5), {0, 1, 2, 3, 4, 5, 6, 7, 8, 9, 10, 11}, 0)),
    IF(
      DATEDIF($B12, TODAY(), "M") + 1 &gt;= COLUMN(M:M) - 5,
      INDEX('Most Recent Import'!$F12:$Q12, 1, MATCH(DATEDIF($B12, TODAY(), "M") + 1 - (COLUMN(M:M) - 5), {0, 1, 2, 3, 4, 5, 6, 7, 8, 9, 10, 11}, 0)),
      ""
    )
  )
</f>
        <v>3</v>
      </c>
      <c r="N12" s="412">
        <f t="array" ref="N12">IF(
    DATEDIF($B12, TODAY(), "M") &gt;= 11,
    INDEX('Most Recent Import'!$F12:$Q12, 1, MATCH(11 - (COLUMN(N:N) - 5), {0, 1, 2, 3, 4, 5, 6, 7, 8, 9, 10, 11}, 0)),
    IF(
      DATEDIF($B12, TODAY(), "M") + 1 &gt;= COLUMN(N:N) - 5,
      INDEX('Most Recent Import'!$F12:$Q12, 1, MATCH(DATEDIF($B12, TODAY(), "M") + 1 - (COLUMN(N:N) - 5), {0, 1, 2, 3, 4, 5, 6, 7, 8, 9, 10, 11}, 0)),
      ""
    )
  )
</f>
        <v>1</v>
      </c>
      <c r="O12" s="412">
        <f t="array" ref="O12">IF(
    DATEDIF($B12, TODAY(), "M") &gt;= 11,
    INDEX('Most Recent Import'!$F12:$Q12, 1, MATCH(11 - (COLUMN(O:O) - 5), {0, 1, 2, 3, 4, 5, 6, 7, 8, 9, 10, 11}, 0)),
    IF(
      DATEDIF($B12, TODAY(), "M") + 1 &gt;= COLUMN(O:O) - 5,
      INDEX('Most Recent Import'!$F12:$Q12, 1, MATCH(DATEDIF($B12, TODAY(), "M") + 1 - (COLUMN(O:O) - 5), {0, 1, 2, 3, 4, 5, 6, 7, 8, 9, 10, 11}, 0)),
      ""
    )
  )
</f>
        <v>3</v>
      </c>
      <c r="P12" s="412">
        <f t="array" ref="P12">IF(
    DATEDIF($B12, TODAY(), "M") &gt;= 11,
    INDEX('Most Recent Import'!$F12:$Q12, 1, MATCH(11 - (COLUMN(P:P) - 5), {0, 1, 2, 3, 4, 5, 6, 7, 8, 9, 10, 11}, 0)),
    IF(
      DATEDIF($B12, TODAY(), "M") + 1 &gt;= COLUMN(P:P) - 5,
      INDEX('Most Recent Import'!$F12:$Q12, 1, MATCH(DATEDIF($B12, TODAY(), "M") + 1 - (COLUMN(P:P) - 5), {0, 1, 2, 3, 4, 5, 6, 7, 8, 9, 10, 11}, 0)),
      ""
    )
  )
</f>
        <v>5</v>
      </c>
    </row>
    <row r="13">
      <c r="A13" s="412" t="str">
        <f>'Most Recent Import'!A13</f>
        <v>consensys</v>
      </c>
      <c r="B13" s="413">
        <f>IF(ISBLANK(A13), "", DATE(LEFT('Most Recent Import'!C13, 4), RIGHT('Most Recent Import'!C13, 2), 1))</f>
        <v>45139</v>
      </c>
      <c r="C13" s="414">
        <f>'Most Recent Import'!B13</f>
        <v>3000</v>
      </c>
      <c r="D13" s="412">
        <f>'Most Recent Import'!D13</f>
        <v>2</v>
      </c>
      <c r="E13" s="412">
        <f t="array" ref="E13">IF(
    DATEDIF($B13, TODAY(), "M") &gt;= 11,
    INDEX('Most Recent Import'!$F13:$Q13, 1, MATCH(11 - (COLUMN(E:E) - 5), {0, 1, 2, 3, 4, 5, 6, 7, 8, 9, 10, 11}, 0)),
    IF(
      DATEDIF($B13, TODAY(), "M") + 1 &gt;= COLUMN(E:E) - 5,
      INDEX('Most Recent Import'!$F13:$Q13, 1, MATCH(DATEDIF($B13, TODAY(), "M") + 1 - (COLUMN(E:E) - 5), {0, 1, 2, 3, 4, 5, 6, 7, 8, 9, 10, 11}, 0)),
      ""
    )
  )
</f>
        <v>2</v>
      </c>
      <c r="F13" s="412">
        <f t="array" ref="F13">IF(
    DATEDIF($B13, TODAY(), "M") &gt;= 11,
    INDEX('Most Recent Import'!$F13:$Q13, 1, MATCH(11 - (COLUMN(F:F) - 5), {0, 1, 2, 3, 4, 5, 6, 7, 8, 9, 10, 11}, 0)),
    IF(
      DATEDIF($B13, TODAY(), "M") + 1 &gt;= COLUMN(F:F) - 5,
      INDEX('Most Recent Import'!$F13:$Q13, 1, MATCH(DATEDIF($B13, TODAY(), "M") + 1 - (COLUMN(F:F) - 5), {0, 1, 2, 3, 4, 5, 6, 7, 8, 9, 10, 11}, 0)),
      ""
    )
  )
</f>
        <v>1</v>
      </c>
      <c r="G13" s="412">
        <f t="array" ref="G13">IF(
    DATEDIF($B13, TODAY(), "M") &gt;= 11,
    INDEX('Most Recent Import'!$F13:$Q13, 1, MATCH(11 - (COLUMN(G:G) - 5), {0, 1, 2, 3, 4, 5, 6, 7, 8, 9, 10, 11}, 0)),
    IF(
      DATEDIF($B13, TODAY(), "M") + 1 &gt;= COLUMN(G:G) - 5,
      INDEX('Most Recent Import'!$F13:$Q13, 1, MATCH(DATEDIF($B13, TODAY(), "M") + 1 - (COLUMN(G:G) - 5), {0, 1, 2, 3, 4, 5, 6, 7, 8, 9, 10, 11}, 0)),
      ""
    )
  )
</f>
        <v>0</v>
      </c>
      <c r="H13" s="412">
        <f t="array" ref="H13">IF(
    DATEDIF($B13, TODAY(), "M") &gt;= 11,
    INDEX('Most Recent Import'!$F13:$Q13, 1, MATCH(11 - (COLUMN(H:H) - 5), {0, 1, 2, 3, 4, 5, 6, 7, 8, 9, 10, 11}, 0)),
    IF(
      DATEDIF($B13, TODAY(), "M") + 1 &gt;= COLUMN(H:H) - 5,
      INDEX('Most Recent Import'!$F13:$Q13, 1, MATCH(DATEDIF($B13, TODAY(), "M") + 1 - (COLUMN(H:H) - 5), {0, 1, 2, 3, 4, 5, 6, 7, 8, 9, 10, 11}, 0)),
      ""
    )
  )
</f>
        <v>0</v>
      </c>
      <c r="I13" s="412">
        <f t="array" ref="I13">IF(
    DATEDIF($B13, TODAY(), "M") &gt;= 11,
    INDEX('Most Recent Import'!$F13:$Q13, 1, MATCH(11 - (COLUMN(I:I) - 5), {0, 1, 2, 3, 4, 5, 6, 7, 8, 9, 10, 11}, 0)),
    IF(
      DATEDIF($B13, TODAY(), "M") + 1 &gt;= COLUMN(I:I) - 5,
      INDEX('Most Recent Import'!$F13:$Q13, 1, MATCH(DATEDIF($B13, TODAY(), "M") + 1 - (COLUMN(I:I) - 5), {0, 1, 2, 3, 4, 5, 6, 7, 8, 9, 10, 11}, 0)),
      ""
    )
  )
</f>
        <v>0</v>
      </c>
      <c r="J13" s="412">
        <f t="array" ref="J13">IF(
    DATEDIF($B13, TODAY(), "M") &gt;= 11,
    INDEX('Most Recent Import'!$F13:$Q13, 1, MATCH(11 - (COLUMN(J:J) - 5), {0, 1, 2, 3, 4, 5, 6, 7, 8, 9, 10, 11}, 0)),
    IF(
      DATEDIF($B13, TODAY(), "M") + 1 &gt;= COLUMN(J:J) - 5,
      INDEX('Most Recent Import'!$F13:$Q13, 1, MATCH(DATEDIF($B13, TODAY(), "M") + 1 - (COLUMN(J:J) - 5), {0, 1, 2, 3, 4, 5, 6, 7, 8, 9, 10, 11}, 0)),
      ""
    )
  )
</f>
        <v>0</v>
      </c>
      <c r="K13" s="412">
        <f t="array" ref="K13">IF(
    DATEDIF($B13, TODAY(), "M") &gt;= 11,
    INDEX('Most Recent Import'!$F13:$Q13, 1, MATCH(11 - (COLUMN(K:K) - 5), {0, 1, 2, 3, 4, 5, 6, 7, 8, 9, 10, 11}, 0)),
    IF(
      DATEDIF($B13, TODAY(), "M") + 1 &gt;= COLUMN(K:K) - 5,
      INDEX('Most Recent Import'!$F13:$Q13, 1, MATCH(DATEDIF($B13, TODAY(), "M") + 1 - (COLUMN(K:K) - 5), {0, 1, 2, 3, 4, 5, 6, 7, 8, 9, 10, 11}, 0)),
      ""
    )
  )
</f>
        <v>0</v>
      </c>
      <c r="L13" s="412">
        <f t="array" ref="L13">IF(
    DATEDIF($B13, TODAY(), "M") &gt;= 11,
    INDEX('Most Recent Import'!$F13:$Q13, 1, MATCH(11 - (COLUMN(L:L) - 5), {0, 1, 2, 3, 4, 5, 6, 7, 8, 9, 10, 11}, 0)),
    IF(
      DATEDIF($B13, TODAY(), "M") + 1 &gt;= COLUMN(L:L) - 5,
      INDEX('Most Recent Import'!$F13:$Q13, 1, MATCH(DATEDIF($B13, TODAY(), "M") + 1 - (COLUMN(L:L) - 5), {0, 1, 2, 3, 4, 5, 6, 7, 8, 9, 10, 11}, 0)),
      ""
    )
  )
</f>
        <v>1</v>
      </c>
      <c r="M13" s="412">
        <f t="array" ref="M13">IF(
    DATEDIF($B13, TODAY(), "M") &gt;= 11,
    INDEX('Most Recent Import'!$F13:$Q13, 1, MATCH(11 - (COLUMN(M:M) - 5), {0, 1, 2, 3, 4, 5, 6, 7, 8, 9, 10, 11}, 0)),
    IF(
      DATEDIF($B13, TODAY(), "M") + 1 &gt;= COLUMN(M:M) - 5,
      INDEX('Most Recent Import'!$F13:$Q13, 1, MATCH(DATEDIF($B13, TODAY(), "M") + 1 - (COLUMN(M:M) - 5), {0, 1, 2, 3, 4, 5, 6, 7, 8, 9, 10, 11}, 0)),
      ""
    )
  )
</f>
        <v>0</v>
      </c>
      <c r="N13" s="412">
        <f t="array" ref="N13">IF(
    DATEDIF($B13, TODAY(), "M") &gt;= 11,
    INDEX('Most Recent Import'!$F13:$Q13, 1, MATCH(11 - (COLUMN(N:N) - 5), {0, 1, 2, 3, 4, 5, 6, 7, 8, 9, 10, 11}, 0)),
    IF(
      DATEDIF($B13, TODAY(), "M") + 1 &gt;= COLUMN(N:N) - 5,
      INDEX('Most Recent Import'!$F13:$Q13, 1, MATCH(DATEDIF($B13, TODAY(), "M") + 1 - (COLUMN(N:N) - 5), {0, 1, 2, 3, 4, 5, 6, 7, 8, 9, 10, 11}, 0)),
      ""
    )
  )
</f>
        <v>0</v>
      </c>
      <c r="O13" s="412">
        <f t="array" ref="O13">IF(
    DATEDIF($B13, TODAY(), "M") &gt;= 11,
    INDEX('Most Recent Import'!$F13:$Q13, 1, MATCH(11 - (COLUMN(O:O) - 5), {0, 1, 2, 3, 4, 5, 6, 7, 8, 9, 10, 11}, 0)),
    IF(
      DATEDIF($B13, TODAY(), "M") + 1 &gt;= COLUMN(O:O) - 5,
      INDEX('Most Recent Import'!$F13:$Q13, 1, MATCH(DATEDIF($B13, TODAY(), "M") + 1 - (COLUMN(O:O) - 5), {0, 1, 2, 3, 4, 5, 6, 7, 8, 9, 10, 11}, 0)),
      ""
    )
  )
</f>
        <v>0</v>
      </c>
      <c r="P13" s="412">
        <f t="array" ref="P13">IF(
    DATEDIF($B13, TODAY(), "M") &gt;= 11,
    INDEX('Most Recent Import'!$F13:$Q13, 1, MATCH(11 - (COLUMN(P:P) - 5), {0, 1, 2, 3, 4, 5, 6, 7, 8, 9, 10, 11}, 0)),
    IF(
      DATEDIF($B13, TODAY(), "M") + 1 &gt;= COLUMN(P:P) - 5,
      INDEX('Most Recent Import'!$F13:$Q13, 1, MATCH(DATEDIF($B13, TODAY(), "M") + 1 - (COLUMN(P:P) - 5), {0, 1, 2, 3, 4, 5, 6, 7, 8, 9, 10, 11}, 0)),
      ""
    )
  )
</f>
        <v>0</v>
      </c>
    </row>
    <row r="14">
      <c r="A14" s="412" t="str">
        <f>'Most Recent Import'!A14</f>
        <v>faire</v>
      </c>
      <c r="B14" s="413">
        <f>IF(ISBLANK(A14), "", DATE(LEFT('Most Recent Import'!C14, 4), RIGHT('Most Recent Import'!C14, 2), 1))</f>
        <v>45170</v>
      </c>
      <c r="C14" s="414">
        <f>'Most Recent Import'!B14</f>
        <v>40000</v>
      </c>
      <c r="D14" s="412">
        <f>'Most Recent Import'!D14</f>
        <v>150</v>
      </c>
      <c r="E14" s="412">
        <f t="array" ref="E14">IF(
    DATEDIF($B14, TODAY(), "M") &gt;= 11,
    INDEX('Most Recent Import'!$F14:$Q14, 1, MATCH(11 - (COLUMN(E:E) - 5), {0, 1, 2, 3, 4, 5, 6, 7, 8, 9, 10, 11}, 0)),
    IF(
      DATEDIF($B14, TODAY(), "M") + 1 &gt;= COLUMN(E:E) - 5,
      INDEX('Most Recent Import'!$F14:$Q14, 1, MATCH(DATEDIF($B14, TODAY(), "M") + 1 - (COLUMN(E:E) - 5), {0, 1, 2, 3, 4, 5, 6, 7, 8, 9, 10, 11}, 0)),
      ""
    )
  )
</f>
        <v>0</v>
      </c>
      <c r="F14" s="412">
        <f t="array" ref="F14">IF(
    DATEDIF($B14, TODAY(), "M") &gt;= 11,
    INDEX('Most Recent Import'!$F14:$Q14, 1, MATCH(11 - (COLUMN(F:F) - 5), {0, 1, 2, 3, 4, 5, 6, 7, 8, 9, 10, 11}, 0)),
    IF(
      DATEDIF($B14, TODAY(), "M") + 1 &gt;= COLUMN(F:F) - 5,
      INDEX('Most Recent Import'!$F14:$Q14, 1, MATCH(DATEDIF($B14, TODAY(), "M") + 1 - (COLUMN(F:F) - 5), {0, 1, 2, 3, 4, 5, 6, 7, 8, 9, 10, 11}, 0)),
      ""
    )
  )
</f>
        <v>0</v>
      </c>
      <c r="G14" s="412">
        <f t="array" ref="G14">IF(
    DATEDIF($B14, TODAY(), "M") &gt;= 11,
    INDEX('Most Recent Import'!$F14:$Q14, 1, MATCH(11 - (COLUMN(G:G) - 5), {0, 1, 2, 3, 4, 5, 6, 7, 8, 9, 10, 11}, 0)),
    IF(
      DATEDIF($B14, TODAY(), "M") + 1 &gt;= COLUMN(G:G) - 5,
      INDEX('Most Recent Import'!$F14:$Q14, 1, MATCH(DATEDIF($B14, TODAY(), "M") + 1 - (COLUMN(G:G) - 5), {0, 1, 2, 3, 4, 5, 6, 7, 8, 9, 10, 11}, 0)),
      ""
    )
  )
</f>
        <v>0</v>
      </c>
      <c r="H14" s="412">
        <f t="array" ref="H14">IF(
    DATEDIF($B14, TODAY(), "M") &gt;= 11,
    INDEX('Most Recent Import'!$F14:$Q14, 1, MATCH(11 - (COLUMN(H:H) - 5), {0, 1, 2, 3, 4, 5, 6, 7, 8, 9, 10, 11}, 0)),
    IF(
      DATEDIF($B14, TODAY(), "M") + 1 &gt;= COLUMN(H:H) - 5,
      INDEX('Most Recent Import'!$F14:$Q14, 1, MATCH(DATEDIF($B14, TODAY(), "M") + 1 - (COLUMN(H:H) - 5), {0, 1, 2, 3, 4, 5, 6, 7, 8, 9, 10, 11}, 0)),
      ""
    )
  )
</f>
        <v>0</v>
      </c>
      <c r="I14" s="412">
        <f t="array" ref="I14">IF(
    DATEDIF($B14, TODAY(), "M") &gt;= 11,
    INDEX('Most Recent Import'!$F14:$Q14, 1, MATCH(11 - (COLUMN(I:I) - 5), {0, 1, 2, 3, 4, 5, 6, 7, 8, 9, 10, 11}, 0)),
    IF(
      DATEDIF($B14, TODAY(), "M") + 1 &gt;= COLUMN(I:I) - 5,
      INDEX('Most Recent Import'!$F14:$Q14, 1, MATCH(DATEDIF($B14, TODAY(), "M") + 1 - (COLUMN(I:I) - 5), {0, 1, 2, 3, 4, 5, 6, 7, 8, 9, 10, 11}, 0)),
      ""
    )
  )
</f>
        <v>0</v>
      </c>
      <c r="J14" s="412">
        <f t="array" ref="J14">IF(
    DATEDIF($B14, TODAY(), "M") &gt;= 11,
    INDEX('Most Recent Import'!$F14:$Q14, 1, MATCH(11 - (COLUMN(J:J) - 5), {0, 1, 2, 3, 4, 5, 6, 7, 8, 9, 10, 11}, 0)),
    IF(
      DATEDIF($B14, TODAY(), "M") + 1 &gt;= COLUMN(J:J) - 5,
      INDEX('Most Recent Import'!$F14:$Q14, 1, MATCH(DATEDIF($B14, TODAY(), "M") + 1 - (COLUMN(J:J) - 5), {0, 1, 2, 3, 4, 5, 6, 7, 8, 9, 10, 11}, 0)),
      ""
    )
  )
</f>
        <v>2</v>
      </c>
      <c r="K14" s="412">
        <f t="array" ref="K14">IF(
    DATEDIF($B14, TODAY(), "M") &gt;= 11,
    INDEX('Most Recent Import'!$F14:$Q14, 1, MATCH(11 - (COLUMN(K:K) - 5), {0, 1, 2, 3, 4, 5, 6, 7, 8, 9, 10, 11}, 0)),
    IF(
      DATEDIF($B14, TODAY(), "M") + 1 &gt;= COLUMN(K:K) - 5,
      INDEX('Most Recent Import'!$F14:$Q14, 1, MATCH(DATEDIF($B14, TODAY(), "M") + 1 - (COLUMN(K:K) - 5), {0, 1, 2, 3, 4, 5, 6, 7, 8, 9, 10, 11}, 0)),
      ""
    )
  )
</f>
        <v>10</v>
      </c>
      <c r="L14" s="412">
        <f t="array" ref="L14">IF(
    DATEDIF($B14, TODAY(), "M") &gt;= 11,
    INDEX('Most Recent Import'!$F14:$Q14, 1, MATCH(11 - (COLUMN(L:L) - 5), {0, 1, 2, 3, 4, 5, 6, 7, 8, 9, 10, 11}, 0)),
    IF(
      DATEDIF($B14, TODAY(), "M") + 1 &gt;= COLUMN(L:L) - 5,
      INDEX('Most Recent Import'!$F14:$Q14, 1, MATCH(DATEDIF($B14, TODAY(), "M") + 1 - (COLUMN(L:L) - 5), {0, 1, 2, 3, 4, 5, 6, 7, 8, 9, 10, 11}, 0)),
      ""
    )
  )
</f>
        <v>5</v>
      </c>
      <c r="M14" s="412">
        <f t="array" ref="M14">IF(
    DATEDIF($B14, TODAY(), "M") &gt;= 11,
    INDEX('Most Recent Import'!$F14:$Q14, 1, MATCH(11 - (COLUMN(M:M) - 5), {0, 1, 2, 3, 4, 5, 6, 7, 8, 9, 10, 11}, 0)),
    IF(
      DATEDIF($B14, TODAY(), "M") + 1 &gt;= COLUMN(M:M) - 5,
      INDEX('Most Recent Import'!$F14:$Q14, 1, MATCH(DATEDIF($B14, TODAY(), "M") + 1 - (COLUMN(M:M) - 5), {0, 1, 2, 3, 4, 5, 6, 7, 8, 9, 10, 11}, 0)),
      ""
    )
  )
</f>
        <v>1</v>
      </c>
      <c r="N14" s="412">
        <f t="array" ref="N14">IF(
    DATEDIF($B14, TODAY(), "M") &gt;= 11,
    INDEX('Most Recent Import'!$F14:$Q14, 1, MATCH(11 - (COLUMN(N:N) - 5), {0, 1, 2, 3, 4, 5, 6, 7, 8, 9, 10, 11}, 0)),
    IF(
      DATEDIF($B14, TODAY(), "M") + 1 &gt;= COLUMN(N:N) - 5,
      INDEX('Most Recent Import'!$F14:$Q14, 1, MATCH(DATEDIF($B14, TODAY(), "M") + 1 - (COLUMN(N:N) - 5), {0, 1, 2, 3, 4, 5, 6, 7, 8, 9, 10, 11}, 0)),
      ""
    )
  )
</f>
        <v>26</v>
      </c>
      <c r="O14" s="412">
        <f t="array" ref="O14">IF(
    DATEDIF($B14, TODAY(), "M") &gt;= 11,
    INDEX('Most Recent Import'!$F14:$Q14, 1, MATCH(11 - (COLUMN(O:O) - 5), {0, 1, 2, 3, 4, 5, 6, 7, 8, 9, 10, 11}, 0)),
    IF(
      DATEDIF($B14, TODAY(), "M") + 1 &gt;= COLUMN(O:O) - 5,
      INDEX('Most Recent Import'!$F14:$Q14, 1, MATCH(DATEDIF($B14, TODAY(), "M") + 1 - (COLUMN(O:O) - 5), {0, 1, 2, 3, 4, 5, 6, 7, 8, 9, 10, 11}, 0)),
      ""
    )
  )
</f>
        <v>9</v>
      </c>
      <c r="P14" s="412">
        <f t="array" ref="P14">IF(
    DATEDIF($B14, TODAY(), "M") &gt;= 11,
    INDEX('Most Recent Import'!$F14:$Q14, 1, MATCH(11 - (COLUMN(P:P) - 5), {0, 1, 2, 3, 4, 5, 6, 7, 8, 9, 10, 11}, 0)),
    IF(
      DATEDIF($B14, TODAY(), "M") + 1 &gt;= COLUMN(P:P) - 5,
      INDEX('Most Recent Import'!$F14:$Q14, 1, MATCH(DATEDIF($B14, TODAY(), "M") + 1 - (COLUMN(P:P) - 5), {0, 1, 2, 3, 4, 5, 6, 7, 8, 9, 10, 11}, 0)),
      ""
    )
  )
</f>
        <v>14</v>
      </c>
    </row>
    <row r="15">
      <c r="A15" s="412" t="str">
        <f>'Most Recent Import'!A15</f>
        <v>opentable</v>
      </c>
      <c r="B15" s="413">
        <f>IF(ISBLANK(A15), "", DATE(LEFT('Most Recent Import'!C15, 4), RIGHT('Most Recent Import'!C15, 2), 1))</f>
        <v>45170</v>
      </c>
      <c r="C15" s="414">
        <f>'Most Recent Import'!B15</f>
        <v>27000</v>
      </c>
      <c r="D15" s="412">
        <f>'Most Recent Import'!D15</f>
        <v>3</v>
      </c>
      <c r="E15" s="412">
        <f t="array" ref="E15">IF(
    DATEDIF($B15, TODAY(), "M") &gt;= 11,
    INDEX('Most Recent Import'!$F15:$Q15, 1, MATCH(11 - (COLUMN(E:E) - 5), {0, 1, 2, 3, 4, 5, 6, 7, 8, 9, 10, 11}, 0)),
    IF(
      DATEDIF($B15, TODAY(), "M") + 1 &gt;= COLUMN(E:E) - 5,
      INDEX('Most Recent Import'!$F15:$Q15, 1, MATCH(DATEDIF($B15, TODAY(), "M") + 1 - (COLUMN(E:E) - 5), {0, 1, 2, 3, 4, 5, 6, 7, 8, 9, 10, 11}, 0)),
      ""
    )
  )
</f>
        <v>0</v>
      </c>
      <c r="F15" s="412">
        <f t="array" ref="F15">IF(
    DATEDIF($B15, TODAY(), "M") &gt;= 11,
    INDEX('Most Recent Import'!$F15:$Q15, 1, MATCH(11 - (COLUMN(F:F) - 5), {0, 1, 2, 3, 4, 5, 6, 7, 8, 9, 10, 11}, 0)),
    IF(
      DATEDIF($B15, TODAY(), "M") + 1 &gt;= COLUMN(F:F) - 5,
      INDEX('Most Recent Import'!$F15:$Q15, 1, MATCH(DATEDIF($B15, TODAY(), "M") + 1 - (COLUMN(F:F) - 5), {0, 1, 2, 3, 4, 5, 6, 7, 8, 9, 10, 11}, 0)),
      ""
    )
  )
</f>
        <v>0</v>
      </c>
      <c r="G15" s="412">
        <f t="array" ref="G15">IF(
    DATEDIF($B15, TODAY(), "M") &gt;= 11,
    INDEX('Most Recent Import'!$F15:$Q15, 1, MATCH(11 - (COLUMN(G:G) - 5), {0, 1, 2, 3, 4, 5, 6, 7, 8, 9, 10, 11}, 0)),
    IF(
      DATEDIF($B15, TODAY(), "M") + 1 &gt;= COLUMN(G:G) - 5,
      INDEX('Most Recent Import'!$F15:$Q15, 1, MATCH(DATEDIF($B15, TODAY(), "M") + 1 - (COLUMN(G:G) - 5), {0, 1, 2, 3, 4, 5, 6, 7, 8, 9, 10, 11}, 0)),
      ""
    )
  )
</f>
        <v>0</v>
      </c>
      <c r="H15" s="412">
        <f t="array" ref="H15">IF(
    DATEDIF($B15, TODAY(), "M") &gt;= 11,
    INDEX('Most Recent Import'!$F15:$Q15, 1, MATCH(11 - (COLUMN(H:H) - 5), {0, 1, 2, 3, 4, 5, 6, 7, 8, 9, 10, 11}, 0)),
    IF(
      DATEDIF($B15, TODAY(), "M") + 1 &gt;= COLUMN(H:H) - 5,
      INDEX('Most Recent Import'!$F15:$Q15, 1, MATCH(DATEDIF($B15, TODAY(), "M") + 1 - (COLUMN(H:H) - 5), {0, 1, 2, 3, 4, 5, 6, 7, 8, 9, 10, 11}, 0)),
      ""
    )
  )
</f>
        <v>0</v>
      </c>
      <c r="I15" s="412">
        <f t="array" ref="I15">IF(
    DATEDIF($B15, TODAY(), "M") &gt;= 11,
    INDEX('Most Recent Import'!$F15:$Q15, 1, MATCH(11 - (COLUMN(I:I) - 5), {0, 1, 2, 3, 4, 5, 6, 7, 8, 9, 10, 11}, 0)),
    IF(
      DATEDIF($B15, TODAY(), "M") + 1 &gt;= COLUMN(I:I) - 5,
      INDEX('Most Recent Import'!$F15:$Q15, 1, MATCH(DATEDIF($B15, TODAY(), "M") + 1 - (COLUMN(I:I) - 5), {0, 1, 2, 3, 4, 5, 6, 7, 8, 9, 10, 11}, 0)),
      ""
    )
  )
</f>
        <v>0</v>
      </c>
      <c r="J15" s="412">
        <f t="array" ref="J15">IF(
    DATEDIF($B15, TODAY(), "M") &gt;= 11,
    INDEX('Most Recent Import'!$F15:$Q15, 1, MATCH(11 - (COLUMN(J:J) - 5), {0, 1, 2, 3, 4, 5, 6, 7, 8, 9, 10, 11}, 0)),
    IF(
      DATEDIF($B15, TODAY(), "M") + 1 &gt;= COLUMN(J:J) - 5,
      INDEX('Most Recent Import'!$F15:$Q15, 1, MATCH(DATEDIF($B15, TODAY(), "M") + 1 - (COLUMN(J:J) - 5), {0, 1, 2, 3, 4, 5, 6, 7, 8, 9, 10, 11}, 0)),
      ""
    )
  )
</f>
        <v>0</v>
      </c>
      <c r="K15" s="412">
        <f t="array" ref="K15">IF(
    DATEDIF($B15, TODAY(), "M") &gt;= 11,
    INDEX('Most Recent Import'!$F15:$Q15, 1, MATCH(11 - (COLUMN(K:K) - 5), {0, 1, 2, 3, 4, 5, 6, 7, 8, 9, 10, 11}, 0)),
    IF(
      DATEDIF($B15, TODAY(), "M") + 1 &gt;= COLUMN(K:K) - 5,
      INDEX('Most Recent Import'!$F15:$Q15, 1, MATCH(DATEDIF($B15, TODAY(), "M") + 1 - (COLUMN(K:K) - 5), {0, 1, 2, 3, 4, 5, 6, 7, 8, 9, 10, 11}, 0)),
      ""
    )
  )
</f>
        <v>31</v>
      </c>
      <c r="L15" s="412">
        <f t="array" ref="L15">IF(
    DATEDIF($B15, TODAY(), "M") &gt;= 11,
    INDEX('Most Recent Import'!$F15:$Q15, 1, MATCH(11 - (COLUMN(L:L) - 5), {0, 1, 2, 3, 4, 5, 6, 7, 8, 9, 10, 11}, 0)),
    IF(
      DATEDIF($B15, TODAY(), "M") + 1 &gt;= COLUMN(L:L) - 5,
      INDEX('Most Recent Import'!$F15:$Q15, 1, MATCH(DATEDIF($B15, TODAY(), "M") + 1 - (COLUMN(L:L) - 5), {0, 1, 2, 3, 4, 5, 6, 7, 8, 9, 10, 11}, 0)),
      ""
    )
  )
</f>
        <v>5</v>
      </c>
      <c r="M15" s="412">
        <f t="array" ref="M15">IF(
    DATEDIF($B15, TODAY(), "M") &gt;= 11,
    INDEX('Most Recent Import'!$F15:$Q15, 1, MATCH(11 - (COLUMN(M:M) - 5), {0, 1, 2, 3, 4, 5, 6, 7, 8, 9, 10, 11}, 0)),
    IF(
      DATEDIF($B15, TODAY(), "M") + 1 &gt;= COLUMN(M:M) - 5,
      INDEX('Most Recent Import'!$F15:$Q15, 1, MATCH(DATEDIF($B15, TODAY(), "M") + 1 - (COLUMN(M:M) - 5), {0, 1, 2, 3, 4, 5, 6, 7, 8, 9, 10, 11}, 0)),
      ""
    )
  )
</f>
        <v>0</v>
      </c>
      <c r="N15" s="412">
        <f t="array" ref="N15">IF(
    DATEDIF($B15, TODAY(), "M") &gt;= 11,
    INDEX('Most Recent Import'!$F15:$Q15, 1, MATCH(11 - (COLUMN(N:N) - 5), {0, 1, 2, 3, 4, 5, 6, 7, 8, 9, 10, 11}, 0)),
    IF(
      DATEDIF($B15, TODAY(), "M") + 1 &gt;= COLUMN(N:N) - 5,
      INDEX('Most Recent Import'!$F15:$Q15, 1, MATCH(DATEDIF($B15, TODAY(), "M") + 1 - (COLUMN(N:N) - 5), {0, 1, 2, 3, 4, 5, 6, 7, 8, 9, 10, 11}, 0)),
      ""
    )
  )
</f>
        <v>4</v>
      </c>
      <c r="O15" s="412">
        <f t="array" ref="O15">IF(
    DATEDIF($B15, TODAY(), "M") &gt;= 11,
    INDEX('Most Recent Import'!$F15:$Q15, 1, MATCH(11 - (COLUMN(O:O) - 5), {0, 1, 2, 3, 4, 5, 6, 7, 8, 9, 10, 11}, 0)),
    IF(
      DATEDIF($B15, TODAY(), "M") + 1 &gt;= COLUMN(O:O) - 5,
      INDEX('Most Recent Import'!$F15:$Q15, 1, MATCH(DATEDIF($B15, TODAY(), "M") + 1 - (COLUMN(O:O) - 5), {0, 1, 2, 3, 4, 5, 6, 7, 8, 9, 10, 11}, 0)),
      ""
    )
  )
</f>
        <v>7</v>
      </c>
      <c r="P15" s="412">
        <f t="array" ref="P15">IF(
    DATEDIF($B15, TODAY(), "M") &gt;= 11,
    INDEX('Most Recent Import'!$F15:$Q15, 1, MATCH(11 - (COLUMN(P:P) - 5), {0, 1, 2, 3, 4, 5, 6, 7, 8, 9, 10, 11}, 0)),
    IF(
      DATEDIF($B15, TODAY(), "M") + 1 &gt;= COLUMN(P:P) - 5,
      INDEX('Most Recent Import'!$F15:$Q15, 1, MATCH(DATEDIF($B15, TODAY(), "M") + 1 - (COLUMN(P:P) - 5), {0, 1, 2, 3, 4, 5, 6, 7, 8, 9, 10, 11}, 0)),
      ""
    )
  )
</f>
        <v>3</v>
      </c>
    </row>
    <row r="16">
      <c r="A16" s="412" t="str">
        <f>'Most Recent Import'!A16</f>
        <v>sonos</v>
      </c>
      <c r="B16" s="413">
        <f>IF(ISBLANK(A16), "", DATE(LEFT('Most Recent Import'!C16, 4), RIGHT('Most Recent Import'!C16, 2), 1))</f>
        <v>45170</v>
      </c>
      <c r="C16" s="414">
        <f>'Most Recent Import'!B16</f>
        <v>23000</v>
      </c>
      <c r="D16" s="412">
        <f>'Most Recent Import'!D16</f>
        <v>11</v>
      </c>
      <c r="E16" s="412">
        <f t="array" ref="E16">IF(
    DATEDIF($B16, TODAY(), "M") &gt;= 11,
    INDEX('Most Recent Import'!$F16:$Q16, 1, MATCH(11 - (COLUMN(E:E) - 5), {0, 1, 2, 3, 4, 5, 6, 7, 8, 9, 10, 11}, 0)),
    IF(
      DATEDIF($B16, TODAY(), "M") + 1 &gt;= COLUMN(E:E) - 5,
      INDEX('Most Recent Import'!$F16:$Q16, 1, MATCH(DATEDIF($B16, TODAY(), "M") + 1 - (COLUMN(E:E) - 5), {0, 1, 2, 3, 4, 5, 6, 7, 8, 9, 10, 11}, 0)),
      ""
    )
  )
</f>
        <v>0</v>
      </c>
      <c r="F16" s="412">
        <f t="array" ref="F16">IF(
    DATEDIF($B16, TODAY(), "M") &gt;= 11,
    INDEX('Most Recent Import'!$F16:$Q16, 1, MATCH(11 - (COLUMN(F:F) - 5), {0, 1, 2, 3, 4, 5, 6, 7, 8, 9, 10, 11}, 0)),
    IF(
      DATEDIF($B16, TODAY(), "M") + 1 &gt;= COLUMN(F:F) - 5,
      INDEX('Most Recent Import'!$F16:$Q16, 1, MATCH(DATEDIF($B16, TODAY(), "M") + 1 - (COLUMN(F:F) - 5), {0, 1, 2, 3, 4, 5, 6, 7, 8, 9, 10, 11}, 0)),
      ""
    )
  )
</f>
        <v>0</v>
      </c>
      <c r="G16" s="412">
        <f t="array" ref="G16">IF(
    DATEDIF($B16, TODAY(), "M") &gt;= 11,
    INDEX('Most Recent Import'!$F16:$Q16, 1, MATCH(11 - (COLUMN(G:G) - 5), {0, 1, 2, 3, 4, 5, 6, 7, 8, 9, 10, 11}, 0)),
    IF(
      DATEDIF($B16, TODAY(), "M") + 1 &gt;= COLUMN(G:G) - 5,
      INDEX('Most Recent Import'!$F16:$Q16, 1, MATCH(DATEDIF($B16, TODAY(), "M") + 1 - (COLUMN(G:G) - 5), {0, 1, 2, 3, 4, 5, 6, 7, 8, 9, 10, 11}, 0)),
      ""
    )
  )
</f>
        <v>0</v>
      </c>
      <c r="H16" s="412">
        <f t="array" ref="H16">IF(
    DATEDIF($B16, TODAY(), "M") &gt;= 11,
    INDEX('Most Recent Import'!$F16:$Q16, 1, MATCH(11 - (COLUMN(H:H) - 5), {0, 1, 2, 3, 4, 5, 6, 7, 8, 9, 10, 11}, 0)),
    IF(
      DATEDIF($B16, TODAY(), "M") + 1 &gt;= COLUMN(H:H) - 5,
      INDEX('Most Recent Import'!$F16:$Q16, 1, MATCH(DATEDIF($B16, TODAY(), "M") + 1 - (COLUMN(H:H) - 5), {0, 1, 2, 3, 4, 5, 6, 7, 8, 9, 10, 11}, 0)),
      ""
    )
  )
</f>
        <v>0</v>
      </c>
      <c r="I16" s="412">
        <f t="array" ref="I16">IF(
    DATEDIF($B16, TODAY(), "M") &gt;= 11,
    INDEX('Most Recent Import'!$F16:$Q16, 1, MATCH(11 - (COLUMN(I:I) - 5), {0, 1, 2, 3, 4, 5, 6, 7, 8, 9, 10, 11}, 0)),
    IF(
      DATEDIF($B16, TODAY(), "M") + 1 &gt;= COLUMN(I:I) - 5,
      INDEX('Most Recent Import'!$F16:$Q16, 1, MATCH(DATEDIF($B16, TODAY(), "M") + 1 - (COLUMN(I:I) - 5), {0, 1, 2, 3, 4, 5, 6, 7, 8, 9, 10, 11}, 0)),
      ""
    )
  )
</f>
        <v>0</v>
      </c>
      <c r="J16" s="412">
        <f t="array" ref="J16">IF(
    DATEDIF($B16, TODAY(), "M") &gt;= 11,
    INDEX('Most Recent Import'!$F16:$Q16, 1, MATCH(11 - (COLUMN(J:J) - 5), {0, 1, 2, 3, 4, 5, 6, 7, 8, 9, 10, 11}, 0)),
    IF(
      DATEDIF($B16, TODAY(), "M") + 1 &gt;= COLUMN(J:J) - 5,
      INDEX('Most Recent Import'!$F16:$Q16, 1, MATCH(DATEDIF($B16, TODAY(), "M") + 1 - (COLUMN(J:J) - 5), {0, 1, 2, 3, 4, 5, 6, 7, 8, 9, 10, 11}, 0)),
      ""
    )
  )
</f>
        <v>0</v>
      </c>
      <c r="K16" s="412">
        <f t="array" ref="K16">IF(
    DATEDIF($B16, TODAY(), "M") &gt;= 11,
    INDEX('Most Recent Import'!$F16:$Q16, 1, MATCH(11 - (COLUMN(K:K) - 5), {0, 1, 2, 3, 4, 5, 6, 7, 8, 9, 10, 11}, 0)),
    IF(
      DATEDIF($B16, TODAY(), "M") + 1 &gt;= COLUMN(K:K) - 5,
      INDEX('Most Recent Import'!$F16:$Q16, 1, MATCH(DATEDIF($B16, TODAY(), "M") + 1 - (COLUMN(K:K) - 5), {0, 1, 2, 3, 4, 5, 6, 7, 8, 9, 10, 11}, 0)),
      ""
    )
  )
</f>
        <v>7</v>
      </c>
      <c r="L16" s="412">
        <f t="array" ref="L16">IF(
    DATEDIF($B16, TODAY(), "M") &gt;= 11,
    INDEX('Most Recent Import'!$F16:$Q16, 1, MATCH(11 - (COLUMN(L:L) - 5), {0, 1, 2, 3, 4, 5, 6, 7, 8, 9, 10, 11}, 0)),
    IF(
      DATEDIF($B16, TODAY(), "M") + 1 &gt;= COLUMN(L:L) - 5,
      INDEX('Most Recent Import'!$F16:$Q16, 1, MATCH(DATEDIF($B16, TODAY(), "M") + 1 - (COLUMN(L:L) - 5), {0, 1, 2, 3, 4, 5, 6, 7, 8, 9, 10, 11}, 0)),
      ""
    )
  )
</f>
        <v>9</v>
      </c>
      <c r="M16" s="412">
        <f t="array" ref="M16">IF(
    DATEDIF($B16, TODAY(), "M") &gt;= 11,
    INDEX('Most Recent Import'!$F16:$Q16, 1, MATCH(11 - (COLUMN(M:M) - 5), {0, 1, 2, 3, 4, 5, 6, 7, 8, 9, 10, 11}, 0)),
    IF(
      DATEDIF($B16, TODAY(), "M") + 1 &gt;= COLUMN(M:M) - 5,
      INDEX('Most Recent Import'!$F16:$Q16, 1, MATCH(DATEDIF($B16, TODAY(), "M") + 1 - (COLUMN(M:M) - 5), {0, 1, 2, 3, 4, 5, 6, 7, 8, 9, 10, 11}, 0)),
      ""
    )
  )
</f>
        <v>8</v>
      </c>
      <c r="N16" s="412">
        <f t="array" ref="N16">IF(
    DATEDIF($B16, TODAY(), "M") &gt;= 11,
    INDEX('Most Recent Import'!$F16:$Q16, 1, MATCH(11 - (COLUMN(N:N) - 5), {0, 1, 2, 3, 4, 5, 6, 7, 8, 9, 10, 11}, 0)),
    IF(
      DATEDIF($B16, TODAY(), "M") + 1 &gt;= COLUMN(N:N) - 5,
      INDEX('Most Recent Import'!$F16:$Q16, 1, MATCH(DATEDIF($B16, TODAY(), "M") + 1 - (COLUMN(N:N) - 5), {0, 1, 2, 3, 4, 5, 6, 7, 8, 9, 10, 11}, 0)),
      ""
    )
  )
</f>
        <v>8</v>
      </c>
      <c r="O16" s="412">
        <f t="array" ref="O16">IF(
    DATEDIF($B16, TODAY(), "M") &gt;= 11,
    INDEX('Most Recent Import'!$F16:$Q16, 1, MATCH(11 - (COLUMN(O:O) - 5), {0, 1, 2, 3, 4, 5, 6, 7, 8, 9, 10, 11}, 0)),
    IF(
      DATEDIF($B16, TODAY(), "M") + 1 &gt;= COLUMN(O:O) - 5,
      INDEX('Most Recent Import'!$F16:$Q16, 1, MATCH(DATEDIF($B16, TODAY(), "M") + 1 - (COLUMN(O:O) - 5), {0, 1, 2, 3, 4, 5, 6, 7, 8, 9, 10, 11}, 0)),
      ""
    )
  )
</f>
        <v>3</v>
      </c>
      <c r="P16" s="412">
        <f t="array" ref="P16">IF(
    DATEDIF($B16, TODAY(), "M") &gt;= 11,
    INDEX('Most Recent Import'!$F16:$Q16, 1, MATCH(11 - (COLUMN(P:P) - 5), {0, 1, 2, 3, 4, 5, 6, 7, 8, 9, 10, 11}, 0)),
    IF(
      DATEDIF($B16, TODAY(), "M") + 1 &gt;= COLUMN(P:P) - 5,
      INDEX('Most Recent Import'!$F16:$Q16, 1, MATCH(DATEDIF($B16, TODAY(), "M") + 1 - (COLUMN(P:P) - 5), {0, 1, 2, 3, 4, 5, 6, 7, 8, 9, 10, 11}, 0)),
      ""
    )
  )
</f>
        <v>11</v>
      </c>
    </row>
    <row r="17">
      <c r="A17" s="412" t="str">
        <f>'Most Recent Import'!A17</f>
        <v>soundtrap</v>
      </c>
      <c r="B17" s="413">
        <f>IF(ISBLANK(A17), "", DATE(LEFT('Most Recent Import'!C17, 4), RIGHT('Most Recent Import'!C17, 2), 1))</f>
        <v>45170</v>
      </c>
      <c r="C17" s="414">
        <f>'Most Recent Import'!B17</f>
        <v>5000</v>
      </c>
      <c r="D17" s="412">
        <f>'Most Recent Import'!D17</f>
        <v>5</v>
      </c>
      <c r="E17" s="412">
        <f t="array" ref="E17">IF(
    DATEDIF($B17, TODAY(), "M") &gt;= 11,
    INDEX('Most Recent Import'!$F17:$Q17, 1, MATCH(11 - (COLUMN(E:E) - 5), {0, 1, 2, 3, 4, 5, 6, 7, 8, 9, 10, 11}, 0)),
    IF(
      DATEDIF($B17, TODAY(), "M") + 1 &gt;= COLUMN(E:E) - 5,
      INDEX('Most Recent Import'!$F17:$Q17, 1, MATCH(DATEDIF($B17, TODAY(), "M") + 1 - (COLUMN(E:E) - 5), {0, 1, 2, 3, 4, 5, 6, 7, 8, 9, 10, 11}, 0)),
      ""
    )
  )
</f>
        <v>0</v>
      </c>
      <c r="F17" s="412">
        <f t="array" ref="F17">IF(
    DATEDIF($B17, TODAY(), "M") &gt;= 11,
    INDEX('Most Recent Import'!$F17:$Q17, 1, MATCH(11 - (COLUMN(F:F) - 5), {0, 1, 2, 3, 4, 5, 6, 7, 8, 9, 10, 11}, 0)),
    IF(
      DATEDIF($B17, TODAY(), "M") + 1 &gt;= COLUMN(F:F) - 5,
      INDEX('Most Recent Import'!$F17:$Q17, 1, MATCH(DATEDIF($B17, TODAY(), "M") + 1 - (COLUMN(F:F) - 5), {0, 1, 2, 3, 4, 5, 6, 7, 8, 9, 10, 11}, 0)),
      ""
    )
  )
</f>
        <v>0</v>
      </c>
      <c r="G17" s="412">
        <f t="array" ref="G17">IF(
    DATEDIF($B17, TODAY(), "M") &gt;= 11,
    INDEX('Most Recent Import'!$F17:$Q17, 1, MATCH(11 - (COLUMN(G:G) - 5), {0, 1, 2, 3, 4, 5, 6, 7, 8, 9, 10, 11}, 0)),
    IF(
      DATEDIF($B17, TODAY(), "M") + 1 &gt;= COLUMN(G:G) - 5,
      INDEX('Most Recent Import'!$F17:$Q17, 1, MATCH(DATEDIF($B17, TODAY(), "M") + 1 - (COLUMN(G:G) - 5), {0, 1, 2, 3, 4, 5, 6, 7, 8, 9, 10, 11}, 0)),
      ""
    )
  )
</f>
        <v>0</v>
      </c>
      <c r="H17" s="412">
        <f t="array" ref="H17">IF(
    DATEDIF($B17, TODAY(), "M") &gt;= 11,
    INDEX('Most Recent Import'!$F17:$Q17, 1, MATCH(11 - (COLUMN(H:H) - 5), {0, 1, 2, 3, 4, 5, 6, 7, 8, 9, 10, 11}, 0)),
    IF(
      DATEDIF($B17, TODAY(), "M") + 1 &gt;= COLUMN(H:H) - 5,
      INDEX('Most Recent Import'!$F17:$Q17, 1, MATCH(DATEDIF($B17, TODAY(), "M") + 1 - (COLUMN(H:H) - 5), {0, 1, 2, 3, 4, 5, 6, 7, 8, 9, 10, 11}, 0)),
      ""
    )
  )
</f>
        <v>0</v>
      </c>
      <c r="I17" s="412">
        <f t="array" ref="I17">IF(
    DATEDIF($B17, TODAY(), "M") &gt;= 11,
    INDEX('Most Recent Import'!$F17:$Q17, 1, MATCH(11 - (COLUMN(I:I) - 5), {0, 1, 2, 3, 4, 5, 6, 7, 8, 9, 10, 11}, 0)),
    IF(
      DATEDIF($B17, TODAY(), "M") + 1 &gt;= COLUMN(I:I) - 5,
      INDEX('Most Recent Import'!$F17:$Q17, 1, MATCH(DATEDIF($B17, TODAY(), "M") + 1 - (COLUMN(I:I) - 5), {0, 1, 2, 3, 4, 5, 6, 7, 8, 9, 10, 11}, 0)),
      ""
    )
  )
</f>
        <v>0</v>
      </c>
      <c r="J17" s="412">
        <f t="array" ref="J17">IF(
    DATEDIF($B17, TODAY(), "M") &gt;= 11,
    INDEX('Most Recent Import'!$F17:$Q17, 1, MATCH(11 - (COLUMN(J:J) - 5), {0, 1, 2, 3, 4, 5, 6, 7, 8, 9, 10, 11}, 0)),
    IF(
      DATEDIF($B17, TODAY(), "M") + 1 &gt;= COLUMN(J:J) - 5,
      INDEX('Most Recent Import'!$F17:$Q17, 1, MATCH(DATEDIF($B17, TODAY(), "M") + 1 - (COLUMN(J:J) - 5), {0, 1, 2, 3, 4, 5, 6, 7, 8, 9, 10, 11}, 0)),
      ""
    )
  )
</f>
        <v>0</v>
      </c>
      <c r="K17" s="412">
        <f t="array" ref="K17">IF(
    DATEDIF($B17, TODAY(), "M") &gt;= 11,
    INDEX('Most Recent Import'!$F17:$Q17, 1, MATCH(11 - (COLUMN(K:K) - 5), {0, 1, 2, 3, 4, 5, 6, 7, 8, 9, 10, 11}, 0)),
    IF(
      DATEDIF($B17, TODAY(), "M") + 1 &gt;= COLUMN(K:K) - 5,
      INDEX('Most Recent Import'!$F17:$Q17, 1, MATCH(DATEDIF($B17, TODAY(), "M") + 1 - (COLUMN(K:K) - 5), {0, 1, 2, 3, 4, 5, 6, 7, 8, 9, 10, 11}, 0)),
      ""
    )
  )
</f>
        <v>1</v>
      </c>
      <c r="L17" s="412">
        <f t="array" ref="L17">IF(
    DATEDIF($B17, TODAY(), "M") &gt;= 11,
    INDEX('Most Recent Import'!$F17:$Q17, 1, MATCH(11 - (COLUMN(L:L) - 5), {0, 1, 2, 3, 4, 5, 6, 7, 8, 9, 10, 11}, 0)),
    IF(
      DATEDIF($B17, TODAY(), "M") + 1 &gt;= COLUMN(L:L) - 5,
      INDEX('Most Recent Import'!$F17:$Q17, 1, MATCH(DATEDIF($B17, TODAY(), "M") + 1 - (COLUMN(L:L) - 5), {0, 1, 2, 3, 4, 5, 6, 7, 8, 9, 10, 11}, 0)),
      ""
    )
  )
</f>
        <v>1</v>
      </c>
      <c r="M17" s="412">
        <f t="array" ref="M17">IF(
    DATEDIF($B17, TODAY(), "M") &gt;= 11,
    INDEX('Most Recent Import'!$F17:$Q17, 1, MATCH(11 - (COLUMN(M:M) - 5), {0, 1, 2, 3, 4, 5, 6, 7, 8, 9, 10, 11}, 0)),
    IF(
      DATEDIF($B17, TODAY(), "M") + 1 &gt;= COLUMN(M:M) - 5,
      INDEX('Most Recent Import'!$F17:$Q17, 1, MATCH(DATEDIF($B17, TODAY(), "M") + 1 - (COLUMN(M:M) - 5), {0, 1, 2, 3, 4, 5, 6, 7, 8, 9, 10, 11}, 0)),
      ""
    )
  )
</f>
        <v>0</v>
      </c>
      <c r="N17" s="412">
        <f t="array" ref="N17">IF(
    DATEDIF($B17, TODAY(), "M") &gt;= 11,
    INDEX('Most Recent Import'!$F17:$Q17, 1, MATCH(11 - (COLUMN(N:N) - 5), {0, 1, 2, 3, 4, 5, 6, 7, 8, 9, 10, 11}, 0)),
    IF(
      DATEDIF($B17, TODAY(), "M") + 1 &gt;= COLUMN(N:N) - 5,
      INDEX('Most Recent Import'!$F17:$Q17, 1, MATCH(DATEDIF($B17, TODAY(), "M") + 1 - (COLUMN(N:N) - 5), {0, 1, 2, 3, 4, 5, 6, 7, 8, 9, 10, 11}, 0)),
      ""
    )
  )
</f>
        <v>2</v>
      </c>
      <c r="O17" s="412">
        <f t="array" ref="O17">IF(
    DATEDIF($B17, TODAY(), "M") &gt;= 11,
    INDEX('Most Recent Import'!$F17:$Q17, 1, MATCH(11 - (COLUMN(O:O) - 5), {0, 1, 2, 3, 4, 5, 6, 7, 8, 9, 10, 11}, 0)),
    IF(
      DATEDIF($B17, TODAY(), "M") + 1 &gt;= COLUMN(O:O) - 5,
      INDEX('Most Recent Import'!$F17:$Q17, 1, MATCH(DATEDIF($B17, TODAY(), "M") + 1 - (COLUMN(O:O) - 5), {0, 1, 2, 3, 4, 5, 6, 7, 8, 9, 10, 11}, 0)),
      ""
    )
  )
</f>
        <v>1</v>
      </c>
      <c r="P17" s="412">
        <f t="array" ref="P17">IF(
    DATEDIF($B17, TODAY(), "M") &gt;= 11,
    INDEX('Most Recent Import'!$F17:$Q17, 1, MATCH(11 - (COLUMN(P:P) - 5), {0, 1, 2, 3, 4, 5, 6, 7, 8, 9, 10, 11}, 0)),
    IF(
      DATEDIF($B17, TODAY(), "M") + 1 &gt;= COLUMN(P:P) - 5,
      INDEX('Most Recent Import'!$F17:$Q17, 1, MATCH(DATEDIF($B17, TODAY(), "M") + 1 - (COLUMN(P:P) - 5), {0, 1, 2, 3, 4, 5, 6, 7, 8, 9, 10, 11}, 0)),
      ""
    )
  )
</f>
        <v>1</v>
      </c>
    </row>
    <row r="18">
      <c r="A18" s="412" t="str">
        <f>'Most Recent Import'!A18</f>
        <v>yahoo</v>
      </c>
      <c r="B18" s="413">
        <f>IF(ISBLANK(A18), "", DATE(LEFT('Most Recent Import'!C18, 4), RIGHT('Most Recent Import'!C18, 2), 1))</f>
        <v>45170</v>
      </c>
      <c r="C18" s="414">
        <f>'Most Recent Import'!B18</f>
        <v>32000</v>
      </c>
      <c r="D18" s="412">
        <f>'Most Recent Import'!D18</f>
        <v>4</v>
      </c>
      <c r="E18" s="412">
        <f t="array" ref="E18">IF(
    DATEDIF($B18, TODAY(), "M") &gt;= 11,
    INDEX('Most Recent Import'!$F18:$Q18, 1, MATCH(11 - (COLUMN(E:E) - 5), {0, 1, 2, 3, 4, 5, 6, 7, 8, 9, 10, 11}, 0)),
    IF(
      DATEDIF($B18, TODAY(), "M") + 1 &gt;= COLUMN(E:E) - 5,
      INDEX('Most Recent Import'!$F18:$Q18, 1, MATCH(DATEDIF($B18, TODAY(), "M") + 1 - (COLUMN(E:E) - 5), {0, 1, 2, 3, 4, 5, 6, 7, 8, 9, 10, 11}, 0)),
      ""
    )
  )
</f>
        <v>0</v>
      </c>
      <c r="F18" s="412">
        <f t="array" ref="F18">IF(
    DATEDIF($B18, TODAY(), "M") &gt;= 11,
    INDEX('Most Recent Import'!$F18:$Q18, 1, MATCH(11 - (COLUMN(F:F) - 5), {0, 1, 2, 3, 4, 5, 6, 7, 8, 9, 10, 11}, 0)),
    IF(
      DATEDIF($B18, TODAY(), "M") + 1 &gt;= COLUMN(F:F) - 5,
      INDEX('Most Recent Import'!$F18:$Q18, 1, MATCH(DATEDIF($B18, TODAY(), "M") + 1 - (COLUMN(F:F) - 5), {0, 1, 2, 3, 4, 5, 6, 7, 8, 9, 10, 11}, 0)),
      ""
    )
  )
</f>
        <v>0</v>
      </c>
      <c r="G18" s="412">
        <f t="array" ref="G18">IF(
    DATEDIF($B18, TODAY(), "M") &gt;= 11,
    INDEX('Most Recent Import'!$F18:$Q18, 1, MATCH(11 - (COLUMN(G:G) - 5), {0, 1, 2, 3, 4, 5, 6, 7, 8, 9, 10, 11}, 0)),
    IF(
      DATEDIF($B18, TODAY(), "M") + 1 &gt;= COLUMN(G:G) - 5,
      INDEX('Most Recent Import'!$F18:$Q18, 1, MATCH(DATEDIF($B18, TODAY(), "M") + 1 - (COLUMN(G:G) - 5), {0, 1, 2, 3, 4, 5, 6, 7, 8, 9, 10, 11}, 0)),
      ""
    )
  )
</f>
        <v>0</v>
      </c>
      <c r="H18" s="412">
        <f t="array" ref="H18">IF(
    DATEDIF($B18, TODAY(), "M") &gt;= 11,
    INDEX('Most Recent Import'!$F18:$Q18, 1, MATCH(11 - (COLUMN(H:H) - 5), {0, 1, 2, 3, 4, 5, 6, 7, 8, 9, 10, 11}, 0)),
    IF(
      DATEDIF($B18, TODAY(), "M") + 1 &gt;= COLUMN(H:H) - 5,
      INDEX('Most Recent Import'!$F18:$Q18, 1, MATCH(DATEDIF($B18, TODAY(), "M") + 1 - (COLUMN(H:H) - 5), {0, 1, 2, 3, 4, 5, 6, 7, 8, 9, 10, 11}, 0)),
      ""
    )
  )
</f>
        <v>0</v>
      </c>
      <c r="I18" s="412">
        <f t="array" ref="I18">IF(
    DATEDIF($B18, TODAY(), "M") &gt;= 11,
    INDEX('Most Recent Import'!$F18:$Q18, 1, MATCH(11 - (COLUMN(I:I) - 5), {0, 1, 2, 3, 4, 5, 6, 7, 8, 9, 10, 11}, 0)),
    IF(
      DATEDIF($B18, TODAY(), "M") + 1 &gt;= COLUMN(I:I) - 5,
      INDEX('Most Recent Import'!$F18:$Q18, 1, MATCH(DATEDIF($B18, TODAY(), "M") + 1 - (COLUMN(I:I) - 5), {0, 1, 2, 3, 4, 5, 6, 7, 8, 9, 10, 11}, 0)),
      ""
    )
  )
</f>
        <v>0</v>
      </c>
      <c r="J18" s="412">
        <f t="array" ref="J18">IF(
    DATEDIF($B18, TODAY(), "M") &gt;= 11,
    INDEX('Most Recent Import'!$F18:$Q18, 1, MATCH(11 - (COLUMN(J:J) - 5), {0, 1, 2, 3, 4, 5, 6, 7, 8, 9, 10, 11}, 0)),
    IF(
      DATEDIF($B18, TODAY(), "M") + 1 &gt;= COLUMN(J:J) - 5,
      INDEX('Most Recent Import'!$F18:$Q18, 1, MATCH(DATEDIF($B18, TODAY(), "M") + 1 - (COLUMN(J:J) - 5), {0, 1, 2, 3, 4, 5, 6, 7, 8, 9, 10, 11}, 0)),
      ""
    )
  )
</f>
        <v>1</v>
      </c>
      <c r="K18" s="412">
        <f t="array" ref="K18">IF(
    DATEDIF($B18, TODAY(), "M") &gt;= 11,
    INDEX('Most Recent Import'!$F18:$Q18, 1, MATCH(11 - (COLUMN(K:K) - 5), {0, 1, 2, 3, 4, 5, 6, 7, 8, 9, 10, 11}, 0)),
    IF(
      DATEDIF($B18, TODAY(), "M") + 1 &gt;= COLUMN(K:K) - 5,
      INDEX('Most Recent Import'!$F18:$Q18, 1, MATCH(DATEDIF($B18, TODAY(), "M") + 1 - (COLUMN(K:K) - 5), {0, 1, 2, 3, 4, 5, 6, 7, 8, 9, 10, 11}, 0)),
      ""
    )
  )
</f>
        <v>2</v>
      </c>
      <c r="L18" s="412">
        <f t="array" ref="L18">IF(
    DATEDIF($B18, TODAY(), "M") &gt;= 11,
    INDEX('Most Recent Import'!$F18:$Q18, 1, MATCH(11 - (COLUMN(L:L) - 5), {0, 1, 2, 3, 4, 5, 6, 7, 8, 9, 10, 11}, 0)),
    IF(
      DATEDIF($B18, TODAY(), "M") + 1 &gt;= COLUMN(L:L) - 5,
      INDEX('Most Recent Import'!$F18:$Q18, 1, MATCH(DATEDIF($B18, TODAY(), "M") + 1 - (COLUMN(L:L) - 5), {0, 1, 2, 3, 4, 5, 6, 7, 8, 9, 10, 11}, 0)),
      ""
    )
  )
</f>
        <v>2</v>
      </c>
      <c r="M18" s="412">
        <f t="array" ref="M18">IF(
    DATEDIF($B18, TODAY(), "M") &gt;= 11,
    INDEX('Most Recent Import'!$F18:$Q18, 1, MATCH(11 - (COLUMN(M:M) - 5), {0, 1, 2, 3, 4, 5, 6, 7, 8, 9, 10, 11}, 0)),
    IF(
      DATEDIF($B18, TODAY(), "M") + 1 &gt;= COLUMN(M:M) - 5,
      INDEX('Most Recent Import'!$F18:$Q18, 1, MATCH(DATEDIF($B18, TODAY(), "M") + 1 - (COLUMN(M:M) - 5), {0, 1, 2, 3, 4, 5, 6, 7, 8, 9, 10, 11}, 0)),
      ""
    )
  )
</f>
        <v>2</v>
      </c>
      <c r="N18" s="412">
        <f t="array" ref="N18">IF(
    DATEDIF($B18, TODAY(), "M") &gt;= 11,
    INDEX('Most Recent Import'!$F18:$Q18, 1, MATCH(11 - (COLUMN(N:N) - 5), {0, 1, 2, 3, 4, 5, 6, 7, 8, 9, 10, 11}, 0)),
    IF(
      DATEDIF($B18, TODAY(), "M") + 1 &gt;= COLUMN(N:N) - 5,
      INDEX('Most Recent Import'!$F18:$Q18, 1, MATCH(DATEDIF($B18, TODAY(), "M") + 1 - (COLUMN(N:N) - 5), {0, 1, 2, 3, 4, 5, 6, 7, 8, 9, 10, 11}, 0)),
      ""
    )
  )
</f>
        <v>2</v>
      </c>
      <c r="O18" s="412">
        <f t="array" ref="O18">IF(
    DATEDIF($B18, TODAY(), "M") &gt;= 11,
    INDEX('Most Recent Import'!$F18:$Q18, 1, MATCH(11 - (COLUMN(O:O) - 5), {0, 1, 2, 3, 4, 5, 6, 7, 8, 9, 10, 11}, 0)),
    IF(
      DATEDIF($B18, TODAY(), "M") + 1 &gt;= COLUMN(O:O) - 5,
      INDEX('Most Recent Import'!$F18:$Q18, 1, MATCH(DATEDIF($B18, TODAY(), "M") + 1 - (COLUMN(O:O) - 5), {0, 1, 2, 3, 4, 5, 6, 7, 8, 9, 10, 11}, 0)),
      ""
    )
  )
</f>
        <v>3</v>
      </c>
      <c r="P18" s="412">
        <f t="array" ref="P18">IF(
    DATEDIF($B18, TODAY(), "M") &gt;= 11,
    INDEX('Most Recent Import'!$F18:$Q18, 1, MATCH(11 - (COLUMN(P:P) - 5), {0, 1, 2, 3, 4, 5, 6, 7, 8, 9, 10, 11}, 0)),
    IF(
      DATEDIF($B18, TODAY(), "M") + 1 &gt;= COLUMN(P:P) - 5,
      INDEX('Most Recent Import'!$F18:$Q18, 1, MATCH(DATEDIF($B18, TODAY(), "M") + 1 - (COLUMN(P:P) - 5), {0, 1, 2, 3, 4, 5, 6, 7, 8, 9, 10, 11}, 0)),
      ""
    )
  )
</f>
        <v>2</v>
      </c>
    </row>
    <row r="19">
      <c r="A19" s="412" t="str">
        <f>'Most Recent Import'!A19</f>
        <v>zwift</v>
      </c>
      <c r="B19" s="413">
        <f>IF(ISBLANK(A19), "", DATE(LEFT('Most Recent Import'!C19, 4), RIGHT('Most Recent Import'!C19, 2), 1))</f>
        <v>45170</v>
      </c>
      <c r="C19" s="414">
        <f>'Most Recent Import'!B19</f>
        <v>15000</v>
      </c>
      <c r="D19" s="412">
        <f>'Most Recent Import'!D19</f>
        <v>4</v>
      </c>
      <c r="E19" s="412">
        <f t="array" ref="E19">IF(
    DATEDIF($B19, TODAY(), "M") &gt;= 11,
    INDEX('Most Recent Import'!$F19:$Q19, 1, MATCH(11 - (COLUMN(E:E) - 5), {0, 1, 2, 3, 4, 5, 6, 7, 8, 9, 10, 11}, 0)),
    IF(
      DATEDIF($B19, TODAY(), "M") + 1 &gt;= COLUMN(E:E) - 5,
      INDEX('Most Recent Import'!$F19:$Q19, 1, MATCH(DATEDIF($B19, TODAY(), "M") + 1 - (COLUMN(E:E) - 5), {0, 1, 2, 3, 4, 5, 6, 7, 8, 9, 10, 11}, 0)),
      ""
    )
  )
</f>
        <v>0</v>
      </c>
      <c r="F19" s="412">
        <f t="array" ref="F19">IF(
    DATEDIF($B19, TODAY(), "M") &gt;= 11,
    INDEX('Most Recent Import'!$F19:$Q19, 1, MATCH(11 - (COLUMN(F:F) - 5), {0, 1, 2, 3, 4, 5, 6, 7, 8, 9, 10, 11}, 0)),
    IF(
      DATEDIF($B19, TODAY(), "M") + 1 &gt;= COLUMN(F:F) - 5,
      INDEX('Most Recent Import'!$F19:$Q19, 1, MATCH(DATEDIF($B19, TODAY(), "M") + 1 - (COLUMN(F:F) - 5), {0, 1, 2, 3, 4, 5, 6, 7, 8, 9, 10, 11}, 0)),
      ""
    )
  )
</f>
        <v>0</v>
      </c>
      <c r="G19" s="412">
        <f t="array" ref="G19">IF(
    DATEDIF($B19, TODAY(), "M") &gt;= 11,
    INDEX('Most Recent Import'!$F19:$Q19, 1, MATCH(11 - (COLUMN(G:G) - 5), {0, 1, 2, 3, 4, 5, 6, 7, 8, 9, 10, 11}, 0)),
    IF(
      DATEDIF($B19, TODAY(), "M") + 1 &gt;= COLUMN(G:G) - 5,
      INDEX('Most Recent Import'!$F19:$Q19, 1, MATCH(DATEDIF($B19, TODAY(), "M") + 1 - (COLUMN(G:G) - 5), {0, 1, 2, 3, 4, 5, 6, 7, 8, 9, 10, 11}, 0)),
      ""
    )
  )
</f>
        <v>0</v>
      </c>
      <c r="H19" s="412">
        <f t="array" ref="H19">IF(
    DATEDIF($B19, TODAY(), "M") &gt;= 11,
    INDEX('Most Recent Import'!$F19:$Q19, 1, MATCH(11 - (COLUMN(H:H) - 5), {0, 1, 2, 3, 4, 5, 6, 7, 8, 9, 10, 11}, 0)),
    IF(
      DATEDIF($B19, TODAY(), "M") + 1 &gt;= COLUMN(H:H) - 5,
      INDEX('Most Recent Import'!$F19:$Q19, 1, MATCH(DATEDIF($B19, TODAY(), "M") + 1 - (COLUMN(H:H) - 5), {0, 1, 2, 3, 4, 5, 6, 7, 8, 9, 10, 11}, 0)),
      ""
    )
  )
</f>
        <v>0</v>
      </c>
      <c r="I19" s="412">
        <f t="array" ref="I19">IF(
    DATEDIF($B19, TODAY(), "M") &gt;= 11,
    INDEX('Most Recent Import'!$F19:$Q19, 1, MATCH(11 - (COLUMN(I:I) - 5), {0, 1, 2, 3, 4, 5, 6, 7, 8, 9, 10, 11}, 0)),
    IF(
      DATEDIF($B19, TODAY(), "M") + 1 &gt;= COLUMN(I:I) - 5,
      INDEX('Most Recent Import'!$F19:$Q19, 1, MATCH(DATEDIF($B19, TODAY(), "M") + 1 - (COLUMN(I:I) - 5), {0, 1, 2, 3, 4, 5, 6, 7, 8, 9, 10, 11}, 0)),
      ""
    )
  )
</f>
        <v>0</v>
      </c>
      <c r="J19" s="412">
        <f t="array" ref="J19">IF(
    DATEDIF($B19, TODAY(), "M") &gt;= 11,
    INDEX('Most Recent Import'!$F19:$Q19, 1, MATCH(11 - (COLUMN(J:J) - 5), {0, 1, 2, 3, 4, 5, 6, 7, 8, 9, 10, 11}, 0)),
    IF(
      DATEDIF($B19, TODAY(), "M") + 1 &gt;= COLUMN(J:J) - 5,
      INDEX('Most Recent Import'!$F19:$Q19, 1, MATCH(DATEDIF($B19, TODAY(), "M") + 1 - (COLUMN(J:J) - 5), {0, 1, 2, 3, 4, 5, 6, 7, 8, 9, 10, 11}, 0)),
      ""
    )
  )
</f>
        <v>0</v>
      </c>
      <c r="K19" s="412">
        <f t="array" ref="K19">IF(
    DATEDIF($B19, TODAY(), "M") &gt;= 11,
    INDEX('Most Recent Import'!$F19:$Q19, 1, MATCH(11 - (COLUMN(K:K) - 5), {0, 1, 2, 3, 4, 5, 6, 7, 8, 9, 10, 11}, 0)),
    IF(
      DATEDIF($B19, TODAY(), "M") + 1 &gt;= COLUMN(K:K) - 5,
      INDEX('Most Recent Import'!$F19:$Q19, 1, MATCH(DATEDIF($B19, TODAY(), "M") + 1 - (COLUMN(K:K) - 5), {0, 1, 2, 3, 4, 5, 6, 7, 8, 9, 10, 11}, 0)),
      ""
    )
  )
</f>
        <v>4</v>
      </c>
      <c r="L19" s="412">
        <f t="array" ref="L19">IF(
    DATEDIF($B19, TODAY(), "M") &gt;= 11,
    INDEX('Most Recent Import'!$F19:$Q19, 1, MATCH(11 - (COLUMN(L:L) - 5), {0, 1, 2, 3, 4, 5, 6, 7, 8, 9, 10, 11}, 0)),
    IF(
      DATEDIF($B19, TODAY(), "M") + 1 &gt;= COLUMN(L:L) - 5,
      INDEX('Most Recent Import'!$F19:$Q19, 1, MATCH(DATEDIF($B19, TODAY(), "M") + 1 - (COLUMN(L:L) - 5), {0, 1, 2, 3, 4, 5, 6, 7, 8, 9, 10, 11}, 0)),
      ""
    )
  )
</f>
        <v>1</v>
      </c>
      <c r="M19" s="412">
        <f t="array" ref="M19">IF(
    DATEDIF($B19, TODAY(), "M") &gt;= 11,
    INDEX('Most Recent Import'!$F19:$Q19, 1, MATCH(11 - (COLUMN(M:M) - 5), {0, 1, 2, 3, 4, 5, 6, 7, 8, 9, 10, 11}, 0)),
    IF(
      DATEDIF($B19, TODAY(), "M") + 1 &gt;= COLUMN(M:M) - 5,
      INDEX('Most Recent Import'!$F19:$Q19, 1, MATCH(DATEDIF($B19, TODAY(), "M") + 1 - (COLUMN(M:M) - 5), {0, 1, 2, 3, 4, 5, 6, 7, 8, 9, 10, 11}, 0)),
      ""
    )
  )
</f>
        <v>0</v>
      </c>
      <c r="N19" s="412">
        <f t="array" ref="N19">IF(
    DATEDIF($B19, TODAY(), "M") &gt;= 11,
    INDEX('Most Recent Import'!$F19:$Q19, 1, MATCH(11 - (COLUMN(N:N) - 5), {0, 1, 2, 3, 4, 5, 6, 7, 8, 9, 10, 11}, 0)),
    IF(
      DATEDIF($B19, TODAY(), "M") + 1 &gt;= COLUMN(N:N) - 5,
      INDEX('Most Recent Import'!$F19:$Q19, 1, MATCH(DATEDIF($B19, TODAY(), "M") + 1 - (COLUMN(N:N) - 5), {0, 1, 2, 3, 4, 5, 6, 7, 8, 9, 10, 11}, 0)),
      ""
    )
  )
</f>
        <v>1</v>
      </c>
      <c r="O19" s="412">
        <f t="array" ref="O19">IF(
    DATEDIF($B19, TODAY(), "M") &gt;= 11,
    INDEX('Most Recent Import'!$F19:$Q19, 1, MATCH(11 - (COLUMN(O:O) - 5), {0, 1, 2, 3, 4, 5, 6, 7, 8, 9, 10, 11}, 0)),
    IF(
      DATEDIF($B19, TODAY(), "M") + 1 &gt;= COLUMN(O:O) - 5,
      INDEX('Most Recent Import'!$F19:$Q19, 1, MATCH(DATEDIF($B19, TODAY(), "M") + 1 - (COLUMN(O:O) - 5), {0, 1, 2, 3, 4, 5, 6, 7, 8, 9, 10, 11}, 0)),
      ""
    )
  )
</f>
        <v>0</v>
      </c>
      <c r="P19" s="412">
        <f t="array" ref="P19">IF(
    DATEDIF($B19, TODAY(), "M") &gt;= 11,
    INDEX('Most Recent Import'!$F19:$Q19, 1, MATCH(11 - (COLUMN(P:P) - 5), {0, 1, 2, 3, 4, 5, 6, 7, 8, 9, 10, 11}, 0)),
    IF(
      DATEDIF($B19, TODAY(), "M") + 1 &gt;= COLUMN(P:P) - 5,
      INDEX('Most Recent Import'!$F19:$Q19, 1, MATCH(DATEDIF($B19, TODAY(), "M") + 1 - (COLUMN(P:P) - 5), {0, 1, 2, 3, 4, 5, 6, 7, 8, 9, 10, 11}, 0)),
      ""
    )
  )
</f>
        <v>0</v>
      </c>
    </row>
    <row r="20">
      <c r="A20" s="412" t="str">
        <f>'Most Recent Import'!A20</f>
        <v>angi</v>
      </c>
      <c r="B20" s="413">
        <f>IF(ISBLANK(A20), "", DATE(LEFT('Most Recent Import'!C20, 4), RIGHT('Most Recent Import'!C20, 2), 1))</f>
        <v>45200</v>
      </c>
      <c r="C20" s="414">
        <f>'Most Recent Import'!B20</f>
        <v>10000</v>
      </c>
      <c r="D20" s="412">
        <f>'Most Recent Import'!D20</f>
        <v>5</v>
      </c>
      <c r="E20" s="412">
        <f t="array" ref="E20">IF(
    DATEDIF($B20, TODAY(), "M") &gt;= 11,
    INDEX('Most Recent Import'!$F20:$Q20, 1, MATCH(11 - (COLUMN(E:E) - 5), {0, 1, 2, 3, 4, 5, 6, 7, 8, 9, 10, 11}, 0)),
    IF(
      DATEDIF($B20, TODAY(), "M") + 1 &gt;= COLUMN(E:E) - 5,
      INDEX('Most Recent Import'!$F20:$Q20, 1, MATCH(DATEDIF($B20, TODAY(), "M") + 1 - (COLUMN(E:E) - 5), {0, 1, 2, 3, 4, 5, 6, 7, 8, 9, 10, 11}, 0)),
      ""
    )
  )
</f>
        <v>1</v>
      </c>
      <c r="F20" s="412">
        <f t="array" ref="F20">IF(
    DATEDIF($B20, TODAY(), "M") &gt;= 11,
    INDEX('Most Recent Import'!$F20:$Q20, 1, MATCH(11 - (COLUMN(F:F) - 5), {0, 1, 2, 3, 4, 5, 6, 7, 8, 9, 10, 11}, 0)),
    IF(
      DATEDIF($B20, TODAY(), "M") + 1 &gt;= COLUMN(F:F) - 5,
      INDEX('Most Recent Import'!$F20:$Q20, 1, MATCH(DATEDIF($B20, TODAY(), "M") + 1 - (COLUMN(F:F) - 5), {0, 1, 2, 3, 4, 5, 6, 7, 8, 9, 10, 11}, 0)),
      ""
    )
  )
</f>
        <v>7</v>
      </c>
      <c r="G20" s="412">
        <f t="array" ref="G20">IF(
    DATEDIF($B20, TODAY(), "M") &gt;= 11,
    INDEX('Most Recent Import'!$F20:$Q20, 1, MATCH(11 - (COLUMN(G:G) - 5), {0, 1, 2, 3, 4, 5, 6, 7, 8, 9, 10, 11}, 0)),
    IF(
      DATEDIF($B20, TODAY(), "M") + 1 &gt;= COLUMN(G:G) - 5,
      INDEX('Most Recent Import'!$F20:$Q20, 1, MATCH(DATEDIF($B20, TODAY(), "M") + 1 - (COLUMN(G:G) - 5), {0, 1, 2, 3, 4, 5, 6, 7, 8, 9, 10, 11}, 0)),
      ""
    )
  )
</f>
        <v>1</v>
      </c>
      <c r="H20" s="412">
        <f t="array" ref="H20">IF(
    DATEDIF($B20, TODAY(), "M") &gt;= 11,
    INDEX('Most Recent Import'!$F20:$Q20, 1, MATCH(11 - (COLUMN(H:H) - 5), {0, 1, 2, 3, 4, 5, 6, 7, 8, 9, 10, 11}, 0)),
    IF(
      DATEDIF($B20, TODAY(), "M") + 1 &gt;= COLUMN(H:H) - 5,
      INDEX('Most Recent Import'!$F20:$Q20, 1, MATCH(DATEDIF($B20, TODAY(), "M") + 1 - (COLUMN(H:H) - 5), {0, 1, 2, 3, 4, 5, 6, 7, 8, 9, 10, 11}, 0)),
      ""
    )
  )
</f>
        <v>3</v>
      </c>
      <c r="I20" s="412">
        <f t="array" ref="I20">IF(
    DATEDIF($B20, TODAY(), "M") &gt;= 11,
    INDEX('Most Recent Import'!$F20:$Q20, 1, MATCH(11 - (COLUMN(I:I) - 5), {0, 1, 2, 3, 4, 5, 6, 7, 8, 9, 10, 11}, 0)),
    IF(
      DATEDIF($B20, TODAY(), "M") + 1 &gt;= COLUMN(I:I) - 5,
      INDEX('Most Recent Import'!$F20:$Q20, 1, MATCH(DATEDIF($B20, TODAY(), "M") + 1 - (COLUMN(I:I) - 5), {0, 1, 2, 3, 4, 5, 6, 7, 8, 9, 10, 11}, 0)),
      ""
    )
  )
</f>
        <v>0</v>
      </c>
      <c r="J20" s="412">
        <f t="array" ref="J20">IF(
    DATEDIF($B20, TODAY(), "M") &gt;= 11,
    INDEX('Most Recent Import'!$F20:$Q20, 1, MATCH(11 - (COLUMN(J:J) - 5), {0, 1, 2, 3, 4, 5, 6, 7, 8, 9, 10, 11}, 0)),
    IF(
      DATEDIF($B20, TODAY(), "M") + 1 &gt;= COLUMN(J:J) - 5,
      INDEX('Most Recent Import'!$F20:$Q20, 1, MATCH(DATEDIF($B20, TODAY(), "M") + 1 - (COLUMN(J:J) - 5), {0, 1, 2, 3, 4, 5, 6, 7, 8, 9, 10, 11}, 0)),
      ""
    )
  )
</f>
        <v>5</v>
      </c>
      <c r="K20" s="412">
        <f t="array" ref="K20">IF(
    DATEDIF($B20, TODAY(), "M") &gt;= 11,
    INDEX('Most Recent Import'!$F20:$Q20, 1, MATCH(11 - (COLUMN(K:K) - 5), {0, 1, 2, 3, 4, 5, 6, 7, 8, 9, 10, 11}, 0)),
    IF(
      DATEDIF($B20, TODAY(), "M") + 1 &gt;= COLUMN(K:K) - 5,
      INDEX('Most Recent Import'!$F20:$Q20, 1, MATCH(DATEDIF($B20, TODAY(), "M") + 1 - (COLUMN(K:K) - 5), {0, 1, 2, 3, 4, 5, 6, 7, 8, 9, 10, 11}, 0)),
      ""
    )
  )
</f>
        <v>6</v>
      </c>
      <c r="L20" s="412">
        <f t="array" ref="L20">IF(
    DATEDIF($B20, TODAY(), "M") &gt;= 11,
    INDEX('Most Recent Import'!$F20:$Q20, 1, MATCH(11 - (COLUMN(L:L) - 5), {0, 1, 2, 3, 4, 5, 6, 7, 8, 9, 10, 11}, 0)),
    IF(
      DATEDIF($B20, TODAY(), "M") + 1 &gt;= COLUMN(L:L) - 5,
      INDEX('Most Recent Import'!$F20:$Q20, 1, MATCH(DATEDIF($B20, TODAY(), "M") + 1 - (COLUMN(L:L) - 5), {0, 1, 2, 3, 4, 5, 6, 7, 8, 9, 10, 11}, 0)),
      ""
    )
  )
</f>
        <v>0</v>
      </c>
      <c r="M20" s="412">
        <f t="array" ref="M20">IF(
    DATEDIF($B20, TODAY(), "M") &gt;= 11,
    INDEX('Most Recent Import'!$F20:$Q20, 1, MATCH(11 - (COLUMN(M:M) - 5), {0, 1, 2, 3, 4, 5, 6, 7, 8, 9, 10, 11}, 0)),
    IF(
      DATEDIF($B20, TODAY(), "M") + 1 &gt;= COLUMN(M:M) - 5,
      INDEX('Most Recent Import'!$F20:$Q20, 1, MATCH(DATEDIF($B20, TODAY(), "M") + 1 - (COLUMN(M:M) - 5), {0, 1, 2, 3, 4, 5, 6, 7, 8, 9, 10, 11}, 0)),
      ""
    )
  )
</f>
        <v>1</v>
      </c>
      <c r="N20" s="412">
        <f t="array" ref="N20">IF(
    DATEDIF($B20, TODAY(), "M") &gt;= 11,
    INDEX('Most Recent Import'!$F20:$Q20, 1, MATCH(11 - (COLUMN(N:N) - 5), {0, 1, 2, 3, 4, 5, 6, 7, 8, 9, 10, 11}, 0)),
    IF(
      DATEDIF($B20, TODAY(), "M") + 1 &gt;= COLUMN(N:N) - 5,
      INDEX('Most Recent Import'!$F20:$Q20, 1, MATCH(DATEDIF($B20, TODAY(), "M") + 1 - (COLUMN(N:N) - 5), {0, 1, 2, 3, 4, 5, 6, 7, 8, 9, 10, 11}, 0)),
      ""
    )
  )
</f>
        <v>3</v>
      </c>
      <c r="O20" s="412">
        <f t="array" ref="O20">IF(
    DATEDIF($B20, TODAY(), "M") &gt;= 11,
    INDEX('Most Recent Import'!$F20:$Q20, 1, MATCH(11 - (COLUMN(O:O) - 5), {0, 1, 2, 3, 4, 5, 6, 7, 8, 9, 10, 11}, 0)),
    IF(
      DATEDIF($B20, TODAY(), "M") + 1 &gt;= COLUMN(O:O) - 5,
      INDEX('Most Recent Import'!$F20:$Q20, 1, MATCH(DATEDIF($B20, TODAY(), "M") + 1 - (COLUMN(O:O) - 5), {0, 1, 2, 3, 4, 5, 6, 7, 8, 9, 10, 11}, 0)),
      ""
    )
  )
</f>
        <v>2</v>
      </c>
      <c r="P20" s="412">
        <f t="array" ref="P20">IF(
    DATEDIF($B20, TODAY(), "M") &gt;= 11,
    INDEX('Most Recent Import'!$F20:$Q20, 1, MATCH(11 - (COLUMN(P:P) - 5), {0, 1, 2, 3, 4, 5, 6, 7, 8, 9, 10, 11}, 0)),
    IF(
      DATEDIF($B20, TODAY(), "M") + 1 &gt;= COLUMN(P:P) - 5,
      INDEX('Most Recent Import'!$F20:$Q20, 1, MATCH(DATEDIF($B20, TODAY(), "M") + 1 - (COLUMN(P:P) - 5), {0, 1, 2, 3, 4, 5, 6, 7, 8, 9, 10, 11}, 0)),
      ""
    )
  )
</f>
        <v>6</v>
      </c>
    </row>
    <row r="21">
      <c r="A21" s="412" t="str">
        <f>'Most Recent Import'!A21</f>
        <v>rockwell</v>
      </c>
      <c r="B21" s="413">
        <f>IF(ISBLANK(A21), "", DATE(LEFT('Most Recent Import'!C21, 4), RIGHT('Most Recent Import'!C21, 2), 1))</f>
        <v>45200</v>
      </c>
      <c r="C21" s="414">
        <f>'Most Recent Import'!B21</f>
        <v>20000</v>
      </c>
      <c r="D21" s="412">
        <f>'Most Recent Import'!D21</f>
        <v>15</v>
      </c>
      <c r="E21" s="412">
        <f t="array" ref="E21">IF(
    DATEDIF($B21, TODAY(), "M") &gt;= 11,
    INDEX('Most Recent Import'!$F21:$Q21, 1, MATCH(11 - (COLUMN(E:E) - 5), {0, 1, 2, 3, 4, 5, 6, 7, 8, 9, 10, 11}, 0)),
    IF(
      DATEDIF($B21, TODAY(), "M") + 1 &gt;= COLUMN(E:E) - 5,
      INDEX('Most Recent Import'!$F21:$Q21, 1, MATCH(DATEDIF($B21, TODAY(), "M") + 1 - (COLUMN(E:E) - 5), {0, 1, 2, 3, 4, 5, 6, 7, 8, 9, 10, 11}, 0)),
      ""
    )
  )
</f>
        <v>0</v>
      </c>
      <c r="F21" s="412">
        <f t="array" ref="F21">IF(
    DATEDIF($B21, TODAY(), "M") &gt;= 11,
    INDEX('Most Recent Import'!$F21:$Q21, 1, MATCH(11 - (COLUMN(F:F) - 5), {0, 1, 2, 3, 4, 5, 6, 7, 8, 9, 10, 11}, 0)),
    IF(
      DATEDIF($B21, TODAY(), "M") + 1 &gt;= COLUMN(F:F) - 5,
      INDEX('Most Recent Import'!$F21:$Q21, 1, MATCH(DATEDIF($B21, TODAY(), "M") + 1 - (COLUMN(F:F) - 5), {0, 1, 2, 3, 4, 5, 6, 7, 8, 9, 10, 11}, 0)),
      ""
    )
  )
</f>
        <v>0</v>
      </c>
      <c r="G21" s="412">
        <f t="array" ref="G21">IF(
    DATEDIF($B21, TODAY(), "M") &gt;= 11,
    INDEX('Most Recent Import'!$F21:$Q21, 1, MATCH(11 - (COLUMN(G:G) - 5), {0, 1, 2, 3, 4, 5, 6, 7, 8, 9, 10, 11}, 0)),
    IF(
      DATEDIF($B21, TODAY(), "M") + 1 &gt;= COLUMN(G:G) - 5,
      INDEX('Most Recent Import'!$F21:$Q21, 1, MATCH(DATEDIF($B21, TODAY(), "M") + 1 - (COLUMN(G:G) - 5), {0, 1, 2, 3, 4, 5, 6, 7, 8, 9, 10, 11}, 0)),
      ""
    )
  )
</f>
        <v>0</v>
      </c>
      <c r="H21" s="412">
        <f t="array" ref="H21">IF(
    DATEDIF($B21, TODAY(), "M") &gt;= 11,
    INDEX('Most Recent Import'!$F21:$Q21, 1, MATCH(11 - (COLUMN(H:H) - 5), {0, 1, 2, 3, 4, 5, 6, 7, 8, 9, 10, 11}, 0)),
    IF(
      DATEDIF($B21, TODAY(), "M") + 1 &gt;= COLUMN(H:H) - 5,
      INDEX('Most Recent Import'!$F21:$Q21, 1, MATCH(DATEDIF($B21, TODAY(), "M") + 1 - (COLUMN(H:H) - 5), {0, 1, 2, 3, 4, 5, 6, 7, 8, 9, 10, 11}, 0)),
      ""
    )
  )
</f>
        <v>0</v>
      </c>
      <c r="I21" s="412">
        <f t="array" ref="I21">IF(
    DATEDIF($B21, TODAY(), "M") &gt;= 11,
    INDEX('Most Recent Import'!$F21:$Q21, 1, MATCH(11 - (COLUMN(I:I) - 5), {0, 1, 2, 3, 4, 5, 6, 7, 8, 9, 10, 11}, 0)),
    IF(
      DATEDIF($B21, TODAY(), "M") + 1 &gt;= COLUMN(I:I) - 5,
      INDEX('Most Recent Import'!$F21:$Q21, 1, MATCH(DATEDIF($B21, TODAY(), "M") + 1 - (COLUMN(I:I) - 5), {0, 1, 2, 3, 4, 5, 6, 7, 8, 9, 10, 11}, 0)),
      ""
    )
  )
</f>
        <v>0</v>
      </c>
      <c r="J21" s="412">
        <f t="array" ref="J21">IF(
    DATEDIF($B21, TODAY(), "M") &gt;= 11,
    INDEX('Most Recent Import'!$F21:$Q21, 1, MATCH(11 - (COLUMN(J:J) - 5), {0, 1, 2, 3, 4, 5, 6, 7, 8, 9, 10, 11}, 0)),
    IF(
      DATEDIF($B21, TODAY(), "M") + 1 &gt;= COLUMN(J:J) - 5,
      INDEX('Most Recent Import'!$F21:$Q21, 1, MATCH(DATEDIF($B21, TODAY(), "M") + 1 - (COLUMN(J:J) - 5), {0, 1, 2, 3, 4, 5, 6, 7, 8, 9, 10, 11}, 0)),
      ""
    )
  )
</f>
        <v>0</v>
      </c>
      <c r="K21" s="412">
        <f t="array" ref="K21">IF(
    DATEDIF($B21, TODAY(), "M") &gt;= 11,
    INDEX('Most Recent Import'!$F21:$Q21, 1, MATCH(11 - (COLUMN(K:K) - 5), {0, 1, 2, 3, 4, 5, 6, 7, 8, 9, 10, 11}, 0)),
    IF(
      DATEDIF($B21, TODAY(), "M") + 1 &gt;= COLUMN(K:K) - 5,
      INDEX('Most Recent Import'!$F21:$Q21, 1, MATCH(DATEDIF($B21, TODAY(), "M") + 1 - (COLUMN(K:K) - 5), {0, 1, 2, 3, 4, 5, 6, 7, 8, 9, 10, 11}, 0)),
      ""
    )
  )
</f>
        <v>1</v>
      </c>
      <c r="L21" s="412">
        <f t="array" ref="L21">IF(
    DATEDIF($B21, TODAY(), "M") &gt;= 11,
    INDEX('Most Recent Import'!$F21:$Q21, 1, MATCH(11 - (COLUMN(L:L) - 5), {0, 1, 2, 3, 4, 5, 6, 7, 8, 9, 10, 11}, 0)),
    IF(
      DATEDIF($B21, TODAY(), "M") + 1 &gt;= COLUMN(L:L) - 5,
      INDEX('Most Recent Import'!$F21:$Q21, 1, MATCH(DATEDIF($B21, TODAY(), "M") + 1 - (COLUMN(L:L) - 5), {0, 1, 2, 3, 4, 5, 6, 7, 8, 9, 10, 11}, 0)),
      ""
    )
  )
</f>
        <v>12</v>
      </c>
      <c r="M21" s="412">
        <f t="array" ref="M21">IF(
    DATEDIF($B21, TODAY(), "M") &gt;= 11,
    INDEX('Most Recent Import'!$F21:$Q21, 1, MATCH(11 - (COLUMN(M:M) - 5), {0, 1, 2, 3, 4, 5, 6, 7, 8, 9, 10, 11}, 0)),
    IF(
      DATEDIF($B21, TODAY(), "M") + 1 &gt;= COLUMN(M:M) - 5,
      INDEX('Most Recent Import'!$F21:$Q21, 1, MATCH(DATEDIF($B21, TODAY(), "M") + 1 - (COLUMN(M:M) - 5), {0, 1, 2, 3, 4, 5, 6, 7, 8, 9, 10, 11}, 0)),
      ""
    )
  )
</f>
        <v>1</v>
      </c>
      <c r="N21" s="412">
        <f t="array" ref="N21">IF(
    DATEDIF($B21, TODAY(), "M") &gt;= 11,
    INDEX('Most Recent Import'!$F21:$Q21, 1, MATCH(11 - (COLUMN(N:N) - 5), {0, 1, 2, 3, 4, 5, 6, 7, 8, 9, 10, 11}, 0)),
    IF(
      DATEDIF($B21, TODAY(), "M") + 1 &gt;= COLUMN(N:N) - 5,
      INDEX('Most Recent Import'!$F21:$Q21, 1, MATCH(DATEDIF($B21, TODAY(), "M") + 1 - (COLUMN(N:N) - 5), {0, 1, 2, 3, 4, 5, 6, 7, 8, 9, 10, 11}, 0)),
      ""
    )
  )
</f>
        <v>3</v>
      </c>
      <c r="O21" s="412">
        <f t="array" ref="O21">IF(
    DATEDIF($B21, TODAY(), "M") &gt;= 11,
    INDEX('Most Recent Import'!$F21:$Q21, 1, MATCH(11 - (COLUMN(O:O) - 5), {0, 1, 2, 3, 4, 5, 6, 7, 8, 9, 10, 11}, 0)),
    IF(
      DATEDIF($B21, TODAY(), "M") + 1 &gt;= COLUMN(O:O) - 5,
      INDEX('Most Recent Import'!$F21:$Q21, 1, MATCH(DATEDIF($B21, TODAY(), "M") + 1 - (COLUMN(O:O) - 5), {0, 1, 2, 3, 4, 5, 6, 7, 8, 9, 10, 11}, 0)),
      ""
    )
  )
</f>
        <v>2</v>
      </c>
      <c r="P21" s="412">
        <f t="array" ref="P21">IF(
    DATEDIF($B21, TODAY(), "M") &gt;= 11,
    INDEX('Most Recent Import'!$F21:$Q21, 1, MATCH(11 - (COLUMN(P:P) - 5), {0, 1, 2, 3, 4, 5, 6, 7, 8, 9, 10, 11}, 0)),
    IF(
      DATEDIF($B21, TODAY(), "M") + 1 &gt;= COLUMN(P:P) - 5,
      INDEX('Most Recent Import'!$F21:$Q21, 1, MATCH(DATEDIF($B21, TODAY(), "M") + 1 - (COLUMN(P:P) - 5), {0, 1, 2, 3, 4, 5, 6, 7, 8, 9, 10, 11}, 0)),
      ""
    )
  )
</f>
        <v>5</v>
      </c>
    </row>
    <row r="22">
      <c r="A22" s="412" t="str">
        <f>'Most Recent Import'!A22</f>
        <v>snowplow</v>
      </c>
      <c r="B22" s="413">
        <f>IF(ISBLANK(A22), "", DATE(LEFT('Most Recent Import'!C22, 4), RIGHT('Most Recent Import'!C22, 2), 1))</f>
        <v>45200</v>
      </c>
      <c r="C22" s="414">
        <f>'Most Recent Import'!B22</f>
        <v>2000</v>
      </c>
      <c r="D22" s="412">
        <f>'Most Recent Import'!D22</f>
        <v>5</v>
      </c>
      <c r="E22" s="412">
        <f t="array" ref="E22">IF(
    DATEDIF($B22, TODAY(), "M") &gt;= 11,
    INDEX('Most Recent Import'!$F22:$Q22, 1, MATCH(11 - (COLUMN(E:E) - 5), {0, 1, 2, 3, 4, 5, 6, 7, 8, 9, 10, 11}, 0)),
    IF(
      DATEDIF($B22, TODAY(), "M") + 1 &gt;= COLUMN(E:E) - 5,
      INDEX('Most Recent Import'!$F22:$Q22, 1, MATCH(DATEDIF($B22, TODAY(), "M") + 1 - (COLUMN(E:E) - 5), {0, 1, 2, 3, 4, 5, 6, 7, 8, 9, 10, 11}, 0)),
      ""
    )
  )
</f>
        <v>0</v>
      </c>
      <c r="F22" s="412">
        <f t="array" ref="F22">IF(
    DATEDIF($B22, TODAY(), "M") &gt;= 11,
    INDEX('Most Recent Import'!$F22:$Q22, 1, MATCH(11 - (COLUMN(F:F) - 5), {0, 1, 2, 3, 4, 5, 6, 7, 8, 9, 10, 11}, 0)),
    IF(
      DATEDIF($B22, TODAY(), "M") + 1 &gt;= COLUMN(F:F) - 5,
      INDEX('Most Recent Import'!$F22:$Q22, 1, MATCH(DATEDIF($B22, TODAY(), "M") + 1 - (COLUMN(F:F) - 5), {0, 1, 2, 3, 4, 5, 6, 7, 8, 9, 10, 11}, 0)),
      ""
    )
  )
</f>
        <v>0</v>
      </c>
      <c r="G22" s="412">
        <f t="array" ref="G22">IF(
    DATEDIF($B22, TODAY(), "M") &gt;= 11,
    INDEX('Most Recent Import'!$F22:$Q22, 1, MATCH(11 - (COLUMN(G:G) - 5), {0, 1, 2, 3, 4, 5, 6, 7, 8, 9, 10, 11}, 0)),
    IF(
      DATEDIF($B22, TODAY(), "M") + 1 &gt;= COLUMN(G:G) - 5,
      INDEX('Most Recent Import'!$F22:$Q22, 1, MATCH(DATEDIF($B22, TODAY(), "M") + 1 - (COLUMN(G:G) - 5), {0, 1, 2, 3, 4, 5, 6, 7, 8, 9, 10, 11}, 0)),
      ""
    )
  )
</f>
        <v>0</v>
      </c>
      <c r="H22" s="412">
        <f t="array" ref="H22">IF(
    DATEDIF($B22, TODAY(), "M") &gt;= 11,
    INDEX('Most Recent Import'!$F22:$Q22, 1, MATCH(11 - (COLUMN(H:H) - 5), {0, 1, 2, 3, 4, 5, 6, 7, 8, 9, 10, 11}, 0)),
    IF(
      DATEDIF($B22, TODAY(), "M") + 1 &gt;= COLUMN(H:H) - 5,
      INDEX('Most Recent Import'!$F22:$Q22, 1, MATCH(DATEDIF($B22, TODAY(), "M") + 1 - (COLUMN(H:H) - 5), {0, 1, 2, 3, 4, 5, 6, 7, 8, 9, 10, 11}, 0)),
      ""
    )
  )
</f>
        <v>0</v>
      </c>
      <c r="I22" s="412">
        <f t="array" ref="I22">IF(
    DATEDIF($B22, TODAY(), "M") &gt;= 11,
    INDEX('Most Recent Import'!$F22:$Q22, 1, MATCH(11 - (COLUMN(I:I) - 5), {0, 1, 2, 3, 4, 5, 6, 7, 8, 9, 10, 11}, 0)),
    IF(
      DATEDIF($B22, TODAY(), "M") + 1 &gt;= COLUMN(I:I) - 5,
      INDEX('Most Recent Import'!$F22:$Q22, 1, MATCH(DATEDIF($B22, TODAY(), "M") + 1 - (COLUMN(I:I) - 5), {0, 1, 2, 3, 4, 5, 6, 7, 8, 9, 10, 11}, 0)),
      ""
    )
  )
</f>
        <v>0</v>
      </c>
      <c r="J22" s="412">
        <f t="array" ref="J22">IF(
    DATEDIF($B22, TODAY(), "M") &gt;= 11,
    INDEX('Most Recent Import'!$F22:$Q22, 1, MATCH(11 - (COLUMN(J:J) - 5), {0, 1, 2, 3, 4, 5, 6, 7, 8, 9, 10, 11}, 0)),
    IF(
      DATEDIF($B22, TODAY(), "M") + 1 &gt;= COLUMN(J:J) - 5,
      INDEX('Most Recent Import'!$F22:$Q22, 1, MATCH(DATEDIF($B22, TODAY(), "M") + 1 - (COLUMN(J:J) - 5), {0, 1, 2, 3, 4, 5, 6, 7, 8, 9, 10, 11}, 0)),
      ""
    )
  )
</f>
        <v>0</v>
      </c>
      <c r="K22" s="412">
        <f t="array" ref="K22">IF(
    DATEDIF($B22, TODAY(), "M") &gt;= 11,
    INDEX('Most Recent Import'!$F22:$Q22, 1, MATCH(11 - (COLUMN(K:K) - 5), {0, 1, 2, 3, 4, 5, 6, 7, 8, 9, 10, 11}, 0)),
    IF(
      DATEDIF($B22, TODAY(), "M") + 1 &gt;= COLUMN(K:K) - 5,
      INDEX('Most Recent Import'!$F22:$Q22, 1, MATCH(DATEDIF($B22, TODAY(), "M") + 1 - (COLUMN(K:K) - 5), {0, 1, 2, 3, 4, 5, 6, 7, 8, 9, 10, 11}, 0)),
      ""
    )
  )
</f>
        <v>2</v>
      </c>
      <c r="L22" s="412">
        <f t="array" ref="L22">IF(
    DATEDIF($B22, TODAY(), "M") &gt;= 11,
    INDEX('Most Recent Import'!$F22:$Q22, 1, MATCH(11 - (COLUMN(L:L) - 5), {0, 1, 2, 3, 4, 5, 6, 7, 8, 9, 10, 11}, 0)),
    IF(
      DATEDIF($B22, TODAY(), "M") + 1 &gt;= COLUMN(L:L) - 5,
      INDEX('Most Recent Import'!$F22:$Q22, 1, MATCH(DATEDIF($B22, TODAY(), "M") + 1 - (COLUMN(L:L) - 5), {0, 1, 2, 3, 4, 5, 6, 7, 8, 9, 10, 11}, 0)),
      ""
    )
  )
</f>
        <v>1</v>
      </c>
      <c r="M22" s="412">
        <f t="array" ref="M22">IF(
    DATEDIF($B22, TODAY(), "M") &gt;= 11,
    INDEX('Most Recent Import'!$F22:$Q22, 1, MATCH(11 - (COLUMN(M:M) - 5), {0, 1, 2, 3, 4, 5, 6, 7, 8, 9, 10, 11}, 0)),
    IF(
      DATEDIF($B22, TODAY(), "M") + 1 &gt;= COLUMN(M:M) - 5,
      INDEX('Most Recent Import'!$F22:$Q22, 1, MATCH(DATEDIF($B22, TODAY(), "M") + 1 - (COLUMN(M:M) - 5), {0, 1, 2, 3, 4, 5, 6, 7, 8, 9, 10, 11}, 0)),
      ""
    )
  )
</f>
        <v>1</v>
      </c>
      <c r="N22" s="412">
        <f t="array" ref="N22">IF(
    DATEDIF($B22, TODAY(), "M") &gt;= 11,
    INDEX('Most Recent Import'!$F22:$Q22, 1, MATCH(11 - (COLUMN(N:N) - 5), {0, 1, 2, 3, 4, 5, 6, 7, 8, 9, 10, 11}, 0)),
    IF(
      DATEDIF($B22, TODAY(), "M") + 1 &gt;= COLUMN(N:N) - 5,
      INDEX('Most Recent Import'!$F22:$Q22, 1, MATCH(DATEDIF($B22, TODAY(), "M") + 1 - (COLUMN(N:N) - 5), {0, 1, 2, 3, 4, 5, 6, 7, 8, 9, 10, 11}, 0)),
      ""
    )
  )
</f>
        <v>0</v>
      </c>
      <c r="O22" s="412">
        <f t="array" ref="O22">IF(
    DATEDIF($B22, TODAY(), "M") &gt;= 11,
    INDEX('Most Recent Import'!$F22:$Q22, 1, MATCH(11 - (COLUMN(O:O) - 5), {0, 1, 2, 3, 4, 5, 6, 7, 8, 9, 10, 11}, 0)),
    IF(
      DATEDIF($B22, TODAY(), "M") + 1 &gt;= COLUMN(O:O) - 5,
      INDEX('Most Recent Import'!$F22:$Q22, 1, MATCH(DATEDIF($B22, TODAY(), "M") + 1 - (COLUMN(O:O) - 5), {0, 1, 2, 3, 4, 5, 6, 7, 8, 9, 10, 11}, 0)),
      ""
    )
  )
</f>
        <v>3</v>
      </c>
      <c r="P22" s="412">
        <f t="array" ref="P22">IF(
    DATEDIF($B22, TODAY(), "M") &gt;= 11,
    INDEX('Most Recent Import'!$F22:$Q22, 1, MATCH(11 - (COLUMN(P:P) - 5), {0, 1, 2, 3, 4, 5, 6, 7, 8, 9, 10, 11}, 0)),
    IF(
      DATEDIF($B22, TODAY(), "M") + 1 &gt;= COLUMN(P:P) - 5,
      INDEX('Most Recent Import'!$F22:$Q22, 1, MATCH(DATEDIF($B22, TODAY(), "M") + 1 - (COLUMN(P:P) - 5), {0, 1, 2, 3, 4, 5, 6, 7, 8, 9, 10, 11}, 0)),
      ""
    )
  )
</f>
        <v>0</v>
      </c>
    </row>
    <row r="23">
      <c r="A23" s="412" t="str">
        <f>'Most Recent Import'!A23</f>
        <v>predictive_index</v>
      </c>
      <c r="B23" s="413">
        <f>IF(ISBLANK(A23), "", DATE(LEFT('Most Recent Import'!C23, 4), RIGHT('Most Recent Import'!C23, 2), 1))</f>
        <v>45231</v>
      </c>
      <c r="C23" s="414">
        <f>'Most Recent Import'!B23</f>
        <v>2000</v>
      </c>
      <c r="D23" s="412">
        <f>'Most Recent Import'!D23</f>
        <v>2</v>
      </c>
      <c r="E23" s="412">
        <f t="array" ref="E23">IF(
    DATEDIF($B23, TODAY(), "M") &gt;= 11,
    INDEX('Most Recent Import'!$F23:$Q23, 1, MATCH(11 - (COLUMN(E:E) - 5), {0, 1, 2, 3, 4, 5, 6, 7, 8, 9, 10, 11}, 0)),
    IF(
      DATEDIF($B23, TODAY(), "M") + 1 &gt;= COLUMN(E:E) - 5,
      INDEX('Most Recent Import'!$F23:$Q23, 1, MATCH(DATEDIF($B23, TODAY(), "M") + 1 - (COLUMN(E:E) - 5), {0, 1, 2, 3, 4, 5, 6, 7, 8, 9, 10, 11}, 0)),
      ""
    )
  )
</f>
        <v>1</v>
      </c>
      <c r="F23" s="412">
        <f t="array" ref="F23">IF(
    DATEDIF($B23, TODAY(), "M") &gt;= 11,
    INDEX('Most Recent Import'!$F23:$Q23, 1, MATCH(11 - (COLUMN(F:F) - 5), {0, 1, 2, 3, 4, 5, 6, 7, 8, 9, 10, 11}, 0)),
    IF(
      DATEDIF($B23, TODAY(), "M") + 1 &gt;= COLUMN(F:F) - 5,
      INDEX('Most Recent Import'!$F23:$Q23, 1, MATCH(DATEDIF($B23, TODAY(), "M") + 1 - (COLUMN(F:F) - 5), {0, 1, 2, 3, 4, 5, 6, 7, 8, 9, 10, 11}, 0)),
      ""
    )
  )
</f>
        <v>4</v>
      </c>
      <c r="G23" s="412">
        <f t="array" ref="G23">IF(
    DATEDIF($B23, TODAY(), "M") &gt;= 11,
    INDEX('Most Recent Import'!$F23:$Q23, 1, MATCH(11 - (COLUMN(G:G) - 5), {0, 1, 2, 3, 4, 5, 6, 7, 8, 9, 10, 11}, 0)),
    IF(
      DATEDIF($B23, TODAY(), "M") + 1 &gt;= COLUMN(G:G) - 5,
      INDEX('Most Recent Import'!$F23:$Q23, 1, MATCH(DATEDIF($B23, TODAY(), "M") + 1 - (COLUMN(G:G) - 5), {0, 1, 2, 3, 4, 5, 6, 7, 8, 9, 10, 11}, 0)),
      ""
    )
  )
</f>
        <v>0</v>
      </c>
      <c r="H23" s="412">
        <f t="array" ref="H23">IF(
    DATEDIF($B23, TODAY(), "M") &gt;= 11,
    INDEX('Most Recent Import'!$F23:$Q23, 1, MATCH(11 - (COLUMN(H:H) - 5), {0, 1, 2, 3, 4, 5, 6, 7, 8, 9, 10, 11}, 0)),
    IF(
      DATEDIF($B23, TODAY(), "M") + 1 &gt;= COLUMN(H:H) - 5,
      INDEX('Most Recent Import'!$F23:$Q23, 1, MATCH(DATEDIF($B23, TODAY(), "M") + 1 - (COLUMN(H:H) - 5), {0, 1, 2, 3, 4, 5, 6, 7, 8, 9, 10, 11}, 0)),
      ""
    )
  )
</f>
        <v>1</v>
      </c>
      <c r="I23" s="412">
        <f t="array" ref="I23">IF(
    DATEDIF($B23, TODAY(), "M") &gt;= 11,
    INDEX('Most Recent Import'!$F23:$Q23, 1, MATCH(11 - (COLUMN(I:I) - 5), {0, 1, 2, 3, 4, 5, 6, 7, 8, 9, 10, 11}, 0)),
    IF(
      DATEDIF($B23, TODAY(), "M") + 1 &gt;= COLUMN(I:I) - 5,
      INDEX('Most Recent Import'!$F23:$Q23, 1, MATCH(DATEDIF($B23, TODAY(), "M") + 1 - (COLUMN(I:I) - 5), {0, 1, 2, 3, 4, 5, 6, 7, 8, 9, 10, 11}, 0)),
      ""
    )
  )
</f>
        <v>3</v>
      </c>
      <c r="J23" s="412">
        <f t="array" ref="J23">IF(
    DATEDIF($B23, TODAY(), "M") &gt;= 11,
    INDEX('Most Recent Import'!$F23:$Q23, 1, MATCH(11 - (COLUMN(J:J) - 5), {0, 1, 2, 3, 4, 5, 6, 7, 8, 9, 10, 11}, 0)),
    IF(
      DATEDIF($B23, TODAY(), "M") + 1 &gt;= COLUMN(J:J) - 5,
      INDEX('Most Recent Import'!$F23:$Q23, 1, MATCH(DATEDIF($B23, TODAY(), "M") + 1 - (COLUMN(J:J) - 5), {0, 1, 2, 3, 4, 5, 6, 7, 8, 9, 10, 11}, 0)),
      ""
    )
  )
</f>
        <v>3</v>
      </c>
      <c r="K23" s="412">
        <f t="array" ref="K23">IF(
    DATEDIF($B23, TODAY(), "M") &gt;= 11,
    INDEX('Most Recent Import'!$F23:$Q23, 1, MATCH(11 - (COLUMN(K:K) - 5), {0, 1, 2, 3, 4, 5, 6, 7, 8, 9, 10, 11}, 0)),
    IF(
      DATEDIF($B23, TODAY(), "M") + 1 &gt;= COLUMN(K:K) - 5,
      INDEX('Most Recent Import'!$F23:$Q23, 1, MATCH(DATEDIF($B23, TODAY(), "M") + 1 - (COLUMN(K:K) - 5), {0, 1, 2, 3, 4, 5, 6, 7, 8, 9, 10, 11}, 0)),
      ""
    )
  )
</f>
        <v>1</v>
      </c>
      <c r="L23" s="412">
        <f t="array" ref="L23">IF(
    DATEDIF($B23, TODAY(), "M") &gt;= 11,
    INDEX('Most Recent Import'!$F23:$Q23, 1, MATCH(11 - (COLUMN(L:L) - 5), {0, 1, 2, 3, 4, 5, 6, 7, 8, 9, 10, 11}, 0)),
    IF(
      DATEDIF($B23, TODAY(), "M") + 1 &gt;= COLUMN(L:L) - 5,
      INDEX('Most Recent Import'!$F23:$Q23, 1, MATCH(DATEDIF($B23, TODAY(), "M") + 1 - (COLUMN(L:L) - 5), {0, 1, 2, 3, 4, 5, 6, 7, 8, 9, 10, 11}, 0)),
      ""
    )
  )
</f>
        <v>2</v>
      </c>
      <c r="M23" s="412">
        <f t="array" ref="M23">IF(
    DATEDIF($B23, TODAY(), "M") &gt;= 11,
    INDEX('Most Recent Import'!$F23:$Q23, 1, MATCH(11 - (COLUMN(M:M) - 5), {0, 1, 2, 3, 4, 5, 6, 7, 8, 9, 10, 11}, 0)),
    IF(
      DATEDIF($B23, TODAY(), "M") + 1 &gt;= COLUMN(M:M) - 5,
      INDEX('Most Recent Import'!$F23:$Q23, 1, MATCH(DATEDIF($B23, TODAY(), "M") + 1 - (COLUMN(M:M) - 5), {0, 1, 2, 3, 4, 5, 6, 7, 8, 9, 10, 11}, 0)),
      ""
    )
  )
</f>
        <v>1</v>
      </c>
      <c r="N23" s="412">
        <f t="array" ref="N23">IF(
    DATEDIF($B23, TODAY(), "M") &gt;= 11,
    INDEX('Most Recent Import'!$F23:$Q23, 1, MATCH(11 - (COLUMN(N:N) - 5), {0, 1, 2, 3, 4, 5, 6, 7, 8, 9, 10, 11}, 0)),
    IF(
      DATEDIF($B23, TODAY(), "M") + 1 &gt;= COLUMN(N:N) - 5,
      INDEX('Most Recent Import'!$F23:$Q23, 1, MATCH(DATEDIF($B23, TODAY(), "M") + 1 - (COLUMN(N:N) - 5), {0, 1, 2, 3, 4, 5, 6, 7, 8, 9, 10, 11}, 0)),
      ""
    )
  )
</f>
        <v>3</v>
      </c>
      <c r="O23" s="412">
        <f t="array" ref="O23">IF(
    DATEDIF($B23, TODAY(), "M") &gt;= 11,
    INDEX('Most Recent Import'!$F23:$Q23, 1, MATCH(11 - (COLUMN(O:O) - 5), {0, 1, 2, 3, 4, 5, 6, 7, 8, 9, 10, 11}, 0)),
    IF(
      DATEDIF($B23, TODAY(), "M") + 1 &gt;= COLUMN(O:O) - 5,
      INDEX('Most Recent Import'!$F23:$Q23, 1, MATCH(DATEDIF($B23, TODAY(), "M") + 1 - (COLUMN(O:O) - 5), {0, 1, 2, 3, 4, 5, 6, 7, 8, 9, 10, 11}, 0)),
      ""
    )
  )
</f>
        <v>1</v>
      </c>
      <c r="P23" s="412">
        <f t="array" ref="P23">IF(
    DATEDIF($B23, TODAY(), "M") &gt;= 11,
    INDEX('Most Recent Import'!$F23:$Q23, 1, MATCH(11 - (COLUMN(P:P) - 5), {0, 1, 2, 3, 4, 5, 6, 7, 8, 9, 10, 11}, 0)),
    IF(
      DATEDIF($B23, TODAY(), "M") + 1 &gt;= COLUMN(P:P) - 5,
      INDEX('Most Recent Import'!$F23:$Q23, 1, MATCH(DATEDIF($B23, TODAY(), "M") + 1 - (COLUMN(P:P) - 5), {0, 1, 2, 3, 4, 5, 6, 7, 8, 9, 10, 11}, 0)),
      ""
    )
  )
</f>
        <v>1</v>
      </c>
    </row>
    <row r="24">
      <c r="A24" s="412" t="str">
        <f>'Most Recent Import'!A24</f>
        <v>biorender</v>
      </c>
      <c r="B24" s="413">
        <f>IF(ISBLANK(A24), "", DATE(LEFT('Most Recent Import'!C24, 4), RIGHT('Most Recent Import'!C24, 2), 1))</f>
        <v>45261</v>
      </c>
      <c r="C24" s="414">
        <f>'Most Recent Import'!B24</f>
        <v>2000</v>
      </c>
      <c r="D24" s="412">
        <f>'Most Recent Import'!D24</f>
        <v>6</v>
      </c>
      <c r="E24" s="412">
        <f t="array" ref="E24">IF(
    DATEDIF($B24, TODAY(), "M") &gt;= 11,
    INDEX('Most Recent Import'!$F24:$Q24, 1, MATCH(11 - (COLUMN(E:E) - 5), {0, 1, 2, 3, 4, 5, 6, 7, 8, 9, 10, 11}, 0)),
    IF(
      DATEDIF($B24, TODAY(), "M") + 1 &gt;= COLUMN(E:E) - 5,
      INDEX('Most Recent Import'!$F24:$Q24, 1, MATCH(DATEDIF($B24, TODAY(), "M") + 1 - (COLUMN(E:E) - 5), {0, 1, 2, 3, 4, 5, 6, 7, 8, 9, 10, 11}, 0)),
      ""
    )
  )
</f>
        <v>3</v>
      </c>
      <c r="F24" s="412">
        <f t="array" ref="F24">IF(
    DATEDIF($B24, TODAY(), "M") &gt;= 11,
    INDEX('Most Recent Import'!$F24:$Q24, 1, MATCH(11 - (COLUMN(F:F) - 5), {0, 1, 2, 3, 4, 5, 6, 7, 8, 9, 10, 11}, 0)),
    IF(
      DATEDIF($B24, TODAY(), "M") + 1 &gt;= COLUMN(F:F) - 5,
      INDEX('Most Recent Import'!$F24:$Q24, 1, MATCH(DATEDIF($B24, TODAY(), "M") + 1 - (COLUMN(F:F) - 5), {0, 1, 2, 3, 4, 5, 6, 7, 8, 9, 10, 11}, 0)),
      ""
    )
  )
</f>
        <v>3</v>
      </c>
      <c r="G24" s="412">
        <f t="array" ref="G24">IF(
    DATEDIF($B24, TODAY(), "M") &gt;= 11,
    INDEX('Most Recent Import'!$F24:$Q24, 1, MATCH(11 - (COLUMN(G:G) - 5), {0, 1, 2, 3, 4, 5, 6, 7, 8, 9, 10, 11}, 0)),
    IF(
      DATEDIF($B24, TODAY(), "M") + 1 &gt;= COLUMN(G:G) - 5,
      INDEX('Most Recent Import'!$F24:$Q24, 1, MATCH(DATEDIF($B24, TODAY(), "M") + 1 - (COLUMN(G:G) - 5), {0, 1, 2, 3, 4, 5, 6, 7, 8, 9, 10, 11}, 0)),
      ""
    )
  )
</f>
        <v>8</v>
      </c>
      <c r="H24" s="412">
        <f t="array" ref="H24">IF(
    DATEDIF($B24, TODAY(), "M") &gt;= 11,
    INDEX('Most Recent Import'!$F24:$Q24, 1, MATCH(11 - (COLUMN(H:H) - 5), {0, 1, 2, 3, 4, 5, 6, 7, 8, 9, 10, 11}, 0)),
    IF(
      DATEDIF($B24, TODAY(), "M") + 1 &gt;= COLUMN(H:H) - 5,
      INDEX('Most Recent Import'!$F24:$Q24, 1, MATCH(DATEDIF($B24, TODAY(), "M") + 1 - (COLUMN(H:H) - 5), {0, 1, 2, 3, 4, 5, 6, 7, 8, 9, 10, 11}, 0)),
      ""
    )
  )
</f>
        <v>2</v>
      </c>
      <c r="I24" s="412">
        <f t="array" ref="I24">IF(
    DATEDIF($B24, TODAY(), "M") &gt;= 11,
    INDEX('Most Recent Import'!$F24:$Q24, 1, MATCH(11 - (COLUMN(I:I) - 5), {0, 1, 2, 3, 4, 5, 6, 7, 8, 9, 10, 11}, 0)),
    IF(
      DATEDIF($B24, TODAY(), "M") + 1 &gt;= COLUMN(I:I) - 5,
      INDEX('Most Recent Import'!$F24:$Q24, 1, MATCH(DATEDIF($B24, TODAY(), "M") + 1 - (COLUMN(I:I) - 5), {0, 1, 2, 3, 4, 5, 6, 7, 8, 9, 10, 11}, 0)),
      ""
    )
  )
</f>
        <v>8</v>
      </c>
      <c r="J24" s="412">
        <f t="array" ref="J24">IF(
    DATEDIF($B24, TODAY(), "M") &gt;= 11,
    INDEX('Most Recent Import'!$F24:$Q24, 1, MATCH(11 - (COLUMN(J:J) - 5), {0, 1, 2, 3, 4, 5, 6, 7, 8, 9, 10, 11}, 0)),
    IF(
      DATEDIF($B24, TODAY(), "M") + 1 &gt;= COLUMN(J:J) - 5,
      INDEX('Most Recent Import'!$F24:$Q24, 1, MATCH(DATEDIF($B24, TODAY(), "M") + 1 - (COLUMN(J:J) - 5), {0, 1, 2, 3, 4, 5, 6, 7, 8, 9, 10, 11}, 0)),
      ""
    )
  )
</f>
        <v>7</v>
      </c>
      <c r="K24" s="412">
        <f t="array" ref="K24">IF(
    DATEDIF($B24, TODAY(), "M") &gt;= 11,
    INDEX('Most Recent Import'!$F24:$Q24, 1, MATCH(11 - (COLUMN(K:K) - 5), {0, 1, 2, 3, 4, 5, 6, 7, 8, 9, 10, 11}, 0)),
    IF(
      DATEDIF($B24, TODAY(), "M") + 1 &gt;= COLUMN(K:K) - 5,
      INDEX('Most Recent Import'!$F24:$Q24, 1, MATCH(DATEDIF($B24, TODAY(), "M") + 1 - (COLUMN(K:K) - 5), {0, 1, 2, 3, 4, 5, 6, 7, 8, 9, 10, 11}, 0)),
      ""
    )
  )
</f>
        <v>1</v>
      </c>
      <c r="L24" s="412">
        <f t="array" ref="L24">IF(
    DATEDIF($B24, TODAY(), "M") &gt;= 11,
    INDEX('Most Recent Import'!$F24:$Q24, 1, MATCH(11 - (COLUMN(L:L) - 5), {0, 1, 2, 3, 4, 5, 6, 7, 8, 9, 10, 11}, 0)),
    IF(
      DATEDIF($B24, TODAY(), "M") + 1 &gt;= COLUMN(L:L) - 5,
      INDEX('Most Recent Import'!$F24:$Q24, 1, MATCH(DATEDIF($B24, TODAY(), "M") + 1 - (COLUMN(L:L) - 5), {0, 1, 2, 3, 4, 5, 6, 7, 8, 9, 10, 11}, 0)),
      ""
    )
  )
</f>
        <v>4</v>
      </c>
      <c r="M24" s="412">
        <f t="array" ref="M24">IF(
    DATEDIF($B24, TODAY(), "M") &gt;= 11,
    INDEX('Most Recent Import'!$F24:$Q24, 1, MATCH(11 - (COLUMN(M:M) - 5), {0, 1, 2, 3, 4, 5, 6, 7, 8, 9, 10, 11}, 0)),
    IF(
      DATEDIF($B24, TODAY(), "M") + 1 &gt;= COLUMN(M:M) - 5,
      INDEX('Most Recent Import'!$F24:$Q24, 1, MATCH(DATEDIF($B24, TODAY(), "M") + 1 - (COLUMN(M:M) - 5), {0, 1, 2, 3, 4, 5, 6, 7, 8, 9, 10, 11}, 0)),
      ""
    )
  )
</f>
        <v>3</v>
      </c>
      <c r="N24" s="412">
        <f t="array" ref="N24">IF(
    DATEDIF($B24, TODAY(), "M") &gt;= 11,
    INDEX('Most Recent Import'!$F24:$Q24, 1, MATCH(11 - (COLUMN(N:N) - 5), {0, 1, 2, 3, 4, 5, 6, 7, 8, 9, 10, 11}, 0)),
    IF(
      DATEDIF($B24, TODAY(), "M") + 1 &gt;= COLUMN(N:N) - 5,
      INDEX('Most Recent Import'!$F24:$Q24, 1, MATCH(DATEDIF($B24, TODAY(), "M") + 1 - (COLUMN(N:N) - 5), {0, 1, 2, 3, 4, 5, 6, 7, 8, 9, 10, 11}, 0)),
      ""
    )
  )
</f>
        <v>2</v>
      </c>
      <c r="O24" s="412">
        <f t="array" ref="O24">IF(
    DATEDIF($B24, TODAY(), "M") &gt;= 11,
    INDEX('Most Recent Import'!$F24:$Q24, 1, MATCH(11 - (COLUMN(O:O) - 5), {0, 1, 2, 3, 4, 5, 6, 7, 8, 9, 10, 11}, 0)),
    IF(
      DATEDIF($B24, TODAY(), "M") + 1 &gt;= COLUMN(O:O) - 5,
      INDEX('Most Recent Import'!$F24:$Q24, 1, MATCH(DATEDIF($B24, TODAY(), "M") + 1 - (COLUMN(O:O) - 5), {0, 1, 2, 3, 4, 5, 6, 7, 8, 9, 10, 11}, 0)),
      ""
    )
  )
</f>
        <v>5</v>
      </c>
      <c r="P24" s="412">
        <f t="array" ref="P24">IF(
    DATEDIF($B24, TODAY(), "M") &gt;= 11,
    INDEX('Most Recent Import'!$F24:$Q24, 1, MATCH(11 - (COLUMN(P:P) - 5), {0, 1, 2, 3, 4, 5, 6, 7, 8, 9, 10, 11}, 0)),
    IF(
      DATEDIF($B24, TODAY(), "M") + 1 &gt;= COLUMN(P:P) - 5,
      INDEX('Most Recent Import'!$F24:$Q24, 1, MATCH(DATEDIF($B24, TODAY(), "M") + 1 - (COLUMN(P:P) - 5), {0, 1, 2, 3, 4, 5, 6, 7, 8, 9, 10, 11}, 0)),
      ""
    )
  )
</f>
        <v>9</v>
      </c>
    </row>
    <row r="25">
      <c r="A25" s="412" t="str">
        <f>'Most Recent Import'!A25</f>
        <v>checkr</v>
      </c>
      <c r="B25" s="413">
        <f>IF(ISBLANK(A25), "", DATE(LEFT('Most Recent Import'!C25, 4), RIGHT('Most Recent Import'!C25, 2), 1))</f>
        <v>45261</v>
      </c>
      <c r="C25" s="414">
        <f>'Most Recent Import'!B25</f>
        <v>10000</v>
      </c>
      <c r="D25" s="412">
        <f>'Most Recent Import'!D25</f>
        <v>3</v>
      </c>
      <c r="E25" s="412">
        <f t="array" ref="E25">IF(
    DATEDIF($B25, TODAY(), "M") &gt;= 11,
    INDEX('Most Recent Import'!$F25:$Q25, 1, MATCH(11 - (COLUMN(E:E) - 5), {0, 1, 2, 3, 4, 5, 6, 7, 8, 9, 10, 11}, 0)),
    IF(
      DATEDIF($B25, TODAY(), "M") + 1 &gt;= COLUMN(E:E) - 5,
      INDEX('Most Recent Import'!$F25:$Q25, 1, MATCH(DATEDIF($B25, TODAY(), "M") + 1 - (COLUMN(E:E) - 5), {0, 1, 2, 3, 4, 5, 6, 7, 8, 9, 10, 11}, 0)),
      ""
    )
  )
</f>
        <v>0</v>
      </c>
      <c r="F25" s="412">
        <f t="array" ref="F25">IF(
    DATEDIF($B25, TODAY(), "M") &gt;= 11,
    INDEX('Most Recent Import'!$F25:$Q25, 1, MATCH(11 - (COLUMN(F:F) - 5), {0, 1, 2, 3, 4, 5, 6, 7, 8, 9, 10, 11}, 0)),
    IF(
      DATEDIF($B25, TODAY(), "M") + 1 &gt;= COLUMN(F:F) - 5,
      INDEX('Most Recent Import'!$F25:$Q25, 1, MATCH(DATEDIF($B25, TODAY(), "M") + 1 - (COLUMN(F:F) - 5), {0, 1, 2, 3, 4, 5, 6, 7, 8, 9, 10, 11}, 0)),
      ""
    )
  )
</f>
        <v>1</v>
      </c>
      <c r="G25" s="412">
        <f t="array" ref="G25">IF(
    DATEDIF($B25, TODAY(), "M") &gt;= 11,
    INDEX('Most Recent Import'!$F25:$Q25, 1, MATCH(11 - (COLUMN(G:G) - 5), {0, 1, 2, 3, 4, 5, 6, 7, 8, 9, 10, 11}, 0)),
    IF(
      DATEDIF($B25, TODAY(), "M") + 1 &gt;= COLUMN(G:G) - 5,
      INDEX('Most Recent Import'!$F25:$Q25, 1, MATCH(DATEDIF($B25, TODAY(), "M") + 1 - (COLUMN(G:G) - 5), {0, 1, 2, 3, 4, 5, 6, 7, 8, 9, 10, 11}, 0)),
      ""
    )
  )
</f>
        <v>2</v>
      </c>
      <c r="H25" s="412">
        <f t="array" ref="H25">IF(
    DATEDIF($B25, TODAY(), "M") &gt;= 11,
    INDEX('Most Recent Import'!$F25:$Q25, 1, MATCH(11 - (COLUMN(H:H) - 5), {0, 1, 2, 3, 4, 5, 6, 7, 8, 9, 10, 11}, 0)),
    IF(
      DATEDIF($B25, TODAY(), "M") + 1 &gt;= COLUMN(H:H) - 5,
      INDEX('Most Recent Import'!$F25:$Q25, 1, MATCH(DATEDIF($B25, TODAY(), "M") + 1 - (COLUMN(H:H) - 5), {0, 1, 2, 3, 4, 5, 6, 7, 8, 9, 10, 11}, 0)),
      ""
    )
  )
</f>
        <v>0</v>
      </c>
      <c r="I25" s="412">
        <f t="array" ref="I25">IF(
    DATEDIF($B25, TODAY(), "M") &gt;= 11,
    INDEX('Most Recent Import'!$F25:$Q25, 1, MATCH(11 - (COLUMN(I:I) - 5), {0, 1, 2, 3, 4, 5, 6, 7, 8, 9, 10, 11}, 0)),
    IF(
      DATEDIF($B25, TODAY(), "M") + 1 &gt;= COLUMN(I:I) - 5,
      INDEX('Most Recent Import'!$F25:$Q25, 1, MATCH(DATEDIF($B25, TODAY(), "M") + 1 - (COLUMN(I:I) - 5), {0, 1, 2, 3, 4, 5, 6, 7, 8, 9, 10, 11}, 0)),
      ""
    )
  )
</f>
        <v>5</v>
      </c>
      <c r="J25" s="412">
        <f t="array" ref="J25">IF(
    DATEDIF($B25, TODAY(), "M") &gt;= 11,
    INDEX('Most Recent Import'!$F25:$Q25, 1, MATCH(11 - (COLUMN(J:J) - 5), {0, 1, 2, 3, 4, 5, 6, 7, 8, 9, 10, 11}, 0)),
    IF(
      DATEDIF($B25, TODAY(), "M") + 1 &gt;= COLUMN(J:J) - 5,
      INDEX('Most Recent Import'!$F25:$Q25, 1, MATCH(DATEDIF($B25, TODAY(), "M") + 1 - (COLUMN(J:J) - 5), {0, 1, 2, 3, 4, 5, 6, 7, 8, 9, 10, 11}, 0)),
      ""
    )
  )
</f>
        <v>1</v>
      </c>
      <c r="K25" s="412">
        <f t="array" ref="K25">IF(
    DATEDIF($B25, TODAY(), "M") &gt;= 11,
    INDEX('Most Recent Import'!$F25:$Q25, 1, MATCH(11 - (COLUMN(K:K) - 5), {0, 1, 2, 3, 4, 5, 6, 7, 8, 9, 10, 11}, 0)),
    IF(
      DATEDIF($B25, TODAY(), "M") + 1 &gt;= COLUMN(K:K) - 5,
      INDEX('Most Recent Import'!$F25:$Q25, 1, MATCH(DATEDIF($B25, TODAY(), "M") + 1 - (COLUMN(K:K) - 5), {0, 1, 2, 3, 4, 5, 6, 7, 8, 9, 10, 11}, 0)),
      ""
    )
  )
</f>
        <v>4</v>
      </c>
      <c r="L25" s="412">
        <f t="array" ref="L25">IF(
    DATEDIF($B25, TODAY(), "M") &gt;= 11,
    INDEX('Most Recent Import'!$F25:$Q25, 1, MATCH(11 - (COLUMN(L:L) - 5), {0, 1, 2, 3, 4, 5, 6, 7, 8, 9, 10, 11}, 0)),
    IF(
      DATEDIF($B25, TODAY(), "M") + 1 &gt;= COLUMN(L:L) - 5,
      INDEX('Most Recent Import'!$F25:$Q25, 1, MATCH(DATEDIF($B25, TODAY(), "M") + 1 - (COLUMN(L:L) - 5), {0, 1, 2, 3, 4, 5, 6, 7, 8, 9, 10, 11}, 0)),
      ""
    )
  )
</f>
        <v>4</v>
      </c>
      <c r="M25" s="412">
        <f t="array" ref="M25">IF(
    DATEDIF($B25, TODAY(), "M") &gt;= 11,
    INDEX('Most Recent Import'!$F25:$Q25, 1, MATCH(11 - (COLUMN(M:M) - 5), {0, 1, 2, 3, 4, 5, 6, 7, 8, 9, 10, 11}, 0)),
    IF(
      DATEDIF($B25, TODAY(), "M") + 1 &gt;= COLUMN(M:M) - 5,
      INDEX('Most Recent Import'!$F25:$Q25, 1, MATCH(DATEDIF($B25, TODAY(), "M") + 1 - (COLUMN(M:M) - 5), {0, 1, 2, 3, 4, 5, 6, 7, 8, 9, 10, 11}, 0)),
      ""
    )
  )
</f>
        <v>1</v>
      </c>
      <c r="N25" s="412">
        <f t="array" ref="N25">IF(
    DATEDIF($B25, TODAY(), "M") &gt;= 11,
    INDEX('Most Recent Import'!$F25:$Q25, 1, MATCH(11 - (COLUMN(N:N) - 5), {0, 1, 2, 3, 4, 5, 6, 7, 8, 9, 10, 11}, 0)),
    IF(
      DATEDIF($B25, TODAY(), "M") + 1 &gt;= COLUMN(N:N) - 5,
      INDEX('Most Recent Import'!$F25:$Q25, 1, MATCH(DATEDIF($B25, TODAY(), "M") + 1 - (COLUMN(N:N) - 5), {0, 1, 2, 3, 4, 5, 6, 7, 8, 9, 10, 11}, 0)),
      ""
    )
  )
</f>
        <v>2</v>
      </c>
      <c r="O25" s="412">
        <f t="array" ref="O25">IF(
    DATEDIF($B25, TODAY(), "M") &gt;= 11,
    INDEX('Most Recent Import'!$F25:$Q25, 1, MATCH(11 - (COLUMN(O:O) - 5), {0, 1, 2, 3, 4, 5, 6, 7, 8, 9, 10, 11}, 0)),
    IF(
      DATEDIF($B25, TODAY(), "M") + 1 &gt;= COLUMN(O:O) - 5,
      INDEX('Most Recent Import'!$F25:$Q25, 1, MATCH(DATEDIF($B25, TODAY(), "M") + 1 - (COLUMN(O:O) - 5), {0, 1, 2, 3, 4, 5, 6, 7, 8, 9, 10, 11}, 0)),
      ""
    )
  )
</f>
        <v>3</v>
      </c>
      <c r="P25" s="412">
        <f t="array" ref="P25">IF(
    DATEDIF($B25, TODAY(), "M") &gt;= 11,
    INDEX('Most Recent Import'!$F25:$Q25, 1, MATCH(11 - (COLUMN(P:P) - 5), {0, 1, 2, 3, 4, 5, 6, 7, 8, 9, 10, 11}, 0)),
    IF(
      DATEDIF($B25, TODAY(), "M") + 1 &gt;= COLUMN(P:P) - 5,
      INDEX('Most Recent Import'!$F25:$Q25, 1, MATCH(DATEDIF($B25, TODAY(), "M") + 1 - (COLUMN(P:P) - 5), {0, 1, 2, 3, 4, 5, 6, 7, 8, 9, 10, 11}, 0)),
      ""
    )
  )
</f>
        <v>3</v>
      </c>
    </row>
    <row r="26">
      <c r="A26" s="412" t="str">
        <f>'Most Recent Import'!A26</f>
        <v>gp-research</v>
      </c>
      <c r="B26" s="413">
        <f>IF(ISBLANK(A26), "", DATE(LEFT('Most Recent Import'!C26, 4), RIGHT('Most Recent Import'!C26, 2), 1))</f>
        <v>45261</v>
      </c>
      <c r="C26" s="414">
        <f>'Most Recent Import'!B26</f>
        <v>10000</v>
      </c>
      <c r="D26" s="412">
        <f>'Most Recent Import'!D26</f>
        <v>4</v>
      </c>
      <c r="E26" s="412">
        <f t="array" ref="E26">IF(
    DATEDIF($B26, TODAY(), "M") &gt;= 11,
    INDEX('Most Recent Import'!$F26:$Q26, 1, MATCH(11 - (COLUMN(E:E) - 5), {0, 1, 2, 3, 4, 5, 6, 7, 8, 9, 10, 11}, 0)),
    IF(
      DATEDIF($B26, TODAY(), "M") + 1 &gt;= COLUMN(E:E) - 5,
      INDEX('Most Recent Import'!$F26:$Q26, 1, MATCH(DATEDIF($B26, TODAY(), "M") + 1 - (COLUMN(E:E) - 5), {0, 1, 2, 3, 4, 5, 6, 7, 8, 9, 10, 11}, 0)),
      ""
    )
  )
</f>
        <v>0</v>
      </c>
      <c r="F26" s="412">
        <f t="array" ref="F26">IF(
    DATEDIF($B26, TODAY(), "M") &gt;= 11,
    INDEX('Most Recent Import'!$F26:$Q26, 1, MATCH(11 - (COLUMN(F:F) - 5), {0, 1, 2, 3, 4, 5, 6, 7, 8, 9, 10, 11}, 0)),
    IF(
      DATEDIF($B26, TODAY(), "M") + 1 &gt;= COLUMN(F:F) - 5,
      INDEX('Most Recent Import'!$F26:$Q26, 1, MATCH(DATEDIF($B26, TODAY(), "M") + 1 - (COLUMN(F:F) - 5), {0, 1, 2, 3, 4, 5, 6, 7, 8, 9, 10, 11}, 0)),
      ""
    )
  )
</f>
        <v>0</v>
      </c>
      <c r="G26" s="412">
        <f t="array" ref="G26">IF(
    DATEDIF($B26, TODAY(), "M") &gt;= 11,
    INDEX('Most Recent Import'!$F26:$Q26, 1, MATCH(11 - (COLUMN(G:G) - 5), {0, 1, 2, 3, 4, 5, 6, 7, 8, 9, 10, 11}, 0)),
    IF(
      DATEDIF($B26, TODAY(), "M") + 1 &gt;= COLUMN(G:G) - 5,
      INDEX('Most Recent Import'!$F26:$Q26, 1, MATCH(DATEDIF($B26, TODAY(), "M") + 1 - (COLUMN(G:G) - 5), {0, 1, 2, 3, 4, 5, 6, 7, 8, 9, 10, 11}, 0)),
      ""
    )
  )
</f>
        <v>0</v>
      </c>
      <c r="H26" s="412">
        <f t="array" ref="H26">IF(
    DATEDIF($B26, TODAY(), "M") &gt;= 11,
    INDEX('Most Recent Import'!$F26:$Q26, 1, MATCH(11 - (COLUMN(H:H) - 5), {0, 1, 2, 3, 4, 5, 6, 7, 8, 9, 10, 11}, 0)),
    IF(
      DATEDIF($B26, TODAY(), "M") + 1 &gt;= COLUMN(H:H) - 5,
      INDEX('Most Recent Import'!$F26:$Q26, 1, MATCH(DATEDIF($B26, TODAY(), "M") + 1 - (COLUMN(H:H) - 5), {0, 1, 2, 3, 4, 5, 6, 7, 8, 9, 10, 11}, 0)),
      ""
    )
  )
</f>
        <v>2</v>
      </c>
      <c r="I26" s="412">
        <f t="array" ref="I26">IF(
    DATEDIF($B26, TODAY(), "M") &gt;= 11,
    INDEX('Most Recent Import'!$F26:$Q26, 1, MATCH(11 - (COLUMN(I:I) - 5), {0, 1, 2, 3, 4, 5, 6, 7, 8, 9, 10, 11}, 0)),
    IF(
      DATEDIF($B26, TODAY(), "M") + 1 &gt;= COLUMN(I:I) - 5,
      INDEX('Most Recent Import'!$F26:$Q26, 1, MATCH(DATEDIF($B26, TODAY(), "M") + 1 - (COLUMN(I:I) - 5), {0, 1, 2, 3, 4, 5, 6, 7, 8, 9, 10, 11}, 0)),
      ""
    )
  )
</f>
        <v>6</v>
      </c>
      <c r="J26" s="412">
        <f t="array" ref="J26">IF(
    DATEDIF($B26, TODAY(), "M") &gt;= 11,
    INDEX('Most Recent Import'!$F26:$Q26, 1, MATCH(11 - (COLUMN(J:J) - 5), {0, 1, 2, 3, 4, 5, 6, 7, 8, 9, 10, 11}, 0)),
    IF(
      DATEDIF($B26, TODAY(), "M") + 1 &gt;= COLUMN(J:J) - 5,
      INDEX('Most Recent Import'!$F26:$Q26, 1, MATCH(DATEDIF($B26, TODAY(), "M") + 1 - (COLUMN(J:J) - 5), {0, 1, 2, 3, 4, 5, 6, 7, 8, 9, 10, 11}, 0)),
      ""
    )
  )
</f>
        <v>3</v>
      </c>
      <c r="K26" s="412">
        <f t="array" ref="K26">IF(
    DATEDIF($B26, TODAY(), "M") &gt;= 11,
    INDEX('Most Recent Import'!$F26:$Q26, 1, MATCH(11 - (COLUMN(K:K) - 5), {0, 1, 2, 3, 4, 5, 6, 7, 8, 9, 10, 11}, 0)),
    IF(
      DATEDIF($B26, TODAY(), "M") + 1 &gt;= COLUMN(K:K) - 5,
      INDEX('Most Recent Import'!$F26:$Q26, 1, MATCH(DATEDIF($B26, TODAY(), "M") + 1 - (COLUMN(K:K) - 5), {0, 1, 2, 3, 4, 5, 6, 7, 8, 9, 10, 11}, 0)),
      ""
    )
  )
</f>
        <v>2</v>
      </c>
      <c r="L26" s="412">
        <f t="array" ref="L26">IF(
    DATEDIF($B26, TODAY(), "M") &gt;= 11,
    INDEX('Most Recent Import'!$F26:$Q26, 1, MATCH(11 - (COLUMN(L:L) - 5), {0, 1, 2, 3, 4, 5, 6, 7, 8, 9, 10, 11}, 0)),
    IF(
      DATEDIF($B26, TODAY(), "M") + 1 &gt;= COLUMN(L:L) - 5,
      INDEX('Most Recent Import'!$F26:$Q26, 1, MATCH(DATEDIF($B26, TODAY(), "M") + 1 - (COLUMN(L:L) - 5), {0, 1, 2, 3, 4, 5, 6, 7, 8, 9, 10, 11}, 0)),
      ""
    )
  )
</f>
        <v>7</v>
      </c>
      <c r="M26" s="412">
        <f t="array" ref="M26">IF(
    DATEDIF($B26, TODAY(), "M") &gt;= 11,
    INDEX('Most Recent Import'!$F26:$Q26, 1, MATCH(11 - (COLUMN(M:M) - 5), {0, 1, 2, 3, 4, 5, 6, 7, 8, 9, 10, 11}, 0)),
    IF(
      DATEDIF($B26, TODAY(), "M") + 1 &gt;= COLUMN(M:M) - 5,
      INDEX('Most Recent Import'!$F26:$Q26, 1, MATCH(DATEDIF($B26, TODAY(), "M") + 1 - (COLUMN(M:M) - 5), {0, 1, 2, 3, 4, 5, 6, 7, 8, 9, 10, 11}, 0)),
      ""
    )
  )
</f>
        <v>1</v>
      </c>
      <c r="N26" s="412">
        <f t="array" ref="N26">IF(
    DATEDIF($B26, TODAY(), "M") &gt;= 11,
    INDEX('Most Recent Import'!$F26:$Q26, 1, MATCH(11 - (COLUMN(N:N) - 5), {0, 1, 2, 3, 4, 5, 6, 7, 8, 9, 10, 11}, 0)),
    IF(
      DATEDIF($B26, TODAY(), "M") + 1 &gt;= COLUMN(N:N) - 5,
      INDEX('Most Recent Import'!$F26:$Q26, 1, MATCH(DATEDIF($B26, TODAY(), "M") + 1 - (COLUMN(N:N) - 5), {0, 1, 2, 3, 4, 5, 6, 7, 8, 9, 10, 11}, 0)),
      ""
    )
  )
</f>
        <v>1</v>
      </c>
      <c r="O26" s="412">
        <f t="array" ref="O26">IF(
    DATEDIF($B26, TODAY(), "M") &gt;= 11,
    INDEX('Most Recent Import'!$F26:$Q26, 1, MATCH(11 - (COLUMN(O:O) - 5), {0, 1, 2, 3, 4, 5, 6, 7, 8, 9, 10, 11}, 0)),
    IF(
      DATEDIF($B26, TODAY(), "M") + 1 &gt;= COLUMN(O:O) - 5,
      INDEX('Most Recent Import'!$F26:$Q26, 1, MATCH(DATEDIF($B26, TODAY(), "M") + 1 - (COLUMN(O:O) - 5), {0, 1, 2, 3, 4, 5, 6, 7, 8, 9, 10, 11}, 0)),
      ""
    )
  )
</f>
        <v>4</v>
      </c>
      <c r="P26" s="412">
        <f t="array" ref="P26">IF(
    DATEDIF($B26, TODAY(), "M") &gt;= 11,
    INDEX('Most Recent Import'!$F26:$Q26, 1, MATCH(11 - (COLUMN(P:P) - 5), {0, 1, 2, 3, 4, 5, 6, 7, 8, 9, 10, 11}, 0)),
    IF(
      DATEDIF($B26, TODAY(), "M") + 1 &gt;= COLUMN(P:P) - 5,
      INDEX('Most Recent Import'!$F26:$Q26, 1, MATCH(DATEDIF($B26, TODAY(), "M") + 1 - (COLUMN(P:P) - 5), {0, 1, 2, 3, 4, 5, 6, 7, 8, 9, 10, 11}, 0)),
      ""
    )
  )
</f>
        <v>3</v>
      </c>
    </row>
    <row r="27">
      <c r="A27" s="412" t="str">
        <f>'Most Recent Import'!A27</f>
        <v>sailpoint</v>
      </c>
      <c r="B27" s="413">
        <f>IF(ISBLANK(A27), "", DATE(LEFT('Most Recent Import'!C27, 4), RIGHT('Most Recent Import'!C27, 2), 1))</f>
        <v>45261</v>
      </c>
      <c r="C27" s="414">
        <f>'Most Recent Import'!B27</f>
        <v>12000</v>
      </c>
      <c r="D27" s="412">
        <f>'Most Recent Import'!D27</f>
        <v>10</v>
      </c>
      <c r="E27" s="412">
        <f t="array" ref="E27">IF(
    DATEDIF($B27, TODAY(), "M") &gt;= 11,
    INDEX('Most Recent Import'!$F27:$Q27, 1, MATCH(11 - (COLUMN(E:E) - 5), {0, 1, 2, 3, 4, 5, 6, 7, 8, 9, 10, 11}, 0)),
    IF(
      DATEDIF($B27, TODAY(), "M") + 1 &gt;= COLUMN(E:E) - 5,
      INDEX('Most Recent Import'!$F27:$Q27, 1, MATCH(DATEDIF($B27, TODAY(), "M") + 1 - (COLUMN(E:E) - 5), {0, 1, 2, 3, 4, 5, 6, 7, 8, 9, 10, 11}, 0)),
      ""
    )
  )
</f>
        <v>0</v>
      </c>
      <c r="F27" s="412">
        <f t="array" ref="F27">IF(
    DATEDIF($B27, TODAY(), "M") &gt;= 11,
    INDEX('Most Recent Import'!$F27:$Q27, 1, MATCH(11 - (COLUMN(F:F) - 5), {0, 1, 2, 3, 4, 5, 6, 7, 8, 9, 10, 11}, 0)),
    IF(
      DATEDIF($B27, TODAY(), "M") + 1 &gt;= COLUMN(F:F) - 5,
      INDEX('Most Recent Import'!$F27:$Q27, 1, MATCH(DATEDIF($B27, TODAY(), "M") + 1 - (COLUMN(F:F) - 5), {0, 1, 2, 3, 4, 5, 6, 7, 8, 9, 10, 11}, 0)),
      ""
    )
  )
</f>
        <v>0</v>
      </c>
      <c r="G27" s="412">
        <f t="array" ref="G27">IF(
    DATEDIF($B27, TODAY(), "M") &gt;= 11,
    INDEX('Most Recent Import'!$F27:$Q27, 1, MATCH(11 - (COLUMN(G:G) - 5), {0, 1, 2, 3, 4, 5, 6, 7, 8, 9, 10, 11}, 0)),
    IF(
      DATEDIF($B27, TODAY(), "M") + 1 &gt;= COLUMN(G:G) - 5,
      INDEX('Most Recent Import'!$F27:$Q27, 1, MATCH(DATEDIF($B27, TODAY(), "M") + 1 - (COLUMN(G:G) - 5), {0, 1, 2, 3, 4, 5, 6, 7, 8, 9, 10, 11}, 0)),
      ""
    )
  )
</f>
        <v>0</v>
      </c>
      <c r="H27" s="412">
        <f t="array" ref="H27">IF(
    DATEDIF($B27, TODAY(), "M") &gt;= 11,
    INDEX('Most Recent Import'!$F27:$Q27, 1, MATCH(11 - (COLUMN(H:H) - 5), {0, 1, 2, 3, 4, 5, 6, 7, 8, 9, 10, 11}, 0)),
    IF(
      DATEDIF($B27, TODAY(), "M") + 1 &gt;= COLUMN(H:H) - 5,
      INDEX('Most Recent Import'!$F27:$Q27, 1, MATCH(DATEDIF($B27, TODAY(), "M") + 1 - (COLUMN(H:H) - 5), {0, 1, 2, 3, 4, 5, 6, 7, 8, 9, 10, 11}, 0)),
      ""
    )
  )
</f>
        <v>0</v>
      </c>
      <c r="I27" s="412">
        <f t="array" ref="I27">IF(
    DATEDIF($B27, TODAY(), "M") &gt;= 11,
    INDEX('Most Recent Import'!$F27:$Q27, 1, MATCH(11 - (COLUMN(I:I) - 5), {0, 1, 2, 3, 4, 5, 6, 7, 8, 9, 10, 11}, 0)),
    IF(
      DATEDIF($B27, TODAY(), "M") + 1 &gt;= COLUMN(I:I) - 5,
      INDEX('Most Recent Import'!$F27:$Q27, 1, MATCH(DATEDIF($B27, TODAY(), "M") + 1 - (COLUMN(I:I) - 5), {0, 1, 2, 3, 4, 5, 6, 7, 8, 9, 10, 11}, 0)),
      ""
    )
  )
</f>
        <v>0</v>
      </c>
      <c r="J27" s="412">
        <f t="array" ref="J27">IF(
    DATEDIF($B27, TODAY(), "M") &gt;= 11,
    INDEX('Most Recent Import'!$F27:$Q27, 1, MATCH(11 - (COLUMN(J:J) - 5), {0, 1, 2, 3, 4, 5, 6, 7, 8, 9, 10, 11}, 0)),
    IF(
      DATEDIF($B27, TODAY(), "M") + 1 &gt;= COLUMN(J:J) - 5,
      INDEX('Most Recent Import'!$F27:$Q27, 1, MATCH(DATEDIF($B27, TODAY(), "M") + 1 - (COLUMN(J:J) - 5), {0, 1, 2, 3, 4, 5, 6, 7, 8, 9, 10, 11}, 0)),
      ""
    )
  )
</f>
        <v>0</v>
      </c>
      <c r="K27" s="412">
        <f t="array" ref="K27">IF(
    DATEDIF($B27, TODAY(), "M") &gt;= 11,
    INDEX('Most Recent Import'!$F27:$Q27, 1, MATCH(11 - (COLUMN(K:K) - 5), {0, 1, 2, 3, 4, 5, 6, 7, 8, 9, 10, 11}, 0)),
    IF(
      DATEDIF($B27, TODAY(), "M") + 1 &gt;= COLUMN(K:K) - 5,
      INDEX('Most Recent Import'!$F27:$Q27, 1, MATCH(DATEDIF($B27, TODAY(), "M") + 1 - (COLUMN(K:K) - 5), {0, 1, 2, 3, 4, 5, 6, 7, 8, 9, 10, 11}, 0)),
      ""
    )
  )
</f>
        <v>0</v>
      </c>
      <c r="L27" s="412">
        <f t="array" ref="L27">IF(
    DATEDIF($B27, TODAY(), "M") &gt;= 11,
    INDEX('Most Recent Import'!$F27:$Q27, 1, MATCH(11 - (COLUMN(L:L) - 5), {0, 1, 2, 3, 4, 5, 6, 7, 8, 9, 10, 11}, 0)),
    IF(
      DATEDIF($B27, TODAY(), "M") + 1 &gt;= COLUMN(L:L) - 5,
      INDEX('Most Recent Import'!$F27:$Q27, 1, MATCH(DATEDIF($B27, TODAY(), "M") + 1 - (COLUMN(L:L) - 5), {0, 1, 2, 3, 4, 5, 6, 7, 8, 9, 10, 11}, 0)),
      ""
    )
  )
</f>
        <v>0</v>
      </c>
      <c r="M27" s="412">
        <f t="array" ref="M27">IF(
    DATEDIF($B27, TODAY(), "M") &gt;= 11,
    INDEX('Most Recent Import'!$F27:$Q27, 1, MATCH(11 - (COLUMN(M:M) - 5), {0, 1, 2, 3, 4, 5, 6, 7, 8, 9, 10, 11}, 0)),
    IF(
      DATEDIF($B27, TODAY(), "M") + 1 &gt;= COLUMN(M:M) - 5,
      INDEX('Most Recent Import'!$F27:$Q27, 1, MATCH(DATEDIF($B27, TODAY(), "M") + 1 - (COLUMN(M:M) - 5), {0, 1, 2, 3, 4, 5, 6, 7, 8, 9, 10, 11}, 0)),
      ""
    )
  )
</f>
        <v>0</v>
      </c>
      <c r="N27" s="412">
        <f t="array" ref="N27">IF(
    DATEDIF($B27, TODAY(), "M") &gt;= 11,
    INDEX('Most Recent Import'!$F27:$Q27, 1, MATCH(11 - (COLUMN(N:N) - 5), {0, 1, 2, 3, 4, 5, 6, 7, 8, 9, 10, 11}, 0)),
    IF(
      DATEDIF($B27, TODAY(), "M") + 1 &gt;= COLUMN(N:N) - 5,
      INDEX('Most Recent Import'!$F27:$Q27, 1, MATCH(DATEDIF($B27, TODAY(), "M") + 1 - (COLUMN(N:N) - 5), {0, 1, 2, 3, 4, 5, 6, 7, 8, 9, 10, 11}, 0)),
      ""
    )
  )
</f>
        <v>0</v>
      </c>
      <c r="O27" s="412">
        <f t="array" ref="O27">IF(
    DATEDIF($B27, TODAY(), "M") &gt;= 11,
    INDEX('Most Recent Import'!$F27:$Q27, 1, MATCH(11 - (COLUMN(O:O) - 5), {0, 1, 2, 3, 4, 5, 6, 7, 8, 9, 10, 11}, 0)),
    IF(
      DATEDIF($B27, TODAY(), "M") + 1 &gt;= COLUMN(O:O) - 5,
      INDEX('Most Recent Import'!$F27:$Q27, 1, MATCH(DATEDIF($B27, TODAY(), "M") + 1 - (COLUMN(O:O) - 5), {0, 1, 2, 3, 4, 5, 6, 7, 8, 9, 10, 11}, 0)),
      ""
    )
  )
</f>
        <v>5</v>
      </c>
      <c r="P27" s="412">
        <f t="array" ref="P27">IF(
    DATEDIF($B27, TODAY(), "M") &gt;= 11,
    INDEX('Most Recent Import'!$F27:$Q27, 1, MATCH(11 - (COLUMN(P:P) - 5), {0, 1, 2, 3, 4, 5, 6, 7, 8, 9, 10, 11}, 0)),
    IF(
      DATEDIF($B27, TODAY(), "M") + 1 &gt;= COLUMN(P:P) - 5,
      INDEX('Most Recent Import'!$F27:$Q27, 1, MATCH(DATEDIF($B27, TODAY(), "M") + 1 - (COLUMN(P:P) - 5), {0, 1, 2, 3, 4, 5, 6, 7, 8, 9, 10, 11}, 0)),
      ""
    )
  )
</f>
        <v>2</v>
      </c>
    </row>
    <row r="28">
      <c r="A28" s="412" t="str">
        <f>'Most Recent Import'!A28</f>
        <v>stack_overflow</v>
      </c>
      <c r="B28" s="413">
        <f>IF(ISBLANK(A28), "", DATE(LEFT('Most Recent Import'!C28, 4), RIGHT('Most Recent Import'!C28, 2), 1))</f>
        <v>45261</v>
      </c>
      <c r="C28" s="414">
        <f>'Most Recent Import'!B28</f>
        <v>22500</v>
      </c>
      <c r="D28" s="412">
        <f>'Most Recent Import'!D28</f>
        <v>8</v>
      </c>
      <c r="E28" s="412">
        <f t="array" ref="E28">IF(
    DATEDIF($B28, TODAY(), "M") &gt;= 11,
    INDEX('Most Recent Import'!$F28:$Q28, 1, MATCH(11 - (COLUMN(E:E) - 5), {0, 1, 2, 3, 4, 5, 6, 7, 8, 9, 10, 11}, 0)),
    IF(
      DATEDIF($B28, TODAY(), "M") + 1 &gt;= COLUMN(E:E) - 5,
      INDEX('Most Recent Import'!$F28:$Q28, 1, MATCH(DATEDIF($B28, TODAY(), "M") + 1 - (COLUMN(E:E) - 5), {0, 1, 2, 3, 4, 5, 6, 7, 8, 9, 10, 11}, 0)),
      ""
    )
  )
</f>
        <v>0</v>
      </c>
      <c r="F28" s="412">
        <f t="array" ref="F28">IF(
    DATEDIF($B28, TODAY(), "M") &gt;= 11,
    INDEX('Most Recent Import'!$F28:$Q28, 1, MATCH(11 - (COLUMN(F:F) - 5), {0, 1, 2, 3, 4, 5, 6, 7, 8, 9, 10, 11}, 0)),
    IF(
      DATEDIF($B28, TODAY(), "M") + 1 &gt;= COLUMN(F:F) - 5,
      INDEX('Most Recent Import'!$F28:$Q28, 1, MATCH(DATEDIF($B28, TODAY(), "M") + 1 - (COLUMN(F:F) - 5), {0, 1, 2, 3, 4, 5, 6, 7, 8, 9, 10, 11}, 0)),
      ""
    )
  )
</f>
        <v>0</v>
      </c>
      <c r="G28" s="412">
        <f t="array" ref="G28">IF(
    DATEDIF($B28, TODAY(), "M") &gt;= 11,
    INDEX('Most Recent Import'!$F28:$Q28, 1, MATCH(11 - (COLUMN(G:G) - 5), {0, 1, 2, 3, 4, 5, 6, 7, 8, 9, 10, 11}, 0)),
    IF(
      DATEDIF($B28, TODAY(), "M") + 1 &gt;= COLUMN(G:G) - 5,
      INDEX('Most Recent Import'!$F28:$Q28, 1, MATCH(DATEDIF($B28, TODAY(), "M") + 1 - (COLUMN(G:G) - 5), {0, 1, 2, 3, 4, 5, 6, 7, 8, 9, 10, 11}, 0)),
      ""
    )
  )
</f>
        <v>0</v>
      </c>
      <c r="H28" s="412">
        <f t="array" ref="H28">IF(
    DATEDIF($B28, TODAY(), "M") &gt;= 11,
    INDEX('Most Recent Import'!$F28:$Q28, 1, MATCH(11 - (COLUMN(H:H) - 5), {0, 1, 2, 3, 4, 5, 6, 7, 8, 9, 10, 11}, 0)),
    IF(
      DATEDIF($B28, TODAY(), "M") + 1 &gt;= COLUMN(H:H) - 5,
      INDEX('Most Recent Import'!$F28:$Q28, 1, MATCH(DATEDIF($B28, TODAY(), "M") + 1 - (COLUMN(H:H) - 5), {0, 1, 2, 3, 4, 5, 6, 7, 8, 9, 10, 11}, 0)),
      ""
    )
  )
</f>
        <v>0</v>
      </c>
      <c r="I28" s="412">
        <f t="array" ref="I28">IF(
    DATEDIF($B28, TODAY(), "M") &gt;= 11,
    INDEX('Most Recent Import'!$F28:$Q28, 1, MATCH(11 - (COLUMN(I:I) - 5), {0, 1, 2, 3, 4, 5, 6, 7, 8, 9, 10, 11}, 0)),
    IF(
      DATEDIF($B28, TODAY(), "M") + 1 &gt;= COLUMN(I:I) - 5,
      INDEX('Most Recent Import'!$F28:$Q28, 1, MATCH(DATEDIF($B28, TODAY(), "M") + 1 - (COLUMN(I:I) - 5), {0, 1, 2, 3, 4, 5, 6, 7, 8, 9, 10, 11}, 0)),
      ""
    )
  )
</f>
        <v>0</v>
      </c>
      <c r="J28" s="412">
        <f t="array" ref="J28">IF(
    DATEDIF($B28, TODAY(), "M") &gt;= 11,
    INDEX('Most Recent Import'!$F28:$Q28, 1, MATCH(11 - (COLUMN(J:J) - 5), {0, 1, 2, 3, 4, 5, 6, 7, 8, 9, 10, 11}, 0)),
    IF(
      DATEDIF($B28, TODAY(), "M") + 1 &gt;= COLUMN(J:J) - 5,
      INDEX('Most Recent Import'!$F28:$Q28, 1, MATCH(DATEDIF($B28, TODAY(), "M") + 1 - (COLUMN(J:J) - 5), {0, 1, 2, 3, 4, 5, 6, 7, 8, 9, 10, 11}, 0)),
      ""
    )
  )
</f>
        <v>0</v>
      </c>
      <c r="K28" s="412">
        <f t="array" ref="K28">IF(
    DATEDIF($B28, TODAY(), "M") &gt;= 11,
    INDEX('Most Recent Import'!$F28:$Q28, 1, MATCH(11 - (COLUMN(K:K) - 5), {0, 1, 2, 3, 4, 5, 6, 7, 8, 9, 10, 11}, 0)),
    IF(
      DATEDIF($B28, TODAY(), "M") + 1 &gt;= COLUMN(K:K) - 5,
      INDEX('Most Recent Import'!$F28:$Q28, 1, MATCH(DATEDIF($B28, TODAY(), "M") + 1 - (COLUMN(K:K) - 5), {0, 1, 2, 3, 4, 5, 6, 7, 8, 9, 10, 11}, 0)),
      ""
    )
  )
</f>
        <v>0</v>
      </c>
      <c r="L28" s="412">
        <f t="array" ref="L28">IF(
    DATEDIF($B28, TODAY(), "M") &gt;= 11,
    INDEX('Most Recent Import'!$F28:$Q28, 1, MATCH(11 - (COLUMN(L:L) - 5), {0, 1, 2, 3, 4, 5, 6, 7, 8, 9, 10, 11}, 0)),
    IF(
      DATEDIF($B28, TODAY(), "M") + 1 &gt;= COLUMN(L:L) - 5,
      INDEX('Most Recent Import'!$F28:$Q28, 1, MATCH(DATEDIF($B28, TODAY(), "M") + 1 - (COLUMN(L:L) - 5), {0, 1, 2, 3, 4, 5, 6, 7, 8, 9, 10, 11}, 0)),
      ""
    )
  )
</f>
        <v>0</v>
      </c>
      <c r="M28" s="412">
        <f t="array" ref="M28">IF(
    DATEDIF($B28, TODAY(), "M") &gt;= 11,
    INDEX('Most Recent Import'!$F28:$Q28, 1, MATCH(11 - (COLUMN(M:M) - 5), {0, 1, 2, 3, 4, 5, 6, 7, 8, 9, 10, 11}, 0)),
    IF(
      DATEDIF($B28, TODAY(), "M") + 1 &gt;= COLUMN(M:M) - 5,
      INDEX('Most Recent Import'!$F28:$Q28, 1, MATCH(DATEDIF($B28, TODAY(), "M") + 1 - (COLUMN(M:M) - 5), {0, 1, 2, 3, 4, 5, 6, 7, 8, 9, 10, 11}, 0)),
      ""
    )
  )
</f>
        <v>0</v>
      </c>
      <c r="N28" s="412">
        <f t="array" ref="N28">IF(
    DATEDIF($B28, TODAY(), "M") &gt;= 11,
    INDEX('Most Recent Import'!$F28:$Q28, 1, MATCH(11 - (COLUMN(N:N) - 5), {0, 1, 2, 3, 4, 5, 6, 7, 8, 9, 10, 11}, 0)),
    IF(
      DATEDIF($B28, TODAY(), "M") + 1 &gt;= COLUMN(N:N) - 5,
      INDEX('Most Recent Import'!$F28:$Q28, 1, MATCH(DATEDIF($B28, TODAY(), "M") + 1 - (COLUMN(N:N) - 5), {0, 1, 2, 3, 4, 5, 6, 7, 8, 9, 10, 11}, 0)),
      ""
    )
  )
</f>
        <v>4</v>
      </c>
      <c r="O28" s="412">
        <f t="array" ref="O28">IF(
    DATEDIF($B28, TODAY(), "M") &gt;= 11,
    INDEX('Most Recent Import'!$F28:$Q28, 1, MATCH(11 - (COLUMN(O:O) - 5), {0, 1, 2, 3, 4, 5, 6, 7, 8, 9, 10, 11}, 0)),
    IF(
      DATEDIF($B28, TODAY(), "M") + 1 &gt;= COLUMN(O:O) - 5,
      INDEX('Most Recent Import'!$F28:$Q28, 1, MATCH(DATEDIF($B28, TODAY(), "M") + 1 - (COLUMN(O:O) - 5), {0, 1, 2, 3, 4, 5, 6, 7, 8, 9, 10, 11}, 0)),
      ""
    )
  )
</f>
        <v>0</v>
      </c>
      <c r="P28" s="412">
        <f t="array" ref="P28">IF(
    DATEDIF($B28, TODAY(), "M") &gt;= 11,
    INDEX('Most Recent Import'!$F28:$Q28, 1, MATCH(11 - (COLUMN(P:P) - 5), {0, 1, 2, 3, 4, 5, 6, 7, 8, 9, 10, 11}, 0)),
    IF(
      DATEDIF($B28, TODAY(), "M") + 1 &gt;= COLUMN(P:P) - 5,
      INDEX('Most Recent Import'!$F28:$Q28, 1, MATCH(DATEDIF($B28, TODAY(), "M") + 1 - (COLUMN(P:P) - 5), {0, 1, 2, 3, 4, 5, 6, 7, 8, 9, 10, 11}, 0)),
      ""
    )
  )
</f>
        <v>5</v>
      </c>
    </row>
    <row r="29">
      <c r="A29" s="412" t="str">
        <f>'Most Recent Import'!A29</f>
        <v>teachable</v>
      </c>
      <c r="B29" s="413">
        <f>IF(ISBLANK(A29), "", DATE(LEFT('Most Recent Import'!C29, 4), RIGHT('Most Recent Import'!C29, 2), 1))</f>
        <v>45261</v>
      </c>
      <c r="C29" s="414">
        <f>'Most Recent Import'!B29</f>
        <v>3000</v>
      </c>
      <c r="D29" s="412">
        <f>'Most Recent Import'!D29</f>
        <v>26</v>
      </c>
      <c r="E29" s="412">
        <f t="array" ref="E29">IF(
    DATEDIF($B29, TODAY(), "M") &gt;= 11,
    INDEX('Most Recent Import'!$F29:$Q29, 1, MATCH(11 - (COLUMN(E:E) - 5), {0, 1, 2, 3, 4, 5, 6, 7, 8, 9, 10, 11}, 0)),
    IF(
      DATEDIF($B29, TODAY(), "M") + 1 &gt;= COLUMN(E:E) - 5,
      INDEX('Most Recent Import'!$F29:$Q29, 1, MATCH(DATEDIF($B29, TODAY(), "M") + 1 - (COLUMN(E:E) - 5), {0, 1, 2, 3, 4, 5, 6, 7, 8, 9, 10, 11}, 0)),
      ""
    )
  )
</f>
        <v>3</v>
      </c>
      <c r="F29" s="412">
        <f t="array" ref="F29">IF(
    DATEDIF($B29, TODAY(), "M") &gt;= 11,
    INDEX('Most Recent Import'!$F29:$Q29, 1, MATCH(11 - (COLUMN(F:F) - 5), {0, 1, 2, 3, 4, 5, 6, 7, 8, 9, 10, 11}, 0)),
    IF(
      DATEDIF($B29, TODAY(), "M") + 1 &gt;= COLUMN(F:F) - 5,
      INDEX('Most Recent Import'!$F29:$Q29, 1, MATCH(DATEDIF($B29, TODAY(), "M") + 1 - (COLUMN(F:F) - 5), {0, 1, 2, 3, 4, 5, 6, 7, 8, 9, 10, 11}, 0)),
      ""
    )
  )
</f>
        <v>8</v>
      </c>
      <c r="G29" s="412">
        <f t="array" ref="G29">IF(
    DATEDIF($B29, TODAY(), "M") &gt;= 11,
    INDEX('Most Recent Import'!$F29:$Q29, 1, MATCH(11 - (COLUMN(G:G) - 5), {0, 1, 2, 3, 4, 5, 6, 7, 8, 9, 10, 11}, 0)),
    IF(
      DATEDIF($B29, TODAY(), "M") + 1 &gt;= COLUMN(G:G) - 5,
      INDEX('Most Recent Import'!$F29:$Q29, 1, MATCH(DATEDIF($B29, TODAY(), "M") + 1 - (COLUMN(G:G) - 5), {0, 1, 2, 3, 4, 5, 6, 7, 8, 9, 10, 11}, 0)),
      ""
    )
  )
</f>
        <v>2</v>
      </c>
      <c r="H29" s="412">
        <f t="array" ref="H29">IF(
    DATEDIF($B29, TODAY(), "M") &gt;= 11,
    INDEX('Most Recent Import'!$F29:$Q29, 1, MATCH(11 - (COLUMN(H:H) - 5), {0, 1, 2, 3, 4, 5, 6, 7, 8, 9, 10, 11}, 0)),
    IF(
      DATEDIF($B29, TODAY(), "M") + 1 &gt;= COLUMN(H:H) - 5,
      INDEX('Most Recent Import'!$F29:$Q29, 1, MATCH(DATEDIF($B29, TODAY(), "M") + 1 - (COLUMN(H:H) - 5), {0, 1, 2, 3, 4, 5, 6, 7, 8, 9, 10, 11}, 0)),
      ""
    )
  )
</f>
        <v>5</v>
      </c>
      <c r="I29" s="412">
        <f t="array" ref="I29">IF(
    DATEDIF($B29, TODAY(), "M") &gt;= 11,
    INDEX('Most Recent Import'!$F29:$Q29, 1, MATCH(11 - (COLUMN(I:I) - 5), {0, 1, 2, 3, 4, 5, 6, 7, 8, 9, 10, 11}, 0)),
    IF(
      DATEDIF($B29, TODAY(), "M") + 1 &gt;= COLUMN(I:I) - 5,
      INDEX('Most Recent Import'!$F29:$Q29, 1, MATCH(DATEDIF($B29, TODAY(), "M") + 1 - (COLUMN(I:I) - 5), {0, 1, 2, 3, 4, 5, 6, 7, 8, 9, 10, 11}, 0)),
      ""
    )
  )
</f>
        <v>5</v>
      </c>
      <c r="J29" s="412">
        <f t="array" ref="J29">IF(
    DATEDIF($B29, TODAY(), "M") &gt;= 11,
    INDEX('Most Recent Import'!$F29:$Q29, 1, MATCH(11 - (COLUMN(J:J) - 5), {0, 1, 2, 3, 4, 5, 6, 7, 8, 9, 10, 11}, 0)),
    IF(
      DATEDIF($B29, TODAY(), "M") + 1 &gt;= COLUMN(J:J) - 5,
      INDEX('Most Recent Import'!$F29:$Q29, 1, MATCH(DATEDIF($B29, TODAY(), "M") + 1 - (COLUMN(J:J) - 5), {0, 1, 2, 3, 4, 5, 6, 7, 8, 9, 10, 11}, 0)),
      ""
    )
  )
</f>
        <v>4</v>
      </c>
      <c r="K29" s="412">
        <f t="array" ref="K29">IF(
    DATEDIF($B29, TODAY(), "M") &gt;= 11,
    INDEX('Most Recent Import'!$F29:$Q29, 1, MATCH(11 - (COLUMN(K:K) - 5), {0, 1, 2, 3, 4, 5, 6, 7, 8, 9, 10, 11}, 0)),
    IF(
      DATEDIF($B29, TODAY(), "M") + 1 &gt;= COLUMN(K:K) - 5,
      INDEX('Most Recent Import'!$F29:$Q29, 1, MATCH(DATEDIF($B29, TODAY(), "M") + 1 - (COLUMN(K:K) - 5), {0, 1, 2, 3, 4, 5, 6, 7, 8, 9, 10, 11}, 0)),
      ""
    )
  )
</f>
        <v>1</v>
      </c>
      <c r="L29" s="412">
        <f t="array" ref="L29">IF(
    DATEDIF($B29, TODAY(), "M") &gt;= 11,
    INDEX('Most Recent Import'!$F29:$Q29, 1, MATCH(11 - (COLUMN(L:L) - 5), {0, 1, 2, 3, 4, 5, 6, 7, 8, 9, 10, 11}, 0)),
    IF(
      DATEDIF($B29, TODAY(), "M") + 1 &gt;= COLUMN(L:L) - 5,
      INDEX('Most Recent Import'!$F29:$Q29, 1, MATCH(DATEDIF($B29, TODAY(), "M") + 1 - (COLUMN(L:L) - 5), {0, 1, 2, 3, 4, 5, 6, 7, 8, 9, 10, 11}, 0)),
      ""
    )
  )
</f>
        <v>7</v>
      </c>
      <c r="M29" s="412">
        <f t="array" ref="M29">IF(
    DATEDIF($B29, TODAY(), "M") &gt;= 11,
    INDEX('Most Recent Import'!$F29:$Q29, 1, MATCH(11 - (COLUMN(M:M) - 5), {0, 1, 2, 3, 4, 5, 6, 7, 8, 9, 10, 11}, 0)),
    IF(
      DATEDIF($B29, TODAY(), "M") + 1 &gt;= COLUMN(M:M) - 5,
      INDEX('Most Recent Import'!$F29:$Q29, 1, MATCH(DATEDIF($B29, TODAY(), "M") + 1 - (COLUMN(M:M) - 5), {0, 1, 2, 3, 4, 5, 6, 7, 8, 9, 10, 11}, 0)),
      ""
    )
  )
</f>
        <v>3</v>
      </c>
      <c r="N29" s="412">
        <f t="array" ref="N29">IF(
    DATEDIF($B29, TODAY(), "M") &gt;= 11,
    INDEX('Most Recent Import'!$F29:$Q29, 1, MATCH(11 - (COLUMN(N:N) - 5), {0, 1, 2, 3, 4, 5, 6, 7, 8, 9, 10, 11}, 0)),
    IF(
      DATEDIF($B29, TODAY(), "M") + 1 &gt;= COLUMN(N:N) - 5,
      INDEX('Most Recent Import'!$F29:$Q29, 1, MATCH(DATEDIF($B29, TODAY(), "M") + 1 - (COLUMN(N:N) - 5), {0, 1, 2, 3, 4, 5, 6, 7, 8, 9, 10, 11}, 0)),
      ""
    )
  )
</f>
        <v>4</v>
      </c>
      <c r="O29" s="412">
        <f t="array" ref="O29">IF(
    DATEDIF($B29, TODAY(), "M") &gt;= 11,
    INDEX('Most Recent Import'!$F29:$Q29, 1, MATCH(11 - (COLUMN(O:O) - 5), {0, 1, 2, 3, 4, 5, 6, 7, 8, 9, 10, 11}, 0)),
    IF(
      DATEDIF($B29, TODAY(), "M") + 1 &gt;= COLUMN(O:O) - 5,
      INDEX('Most Recent Import'!$F29:$Q29, 1, MATCH(DATEDIF($B29, TODAY(), "M") + 1 - (COLUMN(O:O) - 5), {0, 1, 2, 3, 4, 5, 6, 7, 8, 9, 10, 11}, 0)),
      ""
    )
  )
</f>
        <v>5</v>
      </c>
      <c r="P29" s="412">
        <f t="array" ref="P29">IF(
    DATEDIF($B29, TODAY(), "M") &gt;= 11,
    INDEX('Most Recent Import'!$F29:$Q29, 1, MATCH(11 - (COLUMN(P:P) - 5), {0, 1, 2, 3, 4, 5, 6, 7, 8, 9, 10, 11}, 0)),
    IF(
      DATEDIF($B29, TODAY(), "M") + 1 &gt;= COLUMN(P:P) - 5,
      INDEX('Most Recent Import'!$F29:$Q29, 1, MATCH(DATEDIF($B29, TODAY(), "M") + 1 - (COLUMN(P:P) - 5), {0, 1, 2, 3, 4, 5, 6, 7, 8, 9, 10, 11}, 0)),
      ""
    )
  )
</f>
        <v>3</v>
      </c>
    </row>
    <row r="30">
      <c r="A30" s="412" t="str">
        <f>'Most Recent Import'!A30</f>
        <v>adobe</v>
      </c>
      <c r="B30" s="413">
        <f>IF(ISBLANK(A30), "", DATE(LEFT('Most Recent Import'!C30, 4), RIGHT('Most Recent Import'!C30, 2), 1))</f>
        <v>45292</v>
      </c>
      <c r="C30" s="414">
        <f>'Most Recent Import'!B30</f>
        <v>35000</v>
      </c>
      <c r="D30" s="412">
        <f>'Most Recent Import'!D30</f>
        <v>10</v>
      </c>
      <c r="E30" s="412">
        <f t="array" ref="E30">IF(
    DATEDIF($B30, TODAY(), "M") &gt;= 11,
    INDEX('Most Recent Import'!$F30:$Q30, 1, MATCH(11 - (COLUMN(E:E) - 5), {0, 1, 2, 3, 4, 5, 6, 7, 8, 9, 10, 11}, 0)),
    IF(
      DATEDIF($B30, TODAY(), "M") + 1 &gt;= COLUMN(E:E) - 5,
      INDEX('Most Recent Import'!$F30:$Q30, 1, MATCH(DATEDIF($B30, TODAY(), "M") + 1 - (COLUMN(E:E) - 5), {0, 1, 2, 3, 4, 5, 6, 7, 8, 9, 10, 11}, 0)),
      ""
    )
  )
</f>
        <v>0</v>
      </c>
      <c r="F30" s="412">
        <f t="array" ref="F30">IF(
    DATEDIF($B30, TODAY(), "M") &gt;= 11,
    INDEX('Most Recent Import'!$F30:$Q30, 1, MATCH(11 - (COLUMN(F:F) - 5), {0, 1, 2, 3, 4, 5, 6, 7, 8, 9, 10, 11}, 0)),
    IF(
      DATEDIF($B30, TODAY(), "M") + 1 &gt;= COLUMN(F:F) - 5,
      INDEX('Most Recent Import'!$F30:$Q30, 1, MATCH(DATEDIF($B30, TODAY(), "M") + 1 - (COLUMN(F:F) - 5), {0, 1, 2, 3, 4, 5, 6, 7, 8, 9, 10, 11}, 0)),
      ""
    )
  )
</f>
        <v>0</v>
      </c>
      <c r="G30" s="412">
        <f t="array" ref="G30">IF(
    DATEDIF($B30, TODAY(), "M") &gt;= 11,
    INDEX('Most Recent Import'!$F30:$Q30, 1, MATCH(11 - (COLUMN(G:G) - 5), {0, 1, 2, 3, 4, 5, 6, 7, 8, 9, 10, 11}, 0)),
    IF(
      DATEDIF($B30, TODAY(), "M") + 1 &gt;= COLUMN(G:G) - 5,
      INDEX('Most Recent Import'!$F30:$Q30, 1, MATCH(DATEDIF($B30, TODAY(), "M") + 1 - (COLUMN(G:G) - 5), {0, 1, 2, 3, 4, 5, 6, 7, 8, 9, 10, 11}, 0)),
      ""
    )
  )
</f>
        <v>0</v>
      </c>
      <c r="H30" s="412">
        <f t="array" ref="H30">IF(
    DATEDIF($B30, TODAY(), "M") &gt;= 11,
    INDEX('Most Recent Import'!$F30:$Q30, 1, MATCH(11 - (COLUMN(H:H) - 5), {0, 1, 2, 3, 4, 5, 6, 7, 8, 9, 10, 11}, 0)),
    IF(
      DATEDIF($B30, TODAY(), "M") + 1 &gt;= COLUMN(H:H) - 5,
      INDEX('Most Recent Import'!$F30:$Q30, 1, MATCH(DATEDIF($B30, TODAY(), "M") + 1 - (COLUMN(H:H) - 5), {0, 1, 2, 3, 4, 5, 6, 7, 8, 9, 10, 11}, 0)),
      ""
    )
  )
</f>
        <v>0</v>
      </c>
      <c r="I30" s="412">
        <f t="array" ref="I30">IF(
    DATEDIF($B30, TODAY(), "M") &gt;= 11,
    INDEX('Most Recent Import'!$F30:$Q30, 1, MATCH(11 - (COLUMN(I:I) - 5), {0, 1, 2, 3, 4, 5, 6, 7, 8, 9, 10, 11}, 0)),
    IF(
      DATEDIF($B30, TODAY(), "M") + 1 &gt;= COLUMN(I:I) - 5,
      INDEX('Most Recent Import'!$F30:$Q30, 1, MATCH(DATEDIF($B30, TODAY(), "M") + 1 - (COLUMN(I:I) - 5), {0, 1, 2, 3, 4, 5, 6, 7, 8, 9, 10, 11}, 0)),
      ""
    )
  )
</f>
        <v>0</v>
      </c>
      <c r="J30" s="412">
        <f t="array" ref="J30">IF(
    DATEDIF($B30, TODAY(), "M") &gt;= 11,
    INDEX('Most Recent Import'!$F30:$Q30, 1, MATCH(11 - (COLUMN(J:J) - 5), {0, 1, 2, 3, 4, 5, 6, 7, 8, 9, 10, 11}, 0)),
    IF(
      DATEDIF($B30, TODAY(), "M") + 1 &gt;= COLUMN(J:J) - 5,
      INDEX('Most Recent Import'!$F30:$Q30, 1, MATCH(DATEDIF($B30, TODAY(), "M") + 1 - (COLUMN(J:J) - 5), {0, 1, 2, 3, 4, 5, 6, 7, 8, 9, 10, 11}, 0)),
      ""
    )
  )
</f>
        <v>0</v>
      </c>
      <c r="K30" s="412">
        <f t="array" ref="K30">IF(
    DATEDIF($B30, TODAY(), "M") &gt;= 11,
    INDEX('Most Recent Import'!$F30:$Q30, 1, MATCH(11 - (COLUMN(K:K) - 5), {0, 1, 2, 3, 4, 5, 6, 7, 8, 9, 10, 11}, 0)),
    IF(
      DATEDIF($B30, TODAY(), "M") + 1 &gt;= COLUMN(K:K) - 5,
      INDEX('Most Recent Import'!$F30:$Q30, 1, MATCH(DATEDIF($B30, TODAY(), "M") + 1 - (COLUMN(K:K) - 5), {0, 1, 2, 3, 4, 5, 6, 7, 8, 9, 10, 11}, 0)),
      ""
    )
  )
</f>
        <v>0</v>
      </c>
      <c r="L30" s="412">
        <f t="array" ref="L30">IF(
    DATEDIF($B30, TODAY(), "M") &gt;= 11,
    INDEX('Most Recent Import'!$F30:$Q30, 1, MATCH(11 - (COLUMN(L:L) - 5), {0, 1, 2, 3, 4, 5, 6, 7, 8, 9, 10, 11}, 0)),
    IF(
      DATEDIF($B30, TODAY(), "M") + 1 &gt;= COLUMN(L:L) - 5,
      INDEX('Most Recent Import'!$F30:$Q30, 1, MATCH(DATEDIF($B30, TODAY(), "M") + 1 - (COLUMN(L:L) - 5), {0, 1, 2, 3, 4, 5, 6, 7, 8, 9, 10, 11}, 0)),
      ""
    )
  )
</f>
        <v>0</v>
      </c>
      <c r="M30" s="412">
        <f t="array" ref="M30">IF(
    DATEDIF($B30, TODAY(), "M") &gt;= 11,
    INDEX('Most Recent Import'!$F30:$Q30, 1, MATCH(11 - (COLUMN(M:M) - 5), {0, 1, 2, 3, 4, 5, 6, 7, 8, 9, 10, 11}, 0)),
    IF(
      DATEDIF($B30, TODAY(), "M") + 1 &gt;= COLUMN(M:M) - 5,
      INDEX('Most Recent Import'!$F30:$Q30, 1, MATCH(DATEDIF($B30, TODAY(), "M") + 1 - (COLUMN(M:M) - 5), {0, 1, 2, 3, 4, 5, 6, 7, 8, 9, 10, 11}, 0)),
      ""
    )
  )
</f>
        <v>0</v>
      </c>
      <c r="N30" s="412">
        <f t="array" ref="N30">IF(
    DATEDIF($B30, TODAY(), "M") &gt;= 11,
    INDEX('Most Recent Import'!$F30:$Q30, 1, MATCH(11 - (COLUMN(N:N) - 5), {0, 1, 2, 3, 4, 5, 6, 7, 8, 9, 10, 11}, 0)),
    IF(
      DATEDIF($B30, TODAY(), "M") + 1 &gt;= COLUMN(N:N) - 5,
      INDEX('Most Recent Import'!$F30:$Q30, 1, MATCH(DATEDIF($B30, TODAY(), "M") + 1 - (COLUMN(N:N) - 5), {0, 1, 2, 3, 4, 5, 6, 7, 8, 9, 10, 11}, 0)),
      ""
    )
  )
</f>
        <v>3</v>
      </c>
      <c r="O30" s="412">
        <f t="array" ref="O30">IF(
    DATEDIF($B30, TODAY(), "M") &gt;= 11,
    INDEX('Most Recent Import'!$F30:$Q30, 1, MATCH(11 - (COLUMN(O:O) - 5), {0, 1, 2, 3, 4, 5, 6, 7, 8, 9, 10, 11}, 0)),
    IF(
      DATEDIF($B30, TODAY(), "M") + 1 &gt;= COLUMN(O:O) - 5,
      INDEX('Most Recent Import'!$F30:$Q30, 1, MATCH(DATEDIF($B30, TODAY(), "M") + 1 - (COLUMN(O:O) - 5), {0, 1, 2, 3, 4, 5, 6, 7, 8, 9, 10, 11}, 0)),
      ""
    )
  )
</f>
        <v>8</v>
      </c>
      <c r="P30" s="412">
        <f t="array" ref="P30">IF(
    DATEDIF($B30, TODAY(), "M") &gt;= 11,
    INDEX('Most Recent Import'!$F30:$Q30, 1, MATCH(11 - (COLUMN(P:P) - 5), {0, 1, 2, 3, 4, 5, 6, 7, 8, 9, 10, 11}, 0)),
    IF(
      DATEDIF($B30, TODAY(), "M") + 1 &gt;= COLUMN(P:P) - 5,
      INDEX('Most Recent Import'!$F30:$Q30, 1, MATCH(DATEDIF($B30, TODAY(), "M") + 1 - (COLUMN(P:P) - 5), {0, 1, 2, 3, 4, 5, 6, 7, 8, 9, 10, 11}, 0)),
      ""
    )
  )
</f>
        <v>33</v>
      </c>
    </row>
    <row r="31">
      <c r="A31" s="412" t="str">
        <f>'Most Recent Import'!A31</f>
        <v>adobe_community</v>
      </c>
      <c r="B31" s="413">
        <f>IF(ISBLANK(A31), "", DATE(LEFT('Most Recent Import'!C31, 4), RIGHT('Most Recent Import'!C31, 2), 1))</f>
        <v>45292</v>
      </c>
      <c r="C31" s="414">
        <f>'Most Recent Import'!B31</f>
        <v>35000</v>
      </c>
      <c r="D31" s="412">
        <f>'Most Recent Import'!D31</f>
        <v>5</v>
      </c>
      <c r="E31" s="412">
        <f t="array" ref="E31">IF(
    DATEDIF($B31, TODAY(), "M") &gt;= 11,
    INDEX('Most Recent Import'!$F31:$Q31, 1, MATCH(11 - (COLUMN(E:E) - 5), {0, 1, 2, 3, 4, 5, 6, 7, 8, 9, 10, 11}, 0)),
    IF(
      DATEDIF($B31, TODAY(), "M") + 1 &gt;= COLUMN(E:E) - 5,
      INDEX('Most Recent Import'!$F31:$Q31, 1, MATCH(DATEDIF($B31, TODAY(), "M") + 1 - (COLUMN(E:E) - 5), {0, 1, 2, 3, 4, 5, 6, 7, 8, 9, 10, 11}, 0)),
      ""
    )
  )
</f>
        <v>0</v>
      </c>
      <c r="F31" s="412">
        <f t="array" ref="F31">IF(
    DATEDIF($B31, TODAY(), "M") &gt;= 11,
    INDEX('Most Recent Import'!$F31:$Q31, 1, MATCH(11 - (COLUMN(F:F) - 5), {0, 1, 2, 3, 4, 5, 6, 7, 8, 9, 10, 11}, 0)),
    IF(
      DATEDIF($B31, TODAY(), "M") + 1 &gt;= COLUMN(F:F) - 5,
      INDEX('Most Recent Import'!$F31:$Q31, 1, MATCH(DATEDIF($B31, TODAY(), "M") + 1 - (COLUMN(F:F) - 5), {0, 1, 2, 3, 4, 5, 6, 7, 8, 9, 10, 11}, 0)),
      ""
    )
  )
</f>
        <v>0</v>
      </c>
      <c r="G31" s="412">
        <f t="array" ref="G31">IF(
    DATEDIF($B31, TODAY(), "M") &gt;= 11,
    INDEX('Most Recent Import'!$F31:$Q31, 1, MATCH(11 - (COLUMN(G:G) - 5), {0, 1, 2, 3, 4, 5, 6, 7, 8, 9, 10, 11}, 0)),
    IF(
      DATEDIF($B31, TODAY(), "M") + 1 &gt;= COLUMN(G:G) - 5,
      INDEX('Most Recent Import'!$F31:$Q31, 1, MATCH(DATEDIF($B31, TODAY(), "M") + 1 - (COLUMN(G:G) - 5), {0, 1, 2, 3, 4, 5, 6, 7, 8, 9, 10, 11}, 0)),
      ""
    )
  )
</f>
        <v>0</v>
      </c>
      <c r="H31" s="412">
        <f t="array" ref="H31">IF(
    DATEDIF($B31, TODAY(), "M") &gt;= 11,
    INDEX('Most Recent Import'!$F31:$Q31, 1, MATCH(11 - (COLUMN(H:H) - 5), {0, 1, 2, 3, 4, 5, 6, 7, 8, 9, 10, 11}, 0)),
    IF(
      DATEDIF($B31, TODAY(), "M") + 1 &gt;= COLUMN(H:H) - 5,
      INDEX('Most Recent Import'!$F31:$Q31, 1, MATCH(DATEDIF($B31, TODAY(), "M") + 1 - (COLUMN(H:H) - 5), {0, 1, 2, 3, 4, 5, 6, 7, 8, 9, 10, 11}, 0)),
      ""
    )
  )
</f>
        <v>0</v>
      </c>
      <c r="I31" s="412">
        <f t="array" ref="I31">IF(
    DATEDIF($B31, TODAY(), "M") &gt;= 11,
    INDEX('Most Recent Import'!$F31:$Q31, 1, MATCH(11 - (COLUMN(I:I) - 5), {0, 1, 2, 3, 4, 5, 6, 7, 8, 9, 10, 11}, 0)),
    IF(
      DATEDIF($B31, TODAY(), "M") + 1 &gt;= COLUMN(I:I) - 5,
      INDEX('Most Recent Import'!$F31:$Q31, 1, MATCH(DATEDIF($B31, TODAY(), "M") + 1 - (COLUMN(I:I) - 5), {0, 1, 2, 3, 4, 5, 6, 7, 8, 9, 10, 11}, 0)),
      ""
    )
  )
</f>
        <v>0</v>
      </c>
      <c r="J31" s="412">
        <f t="array" ref="J31">IF(
    DATEDIF($B31, TODAY(), "M") &gt;= 11,
    INDEX('Most Recent Import'!$F31:$Q31, 1, MATCH(11 - (COLUMN(J:J) - 5), {0, 1, 2, 3, 4, 5, 6, 7, 8, 9, 10, 11}, 0)),
    IF(
      DATEDIF($B31, TODAY(), "M") + 1 &gt;= COLUMN(J:J) - 5,
      INDEX('Most Recent Import'!$F31:$Q31, 1, MATCH(DATEDIF($B31, TODAY(), "M") + 1 - (COLUMN(J:J) - 5), {0, 1, 2, 3, 4, 5, 6, 7, 8, 9, 10, 11}, 0)),
      ""
    )
  )
</f>
        <v>0</v>
      </c>
      <c r="K31" s="412">
        <f t="array" ref="K31">IF(
    DATEDIF($B31, TODAY(), "M") &gt;= 11,
    INDEX('Most Recent Import'!$F31:$Q31, 1, MATCH(11 - (COLUMN(K:K) - 5), {0, 1, 2, 3, 4, 5, 6, 7, 8, 9, 10, 11}, 0)),
    IF(
      DATEDIF($B31, TODAY(), "M") + 1 &gt;= COLUMN(K:K) - 5,
      INDEX('Most Recent Import'!$F31:$Q31, 1, MATCH(DATEDIF($B31, TODAY(), "M") + 1 - (COLUMN(K:K) - 5), {0, 1, 2, 3, 4, 5, 6, 7, 8, 9, 10, 11}, 0)),
      ""
    )
  )
</f>
        <v>0</v>
      </c>
      <c r="L31" s="412">
        <f t="array" ref="L31">IF(
    DATEDIF($B31, TODAY(), "M") &gt;= 11,
    INDEX('Most Recent Import'!$F31:$Q31, 1, MATCH(11 - (COLUMN(L:L) - 5), {0, 1, 2, 3, 4, 5, 6, 7, 8, 9, 10, 11}, 0)),
    IF(
      DATEDIF($B31, TODAY(), "M") + 1 &gt;= COLUMN(L:L) - 5,
      INDEX('Most Recent Import'!$F31:$Q31, 1, MATCH(DATEDIF($B31, TODAY(), "M") + 1 - (COLUMN(L:L) - 5), {0, 1, 2, 3, 4, 5, 6, 7, 8, 9, 10, 11}, 0)),
      ""
    )
  )
</f>
        <v>0</v>
      </c>
      <c r="M31" s="412">
        <f t="array" ref="M31">IF(
    DATEDIF($B31, TODAY(), "M") &gt;= 11,
    INDEX('Most Recent Import'!$F31:$Q31, 1, MATCH(11 - (COLUMN(M:M) - 5), {0, 1, 2, 3, 4, 5, 6, 7, 8, 9, 10, 11}, 0)),
    IF(
      DATEDIF($B31, TODAY(), "M") + 1 &gt;= COLUMN(M:M) - 5,
      INDEX('Most Recent Import'!$F31:$Q31, 1, MATCH(DATEDIF($B31, TODAY(), "M") + 1 - (COLUMN(M:M) - 5), {0, 1, 2, 3, 4, 5, 6, 7, 8, 9, 10, 11}, 0)),
      ""
    )
  )
</f>
        <v>0</v>
      </c>
      <c r="N31" s="412">
        <f t="array" ref="N31">IF(
    DATEDIF($B31, TODAY(), "M") &gt;= 11,
    INDEX('Most Recent Import'!$F31:$Q31, 1, MATCH(11 - (COLUMN(N:N) - 5), {0, 1, 2, 3, 4, 5, 6, 7, 8, 9, 10, 11}, 0)),
    IF(
      DATEDIF($B31, TODAY(), "M") + 1 &gt;= COLUMN(N:N) - 5,
      INDEX('Most Recent Import'!$F31:$Q31, 1, MATCH(DATEDIF($B31, TODAY(), "M") + 1 - (COLUMN(N:N) - 5), {0, 1, 2, 3, 4, 5, 6, 7, 8, 9, 10, 11}, 0)),
      ""
    )
  )
</f>
        <v>0</v>
      </c>
      <c r="O31" s="412">
        <f t="array" ref="O31">IF(
    DATEDIF($B31, TODAY(), "M") &gt;= 11,
    INDEX('Most Recent Import'!$F31:$Q31, 1, MATCH(11 - (COLUMN(O:O) - 5), {0, 1, 2, 3, 4, 5, 6, 7, 8, 9, 10, 11}, 0)),
    IF(
      DATEDIF($B31, TODAY(), "M") + 1 &gt;= COLUMN(O:O) - 5,
      INDEX('Most Recent Import'!$F31:$Q31, 1, MATCH(DATEDIF($B31, TODAY(), "M") + 1 - (COLUMN(O:O) - 5), {0, 1, 2, 3, 4, 5, 6, 7, 8, 9, 10, 11}, 0)),
      ""
    )
  )
</f>
        <v>0</v>
      </c>
      <c r="P31" s="412">
        <f t="array" ref="P31">IF(
    DATEDIF($B31, TODAY(), "M") &gt;= 11,
    INDEX('Most Recent Import'!$F31:$Q31, 1, MATCH(11 - (COLUMN(P:P) - 5), {0, 1, 2, 3, 4, 5, 6, 7, 8, 9, 10, 11}, 0)),
    IF(
      DATEDIF($B31, TODAY(), "M") + 1 &gt;= COLUMN(P:P) - 5,
      INDEX('Most Recent Import'!$F31:$Q31, 1, MATCH(DATEDIF($B31, TODAY(), "M") + 1 - (COLUMN(P:P) - 5), {0, 1, 2, 3, 4, 5, 6, 7, 8, 9, 10, 11}, 0)),
      ""
    )
  )
</f>
        <v>1</v>
      </c>
    </row>
    <row r="32">
      <c r="A32" s="412" t="str">
        <f>'Most Recent Import'!A32</f>
        <v>blackbaud</v>
      </c>
      <c r="B32" s="413">
        <f>IF(ISBLANK(A32), "", DATE(LEFT('Most Recent Import'!C32, 4), RIGHT('Most Recent Import'!C32, 2), 1))</f>
        <v>45292</v>
      </c>
      <c r="C32" s="414">
        <f>'Most Recent Import'!B32</f>
        <v>50000</v>
      </c>
      <c r="D32" s="412">
        <f>'Most Recent Import'!D32</f>
        <v>80</v>
      </c>
      <c r="E32" s="412">
        <f t="array" ref="E32">IF(
    DATEDIF($B32, TODAY(), "M") &gt;= 11,
    INDEX('Most Recent Import'!$F32:$Q32, 1, MATCH(11 - (COLUMN(E:E) - 5), {0, 1, 2, 3, 4, 5, 6, 7, 8, 9, 10, 11}, 0)),
    IF(
      DATEDIF($B32, TODAY(), "M") + 1 &gt;= COLUMN(E:E) - 5,
      INDEX('Most Recent Import'!$F32:$Q32, 1, MATCH(DATEDIF($B32, TODAY(), "M") + 1 - (COLUMN(E:E) - 5), {0, 1, 2, 3, 4, 5, 6, 7, 8, 9, 10, 11}, 0)),
      ""
    )
  )
</f>
        <v>8</v>
      </c>
      <c r="F32" s="412">
        <f t="array" ref="F32">IF(
    DATEDIF($B32, TODAY(), "M") &gt;= 11,
    INDEX('Most Recent Import'!$F32:$Q32, 1, MATCH(11 - (COLUMN(F:F) - 5), {0, 1, 2, 3, 4, 5, 6, 7, 8, 9, 10, 11}, 0)),
    IF(
      DATEDIF($B32, TODAY(), "M") + 1 &gt;= COLUMN(F:F) - 5,
      INDEX('Most Recent Import'!$F32:$Q32, 1, MATCH(DATEDIF($B32, TODAY(), "M") + 1 - (COLUMN(F:F) - 5), {0, 1, 2, 3, 4, 5, 6, 7, 8, 9, 10, 11}, 0)),
      ""
    )
  )
</f>
        <v>4</v>
      </c>
      <c r="G32" s="412">
        <f t="array" ref="G32">IF(
    DATEDIF($B32, TODAY(), "M") &gt;= 11,
    INDEX('Most Recent Import'!$F32:$Q32, 1, MATCH(11 - (COLUMN(G:G) - 5), {0, 1, 2, 3, 4, 5, 6, 7, 8, 9, 10, 11}, 0)),
    IF(
      DATEDIF($B32, TODAY(), "M") + 1 &gt;= COLUMN(G:G) - 5,
      INDEX('Most Recent Import'!$F32:$Q32, 1, MATCH(DATEDIF($B32, TODAY(), "M") + 1 - (COLUMN(G:G) - 5), {0, 1, 2, 3, 4, 5, 6, 7, 8, 9, 10, 11}, 0)),
      ""
    )
  )
</f>
        <v>1</v>
      </c>
      <c r="H32" s="412">
        <f t="array" ref="H32">IF(
    DATEDIF($B32, TODAY(), "M") &gt;= 11,
    INDEX('Most Recent Import'!$F32:$Q32, 1, MATCH(11 - (COLUMN(H:H) - 5), {0, 1, 2, 3, 4, 5, 6, 7, 8, 9, 10, 11}, 0)),
    IF(
      DATEDIF($B32, TODAY(), "M") + 1 &gt;= COLUMN(H:H) - 5,
      INDEX('Most Recent Import'!$F32:$Q32, 1, MATCH(DATEDIF($B32, TODAY(), "M") + 1 - (COLUMN(H:H) - 5), {0, 1, 2, 3, 4, 5, 6, 7, 8, 9, 10, 11}, 0)),
      ""
    )
  )
</f>
        <v>14</v>
      </c>
      <c r="I32" s="412">
        <f t="array" ref="I32">IF(
    DATEDIF($B32, TODAY(), "M") &gt;= 11,
    INDEX('Most Recent Import'!$F32:$Q32, 1, MATCH(11 - (COLUMN(I:I) - 5), {0, 1, 2, 3, 4, 5, 6, 7, 8, 9, 10, 11}, 0)),
    IF(
      DATEDIF($B32, TODAY(), "M") + 1 &gt;= COLUMN(I:I) - 5,
      INDEX('Most Recent Import'!$F32:$Q32, 1, MATCH(DATEDIF($B32, TODAY(), "M") + 1 - (COLUMN(I:I) - 5), {0, 1, 2, 3, 4, 5, 6, 7, 8, 9, 10, 11}, 0)),
      ""
    )
  )
</f>
        <v>11</v>
      </c>
      <c r="J32" s="412">
        <f t="array" ref="J32">IF(
    DATEDIF($B32, TODAY(), "M") &gt;= 11,
    INDEX('Most Recent Import'!$F32:$Q32, 1, MATCH(11 - (COLUMN(J:J) - 5), {0, 1, 2, 3, 4, 5, 6, 7, 8, 9, 10, 11}, 0)),
    IF(
      DATEDIF($B32, TODAY(), "M") + 1 &gt;= COLUMN(J:J) - 5,
      INDEX('Most Recent Import'!$F32:$Q32, 1, MATCH(DATEDIF($B32, TODAY(), "M") + 1 - (COLUMN(J:J) - 5), {0, 1, 2, 3, 4, 5, 6, 7, 8, 9, 10, 11}, 0)),
      ""
    )
  )
</f>
        <v>2</v>
      </c>
      <c r="K32" s="412">
        <f t="array" ref="K32">IF(
    DATEDIF($B32, TODAY(), "M") &gt;= 11,
    INDEX('Most Recent Import'!$F32:$Q32, 1, MATCH(11 - (COLUMN(K:K) - 5), {0, 1, 2, 3, 4, 5, 6, 7, 8, 9, 10, 11}, 0)),
    IF(
      DATEDIF($B32, TODAY(), "M") + 1 &gt;= COLUMN(K:K) - 5,
      INDEX('Most Recent Import'!$F32:$Q32, 1, MATCH(DATEDIF($B32, TODAY(), "M") + 1 - (COLUMN(K:K) - 5), {0, 1, 2, 3, 4, 5, 6, 7, 8, 9, 10, 11}, 0)),
      ""
    )
  )
</f>
        <v>5</v>
      </c>
      <c r="L32" s="412">
        <f t="array" ref="L32">IF(
    DATEDIF($B32, TODAY(), "M") &gt;= 11,
    INDEX('Most Recent Import'!$F32:$Q32, 1, MATCH(11 - (COLUMN(L:L) - 5), {0, 1, 2, 3, 4, 5, 6, 7, 8, 9, 10, 11}, 0)),
    IF(
      DATEDIF($B32, TODAY(), "M") + 1 &gt;= COLUMN(L:L) - 5,
      INDEX('Most Recent Import'!$F32:$Q32, 1, MATCH(DATEDIF($B32, TODAY(), "M") + 1 - (COLUMN(L:L) - 5), {0, 1, 2, 3, 4, 5, 6, 7, 8, 9, 10, 11}, 0)),
      ""
    )
  )
</f>
        <v>5</v>
      </c>
      <c r="M32" s="412">
        <f t="array" ref="M32">IF(
    DATEDIF($B32, TODAY(), "M") &gt;= 11,
    INDEX('Most Recent Import'!$F32:$Q32, 1, MATCH(11 - (COLUMN(M:M) - 5), {0, 1, 2, 3, 4, 5, 6, 7, 8, 9, 10, 11}, 0)),
    IF(
      DATEDIF($B32, TODAY(), "M") + 1 &gt;= COLUMN(M:M) - 5,
      INDEX('Most Recent Import'!$F32:$Q32, 1, MATCH(DATEDIF($B32, TODAY(), "M") + 1 - (COLUMN(M:M) - 5), {0, 1, 2, 3, 4, 5, 6, 7, 8, 9, 10, 11}, 0)),
      ""
    )
  )
</f>
        <v>5</v>
      </c>
      <c r="N32" s="412">
        <f t="array" ref="N32">IF(
    DATEDIF($B32, TODAY(), "M") &gt;= 11,
    INDEX('Most Recent Import'!$F32:$Q32, 1, MATCH(11 - (COLUMN(N:N) - 5), {0, 1, 2, 3, 4, 5, 6, 7, 8, 9, 10, 11}, 0)),
    IF(
      DATEDIF($B32, TODAY(), "M") + 1 &gt;= COLUMN(N:N) - 5,
      INDEX('Most Recent Import'!$F32:$Q32, 1, MATCH(DATEDIF($B32, TODAY(), "M") + 1 - (COLUMN(N:N) - 5), {0, 1, 2, 3, 4, 5, 6, 7, 8, 9, 10, 11}, 0)),
      ""
    )
  )
</f>
        <v>6</v>
      </c>
      <c r="O32" s="412">
        <f t="array" ref="O32">IF(
    DATEDIF($B32, TODAY(), "M") &gt;= 11,
    INDEX('Most Recent Import'!$F32:$Q32, 1, MATCH(11 - (COLUMN(O:O) - 5), {0, 1, 2, 3, 4, 5, 6, 7, 8, 9, 10, 11}, 0)),
    IF(
      DATEDIF($B32, TODAY(), "M") + 1 &gt;= COLUMN(O:O) - 5,
      INDEX('Most Recent Import'!$F32:$Q32, 1, MATCH(DATEDIF($B32, TODAY(), "M") + 1 - (COLUMN(O:O) - 5), {0, 1, 2, 3, 4, 5, 6, 7, 8, 9, 10, 11}, 0)),
      ""
    )
  )
</f>
        <v>8</v>
      </c>
      <c r="P32" s="412">
        <f t="array" ref="P32">IF(
    DATEDIF($B32, TODAY(), "M") &gt;= 11,
    INDEX('Most Recent Import'!$F32:$Q32, 1, MATCH(11 - (COLUMN(P:P) - 5), {0, 1, 2, 3, 4, 5, 6, 7, 8, 9, 10, 11}, 0)),
    IF(
      DATEDIF($B32, TODAY(), "M") + 1 &gt;= COLUMN(P:P) - 5,
      INDEX('Most Recent Import'!$F32:$Q32, 1, MATCH(DATEDIF($B32, TODAY(), "M") + 1 - (COLUMN(P:P) - 5), {0, 1, 2, 3, 4, 5, 6, 7, 8, 9, 10, 11}, 0)),
      ""
    )
  )
</f>
        <v>12</v>
      </c>
    </row>
    <row r="33">
      <c r="A33" s="412" t="str">
        <f>'Most Recent Import'!A33</f>
        <v>docuware</v>
      </c>
      <c r="B33" s="413">
        <f>IF(ISBLANK(A33), "", DATE(LEFT('Most Recent Import'!C33, 4), RIGHT('Most Recent Import'!C33, 2), 1))</f>
        <v>45292</v>
      </c>
      <c r="C33" s="414">
        <f>'Most Recent Import'!B33</f>
        <v>5000</v>
      </c>
      <c r="D33" s="412">
        <f>'Most Recent Import'!D33</f>
        <v>4</v>
      </c>
      <c r="E33" s="412">
        <f t="array" ref="E33">IF(
    DATEDIF($B33, TODAY(), "M") &gt;= 11,
    INDEX('Most Recent Import'!$F33:$Q33, 1, MATCH(11 - (COLUMN(E:E) - 5), {0, 1, 2, 3, 4, 5, 6, 7, 8, 9, 10, 11}, 0)),
    IF(
      DATEDIF($B33, TODAY(), "M") + 1 &gt;= COLUMN(E:E) - 5,
      INDEX('Most Recent Import'!$F33:$Q33, 1, MATCH(DATEDIF($B33, TODAY(), "M") + 1 - (COLUMN(E:E) - 5), {0, 1, 2, 3, 4, 5, 6, 7, 8, 9, 10, 11}, 0)),
      ""
    )
  )
</f>
        <v>0</v>
      </c>
      <c r="F33" s="412">
        <f t="array" ref="F33">IF(
    DATEDIF($B33, TODAY(), "M") &gt;= 11,
    INDEX('Most Recent Import'!$F33:$Q33, 1, MATCH(11 - (COLUMN(F:F) - 5), {0, 1, 2, 3, 4, 5, 6, 7, 8, 9, 10, 11}, 0)),
    IF(
      DATEDIF($B33, TODAY(), "M") + 1 &gt;= COLUMN(F:F) - 5,
      INDEX('Most Recent Import'!$F33:$Q33, 1, MATCH(DATEDIF($B33, TODAY(), "M") + 1 - (COLUMN(F:F) - 5), {0, 1, 2, 3, 4, 5, 6, 7, 8, 9, 10, 11}, 0)),
      ""
    )
  )
</f>
        <v>0</v>
      </c>
      <c r="G33" s="412">
        <f t="array" ref="G33">IF(
    DATEDIF($B33, TODAY(), "M") &gt;= 11,
    INDEX('Most Recent Import'!$F33:$Q33, 1, MATCH(11 - (COLUMN(G:G) - 5), {0, 1, 2, 3, 4, 5, 6, 7, 8, 9, 10, 11}, 0)),
    IF(
      DATEDIF($B33, TODAY(), "M") + 1 &gt;= COLUMN(G:G) - 5,
      INDEX('Most Recent Import'!$F33:$Q33, 1, MATCH(DATEDIF($B33, TODAY(), "M") + 1 - (COLUMN(G:G) - 5), {0, 1, 2, 3, 4, 5, 6, 7, 8, 9, 10, 11}, 0)),
      ""
    )
  )
</f>
        <v>0</v>
      </c>
      <c r="H33" s="412">
        <f t="array" ref="H33">IF(
    DATEDIF($B33, TODAY(), "M") &gt;= 11,
    INDEX('Most Recent Import'!$F33:$Q33, 1, MATCH(11 - (COLUMN(H:H) - 5), {0, 1, 2, 3, 4, 5, 6, 7, 8, 9, 10, 11}, 0)),
    IF(
      DATEDIF($B33, TODAY(), "M") + 1 &gt;= COLUMN(H:H) - 5,
      INDEX('Most Recent Import'!$F33:$Q33, 1, MATCH(DATEDIF($B33, TODAY(), "M") + 1 - (COLUMN(H:H) - 5), {0, 1, 2, 3, 4, 5, 6, 7, 8, 9, 10, 11}, 0)),
      ""
    )
  )
</f>
        <v>0</v>
      </c>
      <c r="I33" s="412">
        <f t="array" ref="I33">IF(
    DATEDIF($B33, TODAY(), "M") &gt;= 11,
    INDEX('Most Recent Import'!$F33:$Q33, 1, MATCH(11 - (COLUMN(I:I) - 5), {0, 1, 2, 3, 4, 5, 6, 7, 8, 9, 10, 11}, 0)),
    IF(
      DATEDIF($B33, TODAY(), "M") + 1 &gt;= COLUMN(I:I) - 5,
      INDEX('Most Recent Import'!$F33:$Q33, 1, MATCH(DATEDIF($B33, TODAY(), "M") + 1 - (COLUMN(I:I) - 5), {0, 1, 2, 3, 4, 5, 6, 7, 8, 9, 10, 11}, 0)),
      ""
    )
  )
</f>
        <v>0</v>
      </c>
      <c r="J33" s="412">
        <f t="array" ref="J33">IF(
    DATEDIF($B33, TODAY(), "M") &gt;= 11,
    INDEX('Most Recent Import'!$F33:$Q33, 1, MATCH(11 - (COLUMN(J:J) - 5), {0, 1, 2, 3, 4, 5, 6, 7, 8, 9, 10, 11}, 0)),
    IF(
      DATEDIF($B33, TODAY(), "M") + 1 &gt;= COLUMN(J:J) - 5,
      INDEX('Most Recent Import'!$F33:$Q33, 1, MATCH(DATEDIF($B33, TODAY(), "M") + 1 - (COLUMN(J:J) - 5), {0, 1, 2, 3, 4, 5, 6, 7, 8, 9, 10, 11}, 0)),
      ""
    )
  )
</f>
        <v>0</v>
      </c>
      <c r="K33" s="412">
        <f t="array" ref="K33">IF(
    DATEDIF($B33, TODAY(), "M") &gt;= 11,
    INDEX('Most Recent Import'!$F33:$Q33, 1, MATCH(11 - (COLUMN(K:K) - 5), {0, 1, 2, 3, 4, 5, 6, 7, 8, 9, 10, 11}, 0)),
    IF(
      DATEDIF($B33, TODAY(), "M") + 1 &gt;= COLUMN(K:K) - 5,
      INDEX('Most Recent Import'!$F33:$Q33, 1, MATCH(DATEDIF($B33, TODAY(), "M") + 1 - (COLUMN(K:K) - 5), {0, 1, 2, 3, 4, 5, 6, 7, 8, 9, 10, 11}, 0)),
      ""
    )
  )
</f>
        <v>0</v>
      </c>
      <c r="L33" s="412">
        <f t="array" ref="L33">IF(
    DATEDIF($B33, TODAY(), "M") &gt;= 11,
    INDEX('Most Recent Import'!$F33:$Q33, 1, MATCH(11 - (COLUMN(L:L) - 5), {0, 1, 2, 3, 4, 5, 6, 7, 8, 9, 10, 11}, 0)),
    IF(
      DATEDIF($B33, TODAY(), "M") + 1 &gt;= COLUMN(L:L) - 5,
      INDEX('Most Recent Import'!$F33:$Q33, 1, MATCH(DATEDIF($B33, TODAY(), "M") + 1 - (COLUMN(L:L) - 5), {0, 1, 2, 3, 4, 5, 6, 7, 8, 9, 10, 11}, 0)),
      ""
    )
  )
</f>
        <v>0</v>
      </c>
      <c r="M33" s="412">
        <f t="array" ref="M33">IF(
    DATEDIF($B33, TODAY(), "M") &gt;= 11,
    INDEX('Most Recent Import'!$F33:$Q33, 1, MATCH(11 - (COLUMN(M:M) - 5), {0, 1, 2, 3, 4, 5, 6, 7, 8, 9, 10, 11}, 0)),
    IF(
      DATEDIF($B33, TODAY(), "M") + 1 &gt;= COLUMN(M:M) - 5,
      INDEX('Most Recent Import'!$F33:$Q33, 1, MATCH(DATEDIF($B33, TODAY(), "M") + 1 - (COLUMN(M:M) - 5), {0, 1, 2, 3, 4, 5, 6, 7, 8, 9, 10, 11}, 0)),
      ""
    )
  )
</f>
        <v>0</v>
      </c>
      <c r="N33" s="412">
        <f t="array" ref="N33">IF(
    DATEDIF($B33, TODAY(), "M") &gt;= 11,
    INDEX('Most Recent Import'!$F33:$Q33, 1, MATCH(11 - (COLUMN(N:N) - 5), {0, 1, 2, 3, 4, 5, 6, 7, 8, 9, 10, 11}, 0)),
    IF(
      DATEDIF($B33, TODAY(), "M") + 1 &gt;= COLUMN(N:N) - 5,
      INDEX('Most Recent Import'!$F33:$Q33, 1, MATCH(DATEDIF($B33, TODAY(), "M") + 1 - (COLUMN(N:N) - 5), {0, 1, 2, 3, 4, 5, 6, 7, 8, 9, 10, 11}, 0)),
      ""
    )
  )
</f>
        <v>0</v>
      </c>
      <c r="O33" s="412">
        <f t="array" ref="O33">IF(
    DATEDIF($B33, TODAY(), "M") &gt;= 11,
    INDEX('Most Recent Import'!$F33:$Q33, 1, MATCH(11 - (COLUMN(O:O) - 5), {0, 1, 2, 3, 4, 5, 6, 7, 8, 9, 10, 11}, 0)),
    IF(
      DATEDIF($B33, TODAY(), "M") + 1 &gt;= COLUMN(O:O) - 5,
      INDEX('Most Recent Import'!$F33:$Q33, 1, MATCH(DATEDIF($B33, TODAY(), "M") + 1 - (COLUMN(O:O) - 5), {0, 1, 2, 3, 4, 5, 6, 7, 8, 9, 10, 11}, 0)),
      ""
    )
  )
</f>
        <v>0</v>
      </c>
      <c r="P33" s="412">
        <f t="array" ref="P33">IF(
    DATEDIF($B33, TODAY(), "M") &gt;= 11,
    INDEX('Most Recent Import'!$F33:$Q33, 1, MATCH(11 - (COLUMN(P:P) - 5), {0, 1, 2, 3, 4, 5, 6, 7, 8, 9, 10, 11}, 0)),
    IF(
      DATEDIF($B33, TODAY(), "M") + 1 &gt;= COLUMN(P:P) - 5,
      INDEX('Most Recent Import'!$F33:$Q33, 1, MATCH(DATEDIF($B33, TODAY(), "M") + 1 - (COLUMN(P:P) - 5), {0, 1, 2, 3, 4, 5, 6, 7, 8, 9, 10, 11}, 0)),
      ""
    )
  )
</f>
        <v>1</v>
      </c>
    </row>
    <row r="34">
      <c r="A34" s="412" t="str">
        <f>'Most Recent Import'!A34</f>
        <v>domo</v>
      </c>
      <c r="B34" s="413">
        <f>IF(ISBLANK(A34), "", DATE(LEFT('Most Recent Import'!C34, 4), RIGHT('Most Recent Import'!C34, 2), 1))</f>
        <v>45292</v>
      </c>
      <c r="C34" s="414">
        <f>'Most Recent Import'!B34</f>
        <v>12000</v>
      </c>
      <c r="D34" s="412">
        <f>'Most Recent Import'!D34</f>
        <v>10</v>
      </c>
      <c r="E34" s="412">
        <f t="array" ref="E34">IF(
    DATEDIF($B34, TODAY(), "M") &gt;= 11,
    INDEX('Most Recent Import'!$F34:$Q34, 1, MATCH(11 - (COLUMN(E:E) - 5), {0, 1, 2, 3, 4, 5, 6, 7, 8, 9, 10, 11}, 0)),
    IF(
      DATEDIF($B34, TODAY(), "M") + 1 &gt;= COLUMN(E:E) - 5,
      INDEX('Most Recent Import'!$F34:$Q34, 1, MATCH(DATEDIF($B34, TODAY(), "M") + 1 - (COLUMN(E:E) - 5), {0, 1, 2, 3, 4, 5, 6, 7, 8, 9, 10, 11}, 0)),
      ""
    )
  )
</f>
        <v>0</v>
      </c>
      <c r="F34" s="412">
        <f t="array" ref="F34">IF(
    DATEDIF($B34, TODAY(), "M") &gt;= 11,
    INDEX('Most Recent Import'!$F34:$Q34, 1, MATCH(11 - (COLUMN(F:F) - 5), {0, 1, 2, 3, 4, 5, 6, 7, 8, 9, 10, 11}, 0)),
    IF(
      DATEDIF($B34, TODAY(), "M") + 1 &gt;= COLUMN(F:F) - 5,
      INDEX('Most Recent Import'!$F34:$Q34, 1, MATCH(DATEDIF($B34, TODAY(), "M") + 1 - (COLUMN(F:F) - 5), {0, 1, 2, 3, 4, 5, 6, 7, 8, 9, 10, 11}, 0)),
      ""
    )
  )
</f>
        <v>0</v>
      </c>
      <c r="G34" s="412">
        <f t="array" ref="G34">IF(
    DATEDIF($B34, TODAY(), "M") &gt;= 11,
    INDEX('Most Recent Import'!$F34:$Q34, 1, MATCH(11 - (COLUMN(G:G) - 5), {0, 1, 2, 3, 4, 5, 6, 7, 8, 9, 10, 11}, 0)),
    IF(
      DATEDIF($B34, TODAY(), "M") + 1 &gt;= COLUMN(G:G) - 5,
      INDEX('Most Recent Import'!$F34:$Q34, 1, MATCH(DATEDIF($B34, TODAY(), "M") + 1 - (COLUMN(G:G) - 5), {0, 1, 2, 3, 4, 5, 6, 7, 8, 9, 10, 11}, 0)),
      ""
    )
  )
</f>
        <v>0</v>
      </c>
      <c r="H34" s="412">
        <f t="array" ref="H34">IF(
    DATEDIF($B34, TODAY(), "M") &gt;= 11,
    INDEX('Most Recent Import'!$F34:$Q34, 1, MATCH(11 - (COLUMN(H:H) - 5), {0, 1, 2, 3, 4, 5, 6, 7, 8, 9, 10, 11}, 0)),
    IF(
      DATEDIF($B34, TODAY(), "M") + 1 &gt;= COLUMN(H:H) - 5,
      INDEX('Most Recent Import'!$F34:$Q34, 1, MATCH(DATEDIF($B34, TODAY(), "M") + 1 - (COLUMN(H:H) - 5), {0, 1, 2, 3, 4, 5, 6, 7, 8, 9, 10, 11}, 0)),
      ""
    )
  )
</f>
        <v>0</v>
      </c>
      <c r="I34" s="412">
        <f t="array" ref="I34">IF(
    DATEDIF($B34, TODAY(), "M") &gt;= 11,
    INDEX('Most Recent Import'!$F34:$Q34, 1, MATCH(11 - (COLUMN(I:I) - 5), {0, 1, 2, 3, 4, 5, 6, 7, 8, 9, 10, 11}, 0)),
    IF(
      DATEDIF($B34, TODAY(), "M") + 1 &gt;= COLUMN(I:I) - 5,
      INDEX('Most Recent Import'!$F34:$Q34, 1, MATCH(DATEDIF($B34, TODAY(), "M") + 1 - (COLUMN(I:I) - 5), {0, 1, 2, 3, 4, 5, 6, 7, 8, 9, 10, 11}, 0)),
      ""
    )
  )
</f>
        <v>0</v>
      </c>
      <c r="J34" s="412">
        <f t="array" ref="J34">IF(
    DATEDIF($B34, TODAY(), "M") &gt;= 11,
    INDEX('Most Recent Import'!$F34:$Q34, 1, MATCH(11 - (COLUMN(J:J) - 5), {0, 1, 2, 3, 4, 5, 6, 7, 8, 9, 10, 11}, 0)),
    IF(
      DATEDIF($B34, TODAY(), "M") + 1 &gt;= COLUMN(J:J) - 5,
      INDEX('Most Recent Import'!$F34:$Q34, 1, MATCH(DATEDIF($B34, TODAY(), "M") + 1 - (COLUMN(J:J) - 5), {0, 1, 2, 3, 4, 5, 6, 7, 8, 9, 10, 11}, 0)),
      ""
    )
  )
</f>
        <v>0</v>
      </c>
      <c r="K34" s="412">
        <f t="array" ref="K34">IF(
    DATEDIF($B34, TODAY(), "M") &gt;= 11,
    INDEX('Most Recent Import'!$F34:$Q34, 1, MATCH(11 - (COLUMN(K:K) - 5), {0, 1, 2, 3, 4, 5, 6, 7, 8, 9, 10, 11}, 0)),
    IF(
      DATEDIF($B34, TODAY(), "M") + 1 &gt;= COLUMN(K:K) - 5,
      INDEX('Most Recent Import'!$F34:$Q34, 1, MATCH(DATEDIF($B34, TODAY(), "M") + 1 - (COLUMN(K:K) - 5), {0, 1, 2, 3, 4, 5, 6, 7, 8, 9, 10, 11}, 0)),
      ""
    )
  )
</f>
        <v>0</v>
      </c>
      <c r="L34" s="412">
        <f t="array" ref="L34">IF(
    DATEDIF($B34, TODAY(), "M") &gt;= 11,
    INDEX('Most Recent Import'!$F34:$Q34, 1, MATCH(11 - (COLUMN(L:L) - 5), {0, 1, 2, 3, 4, 5, 6, 7, 8, 9, 10, 11}, 0)),
    IF(
      DATEDIF($B34, TODAY(), "M") + 1 &gt;= COLUMN(L:L) - 5,
      INDEX('Most Recent Import'!$F34:$Q34, 1, MATCH(DATEDIF($B34, TODAY(), "M") + 1 - (COLUMN(L:L) - 5), {0, 1, 2, 3, 4, 5, 6, 7, 8, 9, 10, 11}, 0)),
      ""
    )
  )
</f>
        <v>0</v>
      </c>
      <c r="M34" s="412">
        <f t="array" ref="M34">IF(
    DATEDIF($B34, TODAY(), "M") &gt;= 11,
    INDEX('Most Recent Import'!$F34:$Q34, 1, MATCH(11 - (COLUMN(M:M) - 5), {0, 1, 2, 3, 4, 5, 6, 7, 8, 9, 10, 11}, 0)),
    IF(
      DATEDIF($B34, TODAY(), "M") + 1 &gt;= COLUMN(M:M) - 5,
      INDEX('Most Recent Import'!$F34:$Q34, 1, MATCH(DATEDIF($B34, TODAY(), "M") + 1 - (COLUMN(M:M) - 5), {0, 1, 2, 3, 4, 5, 6, 7, 8, 9, 10, 11}, 0)),
      ""
    )
  )
</f>
        <v>0</v>
      </c>
      <c r="N34" s="412">
        <f t="array" ref="N34">IF(
    DATEDIF($B34, TODAY(), "M") &gt;= 11,
    INDEX('Most Recent Import'!$F34:$Q34, 1, MATCH(11 - (COLUMN(N:N) - 5), {0, 1, 2, 3, 4, 5, 6, 7, 8, 9, 10, 11}, 0)),
    IF(
      DATEDIF($B34, TODAY(), "M") + 1 &gt;= COLUMN(N:N) - 5,
      INDEX('Most Recent Import'!$F34:$Q34, 1, MATCH(DATEDIF($B34, TODAY(), "M") + 1 - (COLUMN(N:N) - 5), {0, 1, 2, 3, 4, 5, 6, 7, 8, 9, 10, 11}, 0)),
      ""
    )
  )
</f>
        <v>0</v>
      </c>
      <c r="O34" s="412">
        <f t="array" ref="O34">IF(
    DATEDIF($B34, TODAY(), "M") &gt;= 11,
    INDEX('Most Recent Import'!$F34:$Q34, 1, MATCH(11 - (COLUMN(O:O) - 5), {0, 1, 2, 3, 4, 5, 6, 7, 8, 9, 10, 11}, 0)),
    IF(
      DATEDIF($B34, TODAY(), "M") + 1 &gt;= COLUMN(O:O) - 5,
      INDEX('Most Recent Import'!$F34:$Q34, 1, MATCH(DATEDIF($B34, TODAY(), "M") + 1 - (COLUMN(O:O) - 5), {0, 1, 2, 3, 4, 5, 6, 7, 8, 9, 10, 11}, 0)),
      ""
    )
  )
</f>
        <v>1</v>
      </c>
      <c r="P34" s="412">
        <f t="array" ref="P34">IF(
    DATEDIF($B34, TODAY(), "M") &gt;= 11,
    INDEX('Most Recent Import'!$F34:$Q34, 1, MATCH(11 - (COLUMN(P:P) - 5), {0, 1, 2, 3, 4, 5, 6, 7, 8, 9, 10, 11}, 0)),
    IF(
      DATEDIF($B34, TODAY(), "M") + 1 &gt;= COLUMN(P:P) - 5,
      INDEX('Most Recent Import'!$F34:$Q34, 1, MATCH(DATEDIF($B34, TODAY(), "M") + 1 - (COLUMN(P:P) - 5), {0, 1, 2, 3, 4, 5, 6, 7, 8, 9, 10, 11}, 0)),
      ""
    )
  )
</f>
        <v>6</v>
      </c>
    </row>
    <row r="35">
      <c r="A35" s="412" t="str">
        <f>'Most Recent Import'!A35</f>
        <v>pandadoc</v>
      </c>
      <c r="B35" s="413">
        <f>IF(ISBLANK(A35), "", DATE(LEFT('Most Recent Import'!C35, 4), RIGHT('Most Recent Import'!C35, 2), 1))</f>
        <v>45292</v>
      </c>
      <c r="C35" s="414">
        <f>'Most Recent Import'!B35</f>
        <v>7500</v>
      </c>
      <c r="D35" s="412">
        <f>'Most Recent Import'!D35</f>
        <v>26</v>
      </c>
      <c r="E35" s="412">
        <f t="array" ref="E35">IF(
    DATEDIF($B35, TODAY(), "M") &gt;= 11,
    INDEX('Most Recent Import'!$F35:$Q35, 1, MATCH(11 - (COLUMN(E:E) - 5), {0, 1, 2, 3, 4, 5, 6, 7, 8, 9, 10, 11}, 0)),
    IF(
      DATEDIF($B35, TODAY(), "M") + 1 &gt;= COLUMN(E:E) - 5,
      INDEX('Most Recent Import'!$F35:$Q35, 1, MATCH(DATEDIF($B35, TODAY(), "M") + 1 - (COLUMN(E:E) - 5), {0, 1, 2, 3, 4, 5, 6, 7, 8, 9, 10, 11}, 0)),
      ""
    )
  )
</f>
        <v>22</v>
      </c>
      <c r="F35" s="412">
        <f t="array" ref="F35">IF(
    DATEDIF($B35, TODAY(), "M") &gt;= 11,
    INDEX('Most Recent Import'!$F35:$Q35, 1, MATCH(11 - (COLUMN(F:F) - 5), {0, 1, 2, 3, 4, 5, 6, 7, 8, 9, 10, 11}, 0)),
    IF(
      DATEDIF($B35, TODAY(), "M") + 1 &gt;= COLUMN(F:F) - 5,
      INDEX('Most Recent Import'!$F35:$Q35, 1, MATCH(DATEDIF($B35, TODAY(), "M") + 1 - (COLUMN(F:F) - 5), {0, 1, 2, 3, 4, 5, 6, 7, 8, 9, 10, 11}, 0)),
      ""
    )
  )
</f>
        <v>11</v>
      </c>
      <c r="G35" s="412">
        <f t="array" ref="G35">IF(
    DATEDIF($B35, TODAY(), "M") &gt;= 11,
    INDEX('Most Recent Import'!$F35:$Q35, 1, MATCH(11 - (COLUMN(G:G) - 5), {0, 1, 2, 3, 4, 5, 6, 7, 8, 9, 10, 11}, 0)),
    IF(
      DATEDIF($B35, TODAY(), "M") + 1 &gt;= COLUMN(G:G) - 5,
      INDEX('Most Recent Import'!$F35:$Q35, 1, MATCH(DATEDIF($B35, TODAY(), "M") + 1 - (COLUMN(G:G) - 5), {0, 1, 2, 3, 4, 5, 6, 7, 8, 9, 10, 11}, 0)),
      ""
    )
  )
</f>
        <v>12</v>
      </c>
      <c r="H35" s="412">
        <f t="array" ref="H35">IF(
    DATEDIF($B35, TODAY(), "M") &gt;= 11,
    INDEX('Most Recent Import'!$F35:$Q35, 1, MATCH(11 - (COLUMN(H:H) - 5), {0, 1, 2, 3, 4, 5, 6, 7, 8, 9, 10, 11}, 0)),
    IF(
      DATEDIF($B35, TODAY(), "M") + 1 &gt;= COLUMN(H:H) - 5,
      INDEX('Most Recent Import'!$F35:$Q35, 1, MATCH(DATEDIF($B35, TODAY(), "M") + 1 - (COLUMN(H:H) - 5), {0, 1, 2, 3, 4, 5, 6, 7, 8, 9, 10, 11}, 0)),
      ""
    )
  )
</f>
        <v>10</v>
      </c>
      <c r="I35" s="412">
        <f t="array" ref="I35">IF(
    DATEDIF($B35, TODAY(), "M") &gt;= 11,
    INDEX('Most Recent Import'!$F35:$Q35, 1, MATCH(11 - (COLUMN(I:I) - 5), {0, 1, 2, 3, 4, 5, 6, 7, 8, 9, 10, 11}, 0)),
    IF(
      DATEDIF($B35, TODAY(), "M") + 1 &gt;= COLUMN(I:I) - 5,
      INDEX('Most Recent Import'!$F35:$Q35, 1, MATCH(DATEDIF($B35, TODAY(), "M") + 1 - (COLUMN(I:I) - 5), {0, 1, 2, 3, 4, 5, 6, 7, 8, 9, 10, 11}, 0)),
      ""
    )
  )
</f>
        <v>4</v>
      </c>
      <c r="J35" s="412">
        <f t="array" ref="J35">IF(
    DATEDIF($B35, TODAY(), "M") &gt;= 11,
    INDEX('Most Recent Import'!$F35:$Q35, 1, MATCH(11 - (COLUMN(J:J) - 5), {0, 1, 2, 3, 4, 5, 6, 7, 8, 9, 10, 11}, 0)),
    IF(
      DATEDIF($B35, TODAY(), "M") + 1 &gt;= COLUMN(J:J) - 5,
      INDEX('Most Recent Import'!$F35:$Q35, 1, MATCH(DATEDIF($B35, TODAY(), "M") + 1 - (COLUMN(J:J) - 5), {0, 1, 2, 3, 4, 5, 6, 7, 8, 9, 10, 11}, 0)),
      ""
    )
  )
</f>
        <v>5</v>
      </c>
      <c r="K35" s="412">
        <f t="array" ref="K35">IF(
    DATEDIF($B35, TODAY(), "M") &gt;= 11,
    INDEX('Most Recent Import'!$F35:$Q35, 1, MATCH(11 - (COLUMN(K:K) - 5), {0, 1, 2, 3, 4, 5, 6, 7, 8, 9, 10, 11}, 0)),
    IF(
      DATEDIF($B35, TODAY(), "M") + 1 &gt;= COLUMN(K:K) - 5,
      INDEX('Most Recent Import'!$F35:$Q35, 1, MATCH(DATEDIF($B35, TODAY(), "M") + 1 - (COLUMN(K:K) - 5), {0, 1, 2, 3, 4, 5, 6, 7, 8, 9, 10, 11}, 0)),
      ""
    )
  )
</f>
        <v>15</v>
      </c>
      <c r="L35" s="412">
        <f t="array" ref="L35">IF(
    DATEDIF($B35, TODAY(), "M") &gt;= 11,
    INDEX('Most Recent Import'!$F35:$Q35, 1, MATCH(11 - (COLUMN(L:L) - 5), {0, 1, 2, 3, 4, 5, 6, 7, 8, 9, 10, 11}, 0)),
    IF(
      DATEDIF($B35, TODAY(), "M") + 1 &gt;= COLUMN(L:L) - 5,
      INDEX('Most Recent Import'!$F35:$Q35, 1, MATCH(DATEDIF($B35, TODAY(), "M") + 1 - (COLUMN(L:L) - 5), {0, 1, 2, 3, 4, 5, 6, 7, 8, 9, 10, 11}, 0)),
      ""
    )
  )
</f>
        <v>7</v>
      </c>
      <c r="M35" s="412">
        <f t="array" ref="M35">IF(
    DATEDIF($B35, TODAY(), "M") &gt;= 11,
    INDEX('Most Recent Import'!$F35:$Q35, 1, MATCH(11 - (COLUMN(M:M) - 5), {0, 1, 2, 3, 4, 5, 6, 7, 8, 9, 10, 11}, 0)),
    IF(
      DATEDIF($B35, TODAY(), "M") + 1 &gt;= COLUMN(M:M) - 5,
      INDEX('Most Recent Import'!$F35:$Q35, 1, MATCH(DATEDIF($B35, TODAY(), "M") + 1 - (COLUMN(M:M) - 5), {0, 1, 2, 3, 4, 5, 6, 7, 8, 9, 10, 11}, 0)),
      ""
    )
  )
</f>
        <v>7</v>
      </c>
      <c r="N35" s="412">
        <f t="array" ref="N35">IF(
    DATEDIF($B35, TODAY(), "M") &gt;= 11,
    INDEX('Most Recent Import'!$F35:$Q35, 1, MATCH(11 - (COLUMN(N:N) - 5), {0, 1, 2, 3, 4, 5, 6, 7, 8, 9, 10, 11}, 0)),
    IF(
      DATEDIF($B35, TODAY(), "M") + 1 &gt;= COLUMN(N:N) - 5,
      INDEX('Most Recent Import'!$F35:$Q35, 1, MATCH(DATEDIF($B35, TODAY(), "M") + 1 - (COLUMN(N:N) - 5), {0, 1, 2, 3, 4, 5, 6, 7, 8, 9, 10, 11}, 0)),
      ""
    )
  )
</f>
        <v>7</v>
      </c>
      <c r="O35" s="412">
        <f t="array" ref="O35">IF(
    DATEDIF($B35, TODAY(), "M") &gt;= 11,
    INDEX('Most Recent Import'!$F35:$Q35, 1, MATCH(11 - (COLUMN(O:O) - 5), {0, 1, 2, 3, 4, 5, 6, 7, 8, 9, 10, 11}, 0)),
    IF(
      DATEDIF($B35, TODAY(), "M") + 1 &gt;= COLUMN(O:O) - 5,
      INDEX('Most Recent Import'!$F35:$Q35, 1, MATCH(DATEDIF($B35, TODAY(), "M") + 1 - (COLUMN(O:O) - 5), {0, 1, 2, 3, 4, 5, 6, 7, 8, 9, 10, 11}, 0)),
      ""
    )
  )
</f>
        <v>8</v>
      </c>
      <c r="P35" s="412">
        <f t="array" ref="P35">IF(
    DATEDIF($B35, TODAY(), "M") &gt;= 11,
    INDEX('Most Recent Import'!$F35:$Q35, 1, MATCH(11 - (COLUMN(P:P) - 5), {0, 1, 2, 3, 4, 5, 6, 7, 8, 9, 10, 11}, 0)),
    IF(
      DATEDIF($B35, TODAY(), "M") + 1 &gt;= COLUMN(P:P) - 5,
      INDEX('Most Recent Import'!$F35:$Q35, 1, MATCH(DATEDIF($B35, TODAY(), "M") + 1 - (COLUMN(P:P) - 5), {0, 1, 2, 3, 4, 5, 6, 7, 8, 9, 10, 11}, 0)),
      ""
    )
  )
</f>
        <v>6</v>
      </c>
    </row>
    <row r="36">
      <c r="A36" s="412" t="str">
        <f>'Most Recent Import'!A36</f>
        <v>discord</v>
      </c>
      <c r="B36" s="413">
        <f>IF(ISBLANK(A36), "", DATE(LEFT('Most Recent Import'!C36, 4), RIGHT('Most Recent Import'!C36, 2), 1))</f>
        <v>45323</v>
      </c>
      <c r="C36" s="414">
        <f>'Most Recent Import'!B36</f>
        <v>15000</v>
      </c>
      <c r="D36" s="412">
        <f>'Most Recent Import'!D36</f>
        <v>7</v>
      </c>
      <c r="E36" s="412">
        <f t="array" ref="E36">IF(
    DATEDIF($B36, TODAY(), "M") &gt;= 11,
    INDEX('Most Recent Import'!$F36:$Q36, 1, MATCH(11 - (COLUMN(E:E) - 5), {0, 1, 2, 3, 4, 5, 6, 7, 8, 9, 10, 11}, 0)),
    IF(
      DATEDIF($B36, TODAY(), "M") + 1 &gt;= COLUMN(E:E) - 5,
      INDEX('Most Recent Import'!$F36:$Q36, 1, MATCH(DATEDIF($B36, TODAY(), "M") + 1 - (COLUMN(E:E) - 5), {0, 1, 2, 3, 4, 5, 6, 7, 8, 9, 10, 11}, 0)),
      ""
    )
  )
</f>
        <v>3</v>
      </c>
      <c r="F36" s="412">
        <f t="array" ref="F36">IF(
    DATEDIF($B36, TODAY(), "M") &gt;= 11,
    INDEX('Most Recent Import'!$F36:$Q36, 1, MATCH(11 - (COLUMN(F:F) - 5), {0, 1, 2, 3, 4, 5, 6, 7, 8, 9, 10, 11}, 0)),
    IF(
      DATEDIF($B36, TODAY(), "M") + 1 &gt;= COLUMN(F:F) - 5,
      INDEX('Most Recent Import'!$F36:$Q36, 1, MATCH(DATEDIF($B36, TODAY(), "M") + 1 - (COLUMN(F:F) - 5), {0, 1, 2, 3, 4, 5, 6, 7, 8, 9, 10, 11}, 0)),
      ""
    )
  )
</f>
        <v>0</v>
      </c>
      <c r="G36" s="412">
        <f t="array" ref="G36">IF(
    DATEDIF($B36, TODAY(), "M") &gt;= 11,
    INDEX('Most Recent Import'!$F36:$Q36, 1, MATCH(11 - (COLUMN(G:G) - 5), {0, 1, 2, 3, 4, 5, 6, 7, 8, 9, 10, 11}, 0)),
    IF(
      DATEDIF($B36, TODAY(), "M") + 1 &gt;= COLUMN(G:G) - 5,
      INDEX('Most Recent Import'!$F36:$Q36, 1, MATCH(DATEDIF($B36, TODAY(), "M") + 1 - (COLUMN(G:G) - 5), {0, 1, 2, 3, 4, 5, 6, 7, 8, 9, 10, 11}, 0)),
      ""
    )
  )
</f>
        <v>0</v>
      </c>
      <c r="H36" s="412">
        <f t="array" ref="H36">IF(
    DATEDIF($B36, TODAY(), "M") &gt;= 11,
    INDEX('Most Recent Import'!$F36:$Q36, 1, MATCH(11 - (COLUMN(H:H) - 5), {0, 1, 2, 3, 4, 5, 6, 7, 8, 9, 10, 11}, 0)),
    IF(
      DATEDIF($B36, TODAY(), "M") + 1 &gt;= COLUMN(H:H) - 5,
      INDEX('Most Recent Import'!$F36:$Q36, 1, MATCH(DATEDIF($B36, TODAY(), "M") + 1 - (COLUMN(H:H) - 5), {0, 1, 2, 3, 4, 5, 6, 7, 8, 9, 10, 11}, 0)),
      ""
    )
  )
</f>
        <v>0</v>
      </c>
      <c r="I36" s="412">
        <f t="array" ref="I36">IF(
    DATEDIF($B36, TODAY(), "M") &gt;= 11,
    INDEX('Most Recent Import'!$F36:$Q36, 1, MATCH(11 - (COLUMN(I:I) - 5), {0, 1, 2, 3, 4, 5, 6, 7, 8, 9, 10, 11}, 0)),
    IF(
      DATEDIF($B36, TODAY(), "M") + 1 &gt;= COLUMN(I:I) - 5,
      INDEX('Most Recent Import'!$F36:$Q36, 1, MATCH(DATEDIF($B36, TODAY(), "M") + 1 - (COLUMN(I:I) - 5), {0, 1, 2, 3, 4, 5, 6, 7, 8, 9, 10, 11}, 0)),
      ""
    )
  )
</f>
        <v>2</v>
      </c>
      <c r="J36" s="412">
        <f t="array" ref="J36">IF(
    DATEDIF($B36, TODAY(), "M") &gt;= 11,
    INDEX('Most Recent Import'!$F36:$Q36, 1, MATCH(11 - (COLUMN(J:J) - 5), {0, 1, 2, 3, 4, 5, 6, 7, 8, 9, 10, 11}, 0)),
    IF(
      DATEDIF($B36, TODAY(), "M") + 1 &gt;= COLUMN(J:J) - 5,
      INDEX('Most Recent Import'!$F36:$Q36, 1, MATCH(DATEDIF($B36, TODAY(), "M") + 1 - (COLUMN(J:J) - 5), {0, 1, 2, 3, 4, 5, 6, 7, 8, 9, 10, 11}, 0)),
      ""
    )
  )
</f>
        <v>1</v>
      </c>
      <c r="K36" s="412">
        <f t="array" ref="K36">IF(
    DATEDIF($B36, TODAY(), "M") &gt;= 11,
    INDEX('Most Recent Import'!$F36:$Q36, 1, MATCH(11 - (COLUMN(K:K) - 5), {0, 1, 2, 3, 4, 5, 6, 7, 8, 9, 10, 11}, 0)),
    IF(
      DATEDIF($B36, TODAY(), "M") + 1 &gt;= COLUMN(K:K) - 5,
      INDEX('Most Recent Import'!$F36:$Q36, 1, MATCH(DATEDIF($B36, TODAY(), "M") + 1 - (COLUMN(K:K) - 5), {0, 1, 2, 3, 4, 5, 6, 7, 8, 9, 10, 11}, 0)),
      ""
    )
  )
</f>
        <v>13</v>
      </c>
      <c r="L36" s="412">
        <f t="array" ref="L36">IF(
    DATEDIF($B36, TODAY(), "M") &gt;= 11,
    INDEX('Most Recent Import'!$F36:$Q36, 1, MATCH(11 - (COLUMN(L:L) - 5), {0, 1, 2, 3, 4, 5, 6, 7, 8, 9, 10, 11}, 0)),
    IF(
      DATEDIF($B36, TODAY(), "M") + 1 &gt;= COLUMN(L:L) - 5,
      INDEX('Most Recent Import'!$F36:$Q36, 1, MATCH(DATEDIF($B36, TODAY(), "M") + 1 - (COLUMN(L:L) - 5), {0, 1, 2, 3, 4, 5, 6, 7, 8, 9, 10, 11}, 0)),
      ""
    )
  )
</f>
        <v>5</v>
      </c>
      <c r="M36" s="412">
        <f t="array" ref="M36">IF(
    DATEDIF($B36, TODAY(), "M") &gt;= 11,
    INDEX('Most Recent Import'!$F36:$Q36, 1, MATCH(11 - (COLUMN(M:M) - 5), {0, 1, 2, 3, 4, 5, 6, 7, 8, 9, 10, 11}, 0)),
    IF(
      DATEDIF($B36, TODAY(), "M") + 1 &gt;= COLUMN(M:M) - 5,
      INDEX('Most Recent Import'!$F36:$Q36, 1, MATCH(DATEDIF($B36, TODAY(), "M") + 1 - (COLUMN(M:M) - 5), {0, 1, 2, 3, 4, 5, 6, 7, 8, 9, 10, 11}, 0)),
      ""
    )
  )
</f>
        <v>8</v>
      </c>
      <c r="N36" s="412">
        <f t="array" ref="N36">IF(
    DATEDIF($B36, TODAY(), "M") &gt;= 11,
    INDEX('Most Recent Import'!$F36:$Q36, 1, MATCH(11 - (COLUMN(N:N) - 5), {0, 1, 2, 3, 4, 5, 6, 7, 8, 9, 10, 11}, 0)),
    IF(
      DATEDIF($B36, TODAY(), "M") + 1 &gt;= COLUMN(N:N) - 5,
      INDEX('Most Recent Import'!$F36:$Q36, 1, MATCH(DATEDIF($B36, TODAY(), "M") + 1 - (COLUMN(N:N) - 5), {0, 1, 2, 3, 4, 5, 6, 7, 8, 9, 10, 11}, 0)),
      ""
    )
  )
</f>
        <v>0</v>
      </c>
      <c r="O36" s="412">
        <f t="array" ref="O36">IF(
    DATEDIF($B36, TODAY(), "M") &gt;= 11,
    INDEX('Most Recent Import'!$F36:$Q36, 1, MATCH(11 - (COLUMN(O:O) - 5), {0, 1, 2, 3, 4, 5, 6, 7, 8, 9, 10, 11}, 0)),
    IF(
      DATEDIF($B36, TODAY(), "M") + 1 &gt;= COLUMN(O:O) - 5,
      INDEX('Most Recent Import'!$F36:$Q36, 1, MATCH(DATEDIF($B36, TODAY(), "M") + 1 - (COLUMN(O:O) - 5), {0, 1, 2, 3, 4, 5, 6, 7, 8, 9, 10, 11}, 0)),
      ""
    )
  )
</f>
        <v>0</v>
      </c>
      <c r="P36" s="412">
        <f t="array" ref="P36">IF(
    DATEDIF($B36, TODAY(), "M") &gt;= 11,
    INDEX('Most Recent Import'!$F36:$Q36, 1, MATCH(11 - (COLUMN(P:P) - 5), {0, 1, 2, 3, 4, 5, 6, 7, 8, 9, 10, 11}, 0)),
    IF(
      DATEDIF($B36, TODAY(), "M") + 1 &gt;= COLUMN(P:P) - 5,
      INDEX('Most Recent Import'!$F36:$Q36, 1, MATCH(DATEDIF($B36, TODAY(), "M") + 1 - (COLUMN(P:P) - 5), {0, 1, 2, 3, 4, 5, 6, 7, 8, 9, 10, 11}, 0)),
      ""
    )
  )
</f>
        <v>3</v>
      </c>
    </row>
    <row r="37">
      <c r="A37" s="412" t="str">
        <f>'Most Recent Import'!A37</f>
        <v>gong</v>
      </c>
      <c r="B37" s="413">
        <f>IF(ISBLANK(A37), "", DATE(LEFT('Most Recent Import'!C37, 4), RIGHT('Most Recent Import'!C37, 2), 1))</f>
        <v>45323</v>
      </c>
      <c r="C37" s="414">
        <f>'Most Recent Import'!B37</f>
        <v>13000</v>
      </c>
      <c r="D37" s="412">
        <f>'Most Recent Import'!D37</f>
        <v>5</v>
      </c>
      <c r="E37" s="412">
        <f t="array" ref="E37">IF(
    DATEDIF($B37, TODAY(), "M") &gt;= 11,
    INDEX('Most Recent Import'!$F37:$Q37, 1, MATCH(11 - (COLUMN(E:E) - 5), {0, 1, 2, 3, 4, 5, 6, 7, 8, 9, 10, 11}, 0)),
    IF(
      DATEDIF($B37, TODAY(), "M") + 1 &gt;= COLUMN(E:E) - 5,
      INDEX('Most Recent Import'!$F37:$Q37, 1, MATCH(DATEDIF($B37, TODAY(), "M") + 1 - (COLUMN(E:E) - 5), {0, 1, 2, 3, 4, 5, 6, 7, 8, 9, 10, 11}, 0)),
      ""
    )
  )
</f>
        <v>5</v>
      </c>
      <c r="F37" s="412">
        <f t="array" ref="F37">IF(
    DATEDIF($B37, TODAY(), "M") &gt;= 11,
    INDEX('Most Recent Import'!$F37:$Q37, 1, MATCH(11 - (COLUMN(F:F) - 5), {0, 1, 2, 3, 4, 5, 6, 7, 8, 9, 10, 11}, 0)),
    IF(
      DATEDIF($B37, TODAY(), "M") + 1 &gt;= COLUMN(F:F) - 5,
      INDEX('Most Recent Import'!$F37:$Q37, 1, MATCH(DATEDIF($B37, TODAY(), "M") + 1 - (COLUMN(F:F) - 5), {0, 1, 2, 3, 4, 5, 6, 7, 8, 9, 10, 11}, 0)),
      ""
    )
  )
</f>
        <v>6</v>
      </c>
      <c r="G37" s="412">
        <f t="array" ref="G37">IF(
    DATEDIF($B37, TODAY(), "M") &gt;= 11,
    INDEX('Most Recent Import'!$F37:$Q37, 1, MATCH(11 - (COLUMN(G:G) - 5), {0, 1, 2, 3, 4, 5, 6, 7, 8, 9, 10, 11}, 0)),
    IF(
      DATEDIF($B37, TODAY(), "M") + 1 &gt;= COLUMN(G:G) - 5,
      INDEX('Most Recent Import'!$F37:$Q37, 1, MATCH(DATEDIF($B37, TODAY(), "M") + 1 - (COLUMN(G:G) - 5), {0, 1, 2, 3, 4, 5, 6, 7, 8, 9, 10, 11}, 0)),
      ""
    )
  )
</f>
        <v>13</v>
      </c>
      <c r="H37" s="412">
        <f t="array" ref="H37">IF(
    DATEDIF($B37, TODAY(), "M") &gt;= 11,
    INDEX('Most Recent Import'!$F37:$Q37, 1, MATCH(11 - (COLUMN(H:H) - 5), {0, 1, 2, 3, 4, 5, 6, 7, 8, 9, 10, 11}, 0)),
    IF(
      DATEDIF($B37, TODAY(), "M") + 1 &gt;= COLUMN(H:H) - 5,
      INDEX('Most Recent Import'!$F37:$Q37, 1, MATCH(DATEDIF($B37, TODAY(), "M") + 1 - (COLUMN(H:H) - 5), {0, 1, 2, 3, 4, 5, 6, 7, 8, 9, 10, 11}, 0)),
      ""
    )
  )
</f>
        <v>8</v>
      </c>
      <c r="I37" s="412">
        <f t="array" ref="I37">IF(
    DATEDIF($B37, TODAY(), "M") &gt;= 11,
    INDEX('Most Recent Import'!$F37:$Q37, 1, MATCH(11 - (COLUMN(I:I) - 5), {0, 1, 2, 3, 4, 5, 6, 7, 8, 9, 10, 11}, 0)),
    IF(
      DATEDIF($B37, TODAY(), "M") + 1 &gt;= COLUMN(I:I) - 5,
      INDEX('Most Recent Import'!$F37:$Q37, 1, MATCH(DATEDIF($B37, TODAY(), "M") + 1 - (COLUMN(I:I) - 5), {0, 1, 2, 3, 4, 5, 6, 7, 8, 9, 10, 11}, 0)),
      ""
    )
  )
</f>
        <v>7</v>
      </c>
      <c r="J37" s="412">
        <f t="array" ref="J37">IF(
    DATEDIF($B37, TODAY(), "M") &gt;= 11,
    INDEX('Most Recent Import'!$F37:$Q37, 1, MATCH(11 - (COLUMN(J:J) - 5), {0, 1, 2, 3, 4, 5, 6, 7, 8, 9, 10, 11}, 0)),
    IF(
      DATEDIF($B37, TODAY(), "M") + 1 &gt;= COLUMN(J:J) - 5,
      INDEX('Most Recent Import'!$F37:$Q37, 1, MATCH(DATEDIF($B37, TODAY(), "M") + 1 - (COLUMN(J:J) - 5), {0, 1, 2, 3, 4, 5, 6, 7, 8, 9, 10, 11}, 0)),
      ""
    )
  )
</f>
        <v>2</v>
      </c>
      <c r="K37" s="412">
        <f t="array" ref="K37">IF(
    DATEDIF($B37, TODAY(), "M") &gt;= 11,
    INDEX('Most Recent Import'!$F37:$Q37, 1, MATCH(11 - (COLUMN(K:K) - 5), {0, 1, 2, 3, 4, 5, 6, 7, 8, 9, 10, 11}, 0)),
    IF(
      DATEDIF($B37, TODAY(), "M") + 1 &gt;= COLUMN(K:K) - 5,
      INDEX('Most Recent Import'!$F37:$Q37, 1, MATCH(DATEDIF($B37, TODAY(), "M") + 1 - (COLUMN(K:K) - 5), {0, 1, 2, 3, 4, 5, 6, 7, 8, 9, 10, 11}, 0)),
      ""
    )
  )
</f>
        <v>0</v>
      </c>
      <c r="L37" s="412">
        <f t="array" ref="L37">IF(
    DATEDIF($B37, TODAY(), "M") &gt;= 11,
    INDEX('Most Recent Import'!$F37:$Q37, 1, MATCH(11 - (COLUMN(L:L) - 5), {0, 1, 2, 3, 4, 5, 6, 7, 8, 9, 10, 11}, 0)),
    IF(
      DATEDIF($B37, TODAY(), "M") + 1 &gt;= COLUMN(L:L) - 5,
      INDEX('Most Recent Import'!$F37:$Q37, 1, MATCH(DATEDIF($B37, TODAY(), "M") + 1 - (COLUMN(L:L) - 5), {0, 1, 2, 3, 4, 5, 6, 7, 8, 9, 10, 11}, 0)),
      ""
    )
  )
</f>
        <v>2</v>
      </c>
      <c r="M37" s="412">
        <f t="array" ref="M37">IF(
    DATEDIF($B37, TODAY(), "M") &gt;= 11,
    INDEX('Most Recent Import'!$F37:$Q37, 1, MATCH(11 - (COLUMN(M:M) - 5), {0, 1, 2, 3, 4, 5, 6, 7, 8, 9, 10, 11}, 0)),
    IF(
      DATEDIF($B37, TODAY(), "M") + 1 &gt;= COLUMN(M:M) - 5,
      INDEX('Most Recent Import'!$F37:$Q37, 1, MATCH(DATEDIF($B37, TODAY(), "M") + 1 - (COLUMN(M:M) - 5), {0, 1, 2, 3, 4, 5, 6, 7, 8, 9, 10, 11}, 0)),
      ""
    )
  )
</f>
        <v>7</v>
      </c>
      <c r="N37" s="412">
        <f t="array" ref="N37">IF(
    DATEDIF($B37, TODAY(), "M") &gt;= 11,
    INDEX('Most Recent Import'!$F37:$Q37, 1, MATCH(11 - (COLUMN(N:N) - 5), {0, 1, 2, 3, 4, 5, 6, 7, 8, 9, 10, 11}, 0)),
    IF(
      DATEDIF($B37, TODAY(), "M") + 1 &gt;= COLUMN(N:N) - 5,
      INDEX('Most Recent Import'!$F37:$Q37, 1, MATCH(DATEDIF($B37, TODAY(), "M") + 1 - (COLUMN(N:N) - 5), {0, 1, 2, 3, 4, 5, 6, 7, 8, 9, 10, 11}, 0)),
      ""
    )
  )
</f>
        <v>4</v>
      </c>
      <c r="O37" s="412">
        <f t="array" ref="O37">IF(
    DATEDIF($B37, TODAY(), "M") &gt;= 11,
    INDEX('Most Recent Import'!$F37:$Q37, 1, MATCH(11 - (COLUMN(O:O) - 5), {0, 1, 2, 3, 4, 5, 6, 7, 8, 9, 10, 11}, 0)),
    IF(
      DATEDIF($B37, TODAY(), "M") + 1 &gt;= COLUMN(O:O) - 5,
      INDEX('Most Recent Import'!$F37:$Q37, 1, MATCH(DATEDIF($B37, TODAY(), "M") + 1 - (COLUMN(O:O) - 5), {0, 1, 2, 3, 4, 5, 6, 7, 8, 9, 10, 11}, 0)),
      ""
    )
  )
</f>
        <v>4</v>
      </c>
      <c r="P37" s="412">
        <f t="array" ref="P37">IF(
    DATEDIF($B37, TODAY(), "M") &gt;= 11,
    INDEX('Most Recent Import'!$F37:$Q37, 1, MATCH(11 - (COLUMN(P:P) - 5), {0, 1, 2, 3, 4, 5, 6, 7, 8, 9, 10, 11}, 0)),
    IF(
      DATEDIF($B37, TODAY(), "M") + 1 &gt;= COLUMN(P:P) - 5,
      INDEX('Most Recent Import'!$F37:$Q37, 1, MATCH(DATEDIF($B37, TODAY(), "M") + 1 - (COLUMN(P:P) - 5), {0, 1, 2, 3, 4, 5, 6, 7, 8, 9, 10, 11}, 0)),
      ""
    )
  )
</f>
        <v>4</v>
      </c>
    </row>
    <row r="38">
      <c r="A38" s="412" t="str">
        <f>'Most Recent Import'!A38</f>
        <v>mistplay</v>
      </c>
      <c r="B38" s="413">
        <f>IF(ISBLANK(A38), "", DATE(LEFT('Most Recent Import'!C38, 4), RIGHT('Most Recent Import'!C38, 2), 1))</f>
        <v>45323</v>
      </c>
      <c r="C38" s="414">
        <f>'Most Recent Import'!B38</f>
        <v>15000</v>
      </c>
      <c r="D38" s="412">
        <f>'Most Recent Import'!D38</f>
        <v>4</v>
      </c>
      <c r="E38" s="412">
        <f t="array" ref="E38">IF(
    DATEDIF($B38, TODAY(), "M") &gt;= 11,
    INDEX('Most Recent Import'!$F38:$Q38, 1, MATCH(11 - (COLUMN(E:E) - 5), {0, 1, 2, 3, 4, 5, 6, 7, 8, 9, 10, 11}, 0)),
    IF(
      DATEDIF($B38, TODAY(), "M") + 1 &gt;= COLUMN(E:E) - 5,
      INDEX('Most Recent Import'!$F38:$Q38, 1, MATCH(DATEDIF($B38, TODAY(), "M") + 1 - (COLUMN(E:E) - 5), {0, 1, 2, 3, 4, 5, 6, 7, 8, 9, 10, 11}, 0)),
      ""
    )
  )
</f>
        <v>0</v>
      </c>
      <c r="F38" s="412">
        <f t="array" ref="F38">IF(
    DATEDIF($B38, TODAY(), "M") &gt;= 11,
    INDEX('Most Recent Import'!$F38:$Q38, 1, MATCH(11 - (COLUMN(F:F) - 5), {0, 1, 2, 3, 4, 5, 6, 7, 8, 9, 10, 11}, 0)),
    IF(
      DATEDIF($B38, TODAY(), "M") + 1 &gt;= COLUMN(F:F) - 5,
      INDEX('Most Recent Import'!$F38:$Q38, 1, MATCH(DATEDIF($B38, TODAY(), "M") + 1 - (COLUMN(F:F) - 5), {0, 1, 2, 3, 4, 5, 6, 7, 8, 9, 10, 11}, 0)),
      ""
    )
  )
</f>
        <v>0</v>
      </c>
      <c r="G38" s="412">
        <f t="array" ref="G38">IF(
    DATEDIF($B38, TODAY(), "M") &gt;= 11,
    INDEX('Most Recent Import'!$F38:$Q38, 1, MATCH(11 - (COLUMN(G:G) - 5), {0, 1, 2, 3, 4, 5, 6, 7, 8, 9, 10, 11}, 0)),
    IF(
      DATEDIF($B38, TODAY(), "M") + 1 &gt;= COLUMN(G:G) - 5,
      INDEX('Most Recent Import'!$F38:$Q38, 1, MATCH(DATEDIF($B38, TODAY(), "M") + 1 - (COLUMN(G:G) - 5), {0, 1, 2, 3, 4, 5, 6, 7, 8, 9, 10, 11}, 0)),
      ""
    )
  )
</f>
        <v>0</v>
      </c>
      <c r="H38" s="412">
        <f t="array" ref="H38">IF(
    DATEDIF($B38, TODAY(), "M") &gt;= 11,
    INDEX('Most Recent Import'!$F38:$Q38, 1, MATCH(11 - (COLUMN(H:H) - 5), {0, 1, 2, 3, 4, 5, 6, 7, 8, 9, 10, 11}, 0)),
    IF(
      DATEDIF($B38, TODAY(), "M") + 1 &gt;= COLUMN(H:H) - 5,
      INDEX('Most Recent Import'!$F38:$Q38, 1, MATCH(DATEDIF($B38, TODAY(), "M") + 1 - (COLUMN(H:H) - 5), {0, 1, 2, 3, 4, 5, 6, 7, 8, 9, 10, 11}, 0)),
      ""
    )
  )
</f>
        <v>0</v>
      </c>
      <c r="I38" s="412">
        <f t="array" ref="I38">IF(
    DATEDIF($B38, TODAY(), "M") &gt;= 11,
    INDEX('Most Recent Import'!$F38:$Q38, 1, MATCH(11 - (COLUMN(I:I) - 5), {0, 1, 2, 3, 4, 5, 6, 7, 8, 9, 10, 11}, 0)),
    IF(
      DATEDIF($B38, TODAY(), "M") + 1 &gt;= COLUMN(I:I) - 5,
      INDEX('Most Recent Import'!$F38:$Q38, 1, MATCH(DATEDIF($B38, TODAY(), "M") + 1 - (COLUMN(I:I) - 5), {0, 1, 2, 3, 4, 5, 6, 7, 8, 9, 10, 11}, 0)),
      ""
    )
  )
</f>
        <v>0</v>
      </c>
      <c r="J38" s="412">
        <f t="array" ref="J38">IF(
    DATEDIF($B38, TODAY(), "M") &gt;= 11,
    INDEX('Most Recent Import'!$F38:$Q38, 1, MATCH(11 - (COLUMN(J:J) - 5), {0, 1, 2, 3, 4, 5, 6, 7, 8, 9, 10, 11}, 0)),
    IF(
      DATEDIF($B38, TODAY(), "M") + 1 &gt;= COLUMN(J:J) - 5,
      INDEX('Most Recent Import'!$F38:$Q38, 1, MATCH(DATEDIF($B38, TODAY(), "M") + 1 - (COLUMN(J:J) - 5), {0, 1, 2, 3, 4, 5, 6, 7, 8, 9, 10, 11}, 0)),
      ""
    )
  )
</f>
        <v>0</v>
      </c>
      <c r="K38" s="412">
        <f t="array" ref="K38">IF(
    DATEDIF($B38, TODAY(), "M") &gt;= 11,
    INDEX('Most Recent Import'!$F38:$Q38, 1, MATCH(11 - (COLUMN(K:K) - 5), {0, 1, 2, 3, 4, 5, 6, 7, 8, 9, 10, 11}, 0)),
    IF(
      DATEDIF($B38, TODAY(), "M") + 1 &gt;= COLUMN(K:K) - 5,
      INDEX('Most Recent Import'!$F38:$Q38, 1, MATCH(DATEDIF($B38, TODAY(), "M") + 1 - (COLUMN(K:K) - 5), {0, 1, 2, 3, 4, 5, 6, 7, 8, 9, 10, 11}, 0)),
      ""
    )
  )
</f>
        <v>0</v>
      </c>
      <c r="L38" s="412">
        <f t="array" ref="L38">IF(
    DATEDIF($B38, TODAY(), "M") &gt;= 11,
    INDEX('Most Recent Import'!$F38:$Q38, 1, MATCH(11 - (COLUMN(L:L) - 5), {0, 1, 2, 3, 4, 5, 6, 7, 8, 9, 10, 11}, 0)),
    IF(
      DATEDIF($B38, TODAY(), "M") + 1 &gt;= COLUMN(L:L) - 5,
      INDEX('Most Recent Import'!$F38:$Q38, 1, MATCH(DATEDIF($B38, TODAY(), "M") + 1 - (COLUMN(L:L) - 5), {0, 1, 2, 3, 4, 5, 6, 7, 8, 9, 10, 11}, 0)),
      ""
    )
  )
</f>
        <v>0</v>
      </c>
      <c r="M38" s="412">
        <f t="array" ref="M38">IF(
    DATEDIF($B38, TODAY(), "M") &gt;= 11,
    INDEX('Most Recent Import'!$F38:$Q38, 1, MATCH(11 - (COLUMN(M:M) - 5), {0, 1, 2, 3, 4, 5, 6, 7, 8, 9, 10, 11}, 0)),
    IF(
      DATEDIF($B38, TODAY(), "M") + 1 &gt;= COLUMN(M:M) - 5,
      INDEX('Most Recent Import'!$F38:$Q38, 1, MATCH(DATEDIF($B38, TODAY(), "M") + 1 - (COLUMN(M:M) - 5), {0, 1, 2, 3, 4, 5, 6, 7, 8, 9, 10, 11}, 0)),
      ""
    )
  )
</f>
        <v>0</v>
      </c>
      <c r="N38" s="412">
        <f t="array" ref="N38">IF(
    DATEDIF($B38, TODAY(), "M") &gt;= 11,
    INDEX('Most Recent Import'!$F38:$Q38, 1, MATCH(11 - (COLUMN(N:N) - 5), {0, 1, 2, 3, 4, 5, 6, 7, 8, 9, 10, 11}, 0)),
    IF(
      DATEDIF($B38, TODAY(), "M") + 1 &gt;= COLUMN(N:N) - 5,
      INDEX('Most Recent Import'!$F38:$Q38, 1, MATCH(DATEDIF($B38, TODAY(), "M") + 1 - (COLUMN(N:N) - 5), {0, 1, 2, 3, 4, 5, 6, 7, 8, 9, 10, 11}, 0)),
      ""
    )
  )
</f>
        <v>0</v>
      </c>
      <c r="O38" s="412">
        <f t="array" ref="O38">IF(
    DATEDIF($B38, TODAY(), "M") &gt;= 11,
    INDEX('Most Recent Import'!$F38:$Q38, 1, MATCH(11 - (COLUMN(O:O) - 5), {0, 1, 2, 3, 4, 5, 6, 7, 8, 9, 10, 11}, 0)),
    IF(
      DATEDIF($B38, TODAY(), "M") + 1 &gt;= COLUMN(O:O) - 5,
      INDEX('Most Recent Import'!$F38:$Q38, 1, MATCH(DATEDIF($B38, TODAY(), "M") + 1 - (COLUMN(O:O) - 5), {0, 1, 2, 3, 4, 5, 6, 7, 8, 9, 10, 11}, 0)),
      ""
    )
  )
</f>
        <v>0</v>
      </c>
      <c r="P38" s="412">
        <f t="array" ref="P38">IF(
    DATEDIF($B38, TODAY(), "M") &gt;= 11,
    INDEX('Most Recent Import'!$F38:$Q38, 1, MATCH(11 - (COLUMN(P:P) - 5), {0, 1, 2, 3, 4, 5, 6, 7, 8, 9, 10, 11}, 0)),
    IF(
      DATEDIF($B38, TODAY(), "M") + 1 &gt;= COLUMN(P:P) - 5,
      INDEX('Most Recent Import'!$F38:$Q38, 1, MATCH(DATEDIF($B38, TODAY(), "M") + 1 - (COLUMN(P:P) - 5), {0, 1, 2, 3, 4, 5, 6, 7, 8, 9, 10, 11}, 0)),
      ""
    )
  )
</f>
        <v>5</v>
      </c>
    </row>
    <row r="39">
      <c r="A39" s="412" t="str">
        <f>'Most Recent Import'!A39</f>
        <v>braze</v>
      </c>
      <c r="B39" s="413">
        <f>IF(ISBLANK(A39), "", DATE(LEFT('Most Recent Import'!C39, 4), RIGHT('Most Recent Import'!C39, 2), 1))</f>
        <v>45352</v>
      </c>
      <c r="C39" s="414">
        <f>'Most Recent Import'!B39</f>
        <v>25000</v>
      </c>
      <c r="D39" s="412">
        <f>'Most Recent Import'!D39</f>
        <v>10</v>
      </c>
      <c r="E39" s="412">
        <f t="array" ref="E39">IF(
    DATEDIF($B39, TODAY(), "M") &gt;= 11,
    INDEX('Most Recent Import'!$F39:$Q39, 1, MATCH(11 - (COLUMN(E:E) - 5), {0, 1, 2, 3, 4, 5, 6, 7, 8, 9, 10, 11}, 0)),
    IF(
      DATEDIF($B39, TODAY(), "M") + 1 &gt;= COLUMN(E:E) - 5,
      INDEX('Most Recent Import'!$F39:$Q39, 1, MATCH(DATEDIF($B39, TODAY(), "M") + 1 - (COLUMN(E:E) - 5), {0, 1, 2, 3, 4, 5, 6, 7, 8, 9, 10, 11}, 0)),
      ""
    )
  )
</f>
        <v>3</v>
      </c>
      <c r="F39" s="412">
        <f t="array" ref="F39">IF(
    DATEDIF($B39, TODAY(), "M") &gt;= 11,
    INDEX('Most Recent Import'!$F39:$Q39, 1, MATCH(11 - (COLUMN(F:F) - 5), {0, 1, 2, 3, 4, 5, 6, 7, 8, 9, 10, 11}, 0)),
    IF(
      DATEDIF($B39, TODAY(), "M") + 1 &gt;= COLUMN(F:F) - 5,
      INDEX('Most Recent Import'!$F39:$Q39, 1, MATCH(DATEDIF($B39, TODAY(), "M") + 1 - (COLUMN(F:F) - 5), {0, 1, 2, 3, 4, 5, 6, 7, 8, 9, 10, 11}, 0)),
      ""
    )
  )
</f>
        <v>1</v>
      </c>
      <c r="G39" s="412">
        <f t="array" ref="G39">IF(
    DATEDIF($B39, TODAY(), "M") &gt;= 11,
    INDEX('Most Recent Import'!$F39:$Q39, 1, MATCH(11 - (COLUMN(G:G) - 5), {0, 1, 2, 3, 4, 5, 6, 7, 8, 9, 10, 11}, 0)),
    IF(
      DATEDIF($B39, TODAY(), "M") + 1 &gt;= COLUMN(G:G) - 5,
      INDEX('Most Recent Import'!$F39:$Q39, 1, MATCH(DATEDIF($B39, TODAY(), "M") + 1 - (COLUMN(G:G) - 5), {0, 1, 2, 3, 4, 5, 6, 7, 8, 9, 10, 11}, 0)),
      ""
    )
  )
</f>
        <v>1</v>
      </c>
      <c r="H39" s="412">
        <f t="array" ref="H39">IF(
    DATEDIF($B39, TODAY(), "M") &gt;= 11,
    INDEX('Most Recent Import'!$F39:$Q39, 1, MATCH(11 - (COLUMN(H:H) - 5), {0, 1, 2, 3, 4, 5, 6, 7, 8, 9, 10, 11}, 0)),
    IF(
      DATEDIF($B39, TODAY(), "M") + 1 &gt;= COLUMN(H:H) - 5,
      INDEX('Most Recent Import'!$F39:$Q39, 1, MATCH(DATEDIF($B39, TODAY(), "M") + 1 - (COLUMN(H:H) - 5), {0, 1, 2, 3, 4, 5, 6, 7, 8, 9, 10, 11}, 0)),
      ""
    )
  )
</f>
        <v>12</v>
      </c>
      <c r="I39" s="412">
        <f t="array" ref="I39">IF(
    DATEDIF($B39, TODAY(), "M") &gt;= 11,
    INDEX('Most Recent Import'!$F39:$Q39, 1, MATCH(11 - (COLUMN(I:I) - 5), {0, 1, 2, 3, 4, 5, 6, 7, 8, 9, 10, 11}, 0)),
    IF(
      DATEDIF($B39, TODAY(), "M") + 1 &gt;= COLUMN(I:I) - 5,
      INDEX('Most Recent Import'!$F39:$Q39, 1, MATCH(DATEDIF($B39, TODAY(), "M") + 1 - (COLUMN(I:I) - 5), {0, 1, 2, 3, 4, 5, 6, 7, 8, 9, 10, 11}, 0)),
      ""
    )
  )
</f>
        <v>4</v>
      </c>
      <c r="J39" s="412">
        <f t="array" ref="J39">IF(
    DATEDIF($B39, TODAY(), "M") &gt;= 11,
    INDEX('Most Recent Import'!$F39:$Q39, 1, MATCH(11 - (COLUMN(J:J) - 5), {0, 1, 2, 3, 4, 5, 6, 7, 8, 9, 10, 11}, 0)),
    IF(
      DATEDIF($B39, TODAY(), "M") + 1 &gt;= COLUMN(J:J) - 5,
      INDEX('Most Recent Import'!$F39:$Q39, 1, MATCH(DATEDIF($B39, TODAY(), "M") + 1 - (COLUMN(J:J) - 5), {0, 1, 2, 3, 4, 5, 6, 7, 8, 9, 10, 11}, 0)),
      ""
    )
  )
</f>
        <v>5</v>
      </c>
      <c r="K39" s="412">
        <f t="array" ref="K39">IF(
    DATEDIF($B39, TODAY(), "M") &gt;= 11,
    INDEX('Most Recent Import'!$F39:$Q39, 1, MATCH(11 - (COLUMN(K:K) - 5), {0, 1, 2, 3, 4, 5, 6, 7, 8, 9, 10, 11}, 0)),
    IF(
      DATEDIF($B39, TODAY(), "M") + 1 &gt;= COLUMN(K:K) - 5,
      INDEX('Most Recent Import'!$F39:$Q39, 1, MATCH(DATEDIF($B39, TODAY(), "M") + 1 - (COLUMN(K:K) - 5), {0, 1, 2, 3, 4, 5, 6, 7, 8, 9, 10, 11}, 0)),
      ""
    )
  )
</f>
        <v>8</v>
      </c>
      <c r="L39" s="412">
        <f t="array" ref="L39">IF(
    DATEDIF($B39, TODAY(), "M") &gt;= 11,
    INDEX('Most Recent Import'!$F39:$Q39, 1, MATCH(11 - (COLUMN(L:L) - 5), {0, 1, 2, 3, 4, 5, 6, 7, 8, 9, 10, 11}, 0)),
    IF(
      DATEDIF($B39, TODAY(), "M") + 1 &gt;= COLUMN(L:L) - 5,
      INDEX('Most Recent Import'!$F39:$Q39, 1, MATCH(DATEDIF($B39, TODAY(), "M") + 1 - (COLUMN(L:L) - 5), {0, 1, 2, 3, 4, 5, 6, 7, 8, 9, 10, 11}, 0)),
      ""
    )
  )
</f>
        <v>8</v>
      </c>
      <c r="M39" s="412">
        <f t="array" ref="M39">IF(
    DATEDIF($B39, TODAY(), "M") &gt;= 11,
    INDEX('Most Recent Import'!$F39:$Q39, 1, MATCH(11 - (COLUMN(M:M) - 5), {0, 1, 2, 3, 4, 5, 6, 7, 8, 9, 10, 11}, 0)),
    IF(
      DATEDIF($B39, TODAY(), "M") + 1 &gt;= COLUMN(M:M) - 5,
      INDEX('Most Recent Import'!$F39:$Q39, 1, MATCH(DATEDIF($B39, TODAY(), "M") + 1 - (COLUMN(M:M) - 5), {0, 1, 2, 3, 4, 5, 6, 7, 8, 9, 10, 11}, 0)),
      ""
    )
  )
</f>
        <v>4</v>
      </c>
      <c r="N39" s="412">
        <f t="array" ref="N39">IF(
    DATEDIF($B39, TODAY(), "M") &gt;= 11,
    INDEX('Most Recent Import'!$F39:$Q39, 1, MATCH(11 - (COLUMN(N:N) - 5), {0, 1, 2, 3, 4, 5, 6, 7, 8, 9, 10, 11}, 0)),
    IF(
      DATEDIF($B39, TODAY(), "M") + 1 &gt;= COLUMN(N:N) - 5,
      INDEX('Most Recent Import'!$F39:$Q39, 1, MATCH(DATEDIF($B39, TODAY(), "M") + 1 - (COLUMN(N:N) - 5), {0, 1, 2, 3, 4, 5, 6, 7, 8, 9, 10, 11}, 0)),
      ""
    )
  )
</f>
        <v>10</v>
      </c>
      <c r="O39" s="412">
        <f t="array" ref="O39">IF(
    DATEDIF($B39, TODAY(), "M") &gt;= 11,
    INDEX('Most Recent Import'!$F39:$Q39, 1, MATCH(11 - (COLUMN(O:O) - 5), {0, 1, 2, 3, 4, 5, 6, 7, 8, 9, 10, 11}, 0)),
    IF(
      DATEDIF($B39, TODAY(), "M") + 1 &gt;= COLUMN(O:O) - 5,
      INDEX('Most Recent Import'!$F39:$Q39, 1, MATCH(DATEDIF($B39, TODAY(), "M") + 1 - (COLUMN(O:O) - 5), {0, 1, 2, 3, 4, 5, 6, 7, 8, 9, 10, 11}, 0)),
      ""
    )
  )
</f>
        <v>11</v>
      </c>
      <c r="P39" s="412">
        <f t="array" ref="P39">IF(
    DATEDIF($B39, TODAY(), "M") &gt;= 11,
    INDEX('Most Recent Import'!$F39:$Q39, 1, MATCH(11 - (COLUMN(P:P) - 5), {0, 1, 2, 3, 4, 5, 6, 7, 8, 9, 10, 11}, 0)),
    IF(
      DATEDIF($B39, TODAY(), "M") + 1 &gt;= COLUMN(P:P) - 5,
      INDEX('Most Recent Import'!$F39:$Q39, 1, MATCH(DATEDIF($B39, TODAY(), "M") + 1 - (COLUMN(P:P) - 5), {0, 1, 2, 3, 4, 5, 6, 7, 8, 9, 10, 11}, 0)),
      ""
    )
  )
</f>
        <v>16</v>
      </c>
    </row>
    <row r="40">
      <c r="A40" s="412" t="str">
        <f>'Most Recent Import'!A40</f>
        <v>cloudflare</v>
      </c>
      <c r="B40" s="413">
        <f>IF(ISBLANK(A40), "", DATE(LEFT('Most Recent Import'!C40, 4), RIGHT('Most Recent Import'!C40, 2), 1))</f>
        <v>45352</v>
      </c>
      <c r="C40" s="414">
        <f>'Most Recent Import'!B40</f>
        <v>20000</v>
      </c>
      <c r="D40" s="412">
        <f>'Most Recent Import'!D40</f>
        <v>4</v>
      </c>
      <c r="E40" s="412">
        <f t="array" ref="E40">IF(
    DATEDIF($B40, TODAY(), "M") &gt;= 11,
    INDEX('Most Recent Import'!$F40:$Q40, 1, MATCH(11 - (COLUMN(E:E) - 5), {0, 1, 2, 3, 4, 5, 6, 7, 8, 9, 10, 11}, 0)),
    IF(
      DATEDIF($B40, TODAY(), "M") + 1 &gt;= COLUMN(E:E) - 5,
      INDEX('Most Recent Import'!$F40:$Q40, 1, MATCH(DATEDIF($B40, TODAY(), "M") + 1 - (COLUMN(E:E) - 5), {0, 1, 2, 3, 4, 5, 6, 7, 8, 9, 10, 11}, 0)),
      ""
    )
  )
</f>
        <v>0</v>
      </c>
      <c r="F40" s="412">
        <f t="array" ref="F40">IF(
    DATEDIF($B40, TODAY(), "M") &gt;= 11,
    INDEX('Most Recent Import'!$F40:$Q40, 1, MATCH(11 - (COLUMN(F:F) - 5), {0, 1, 2, 3, 4, 5, 6, 7, 8, 9, 10, 11}, 0)),
    IF(
      DATEDIF($B40, TODAY(), "M") + 1 &gt;= COLUMN(F:F) - 5,
      INDEX('Most Recent Import'!$F40:$Q40, 1, MATCH(DATEDIF($B40, TODAY(), "M") + 1 - (COLUMN(F:F) - 5), {0, 1, 2, 3, 4, 5, 6, 7, 8, 9, 10, 11}, 0)),
      ""
    )
  )
</f>
        <v>0</v>
      </c>
      <c r="G40" s="412">
        <f t="array" ref="G40">IF(
    DATEDIF($B40, TODAY(), "M") &gt;= 11,
    INDEX('Most Recent Import'!$F40:$Q40, 1, MATCH(11 - (COLUMN(G:G) - 5), {0, 1, 2, 3, 4, 5, 6, 7, 8, 9, 10, 11}, 0)),
    IF(
      DATEDIF($B40, TODAY(), "M") + 1 &gt;= COLUMN(G:G) - 5,
      INDEX('Most Recent Import'!$F40:$Q40, 1, MATCH(DATEDIF($B40, TODAY(), "M") + 1 - (COLUMN(G:G) - 5), {0, 1, 2, 3, 4, 5, 6, 7, 8, 9, 10, 11}, 0)),
      ""
    )
  )
</f>
        <v>0</v>
      </c>
      <c r="H40" s="412">
        <f t="array" ref="H40">IF(
    DATEDIF($B40, TODAY(), "M") &gt;= 11,
    INDEX('Most Recent Import'!$F40:$Q40, 1, MATCH(11 - (COLUMN(H:H) - 5), {0, 1, 2, 3, 4, 5, 6, 7, 8, 9, 10, 11}, 0)),
    IF(
      DATEDIF($B40, TODAY(), "M") + 1 &gt;= COLUMN(H:H) - 5,
      INDEX('Most Recent Import'!$F40:$Q40, 1, MATCH(DATEDIF($B40, TODAY(), "M") + 1 - (COLUMN(H:H) - 5), {0, 1, 2, 3, 4, 5, 6, 7, 8, 9, 10, 11}, 0)),
      ""
    )
  )
</f>
        <v>0</v>
      </c>
      <c r="I40" s="412">
        <f t="array" ref="I40">IF(
    DATEDIF($B40, TODAY(), "M") &gt;= 11,
    INDEX('Most Recent Import'!$F40:$Q40, 1, MATCH(11 - (COLUMN(I:I) - 5), {0, 1, 2, 3, 4, 5, 6, 7, 8, 9, 10, 11}, 0)),
    IF(
      DATEDIF($B40, TODAY(), "M") + 1 &gt;= COLUMN(I:I) - 5,
      INDEX('Most Recent Import'!$F40:$Q40, 1, MATCH(DATEDIF($B40, TODAY(), "M") + 1 - (COLUMN(I:I) - 5), {0, 1, 2, 3, 4, 5, 6, 7, 8, 9, 10, 11}, 0)),
      ""
    )
  )
</f>
        <v>0</v>
      </c>
      <c r="J40" s="412">
        <f t="array" ref="J40">IF(
    DATEDIF($B40, TODAY(), "M") &gt;= 11,
    INDEX('Most Recent Import'!$F40:$Q40, 1, MATCH(11 - (COLUMN(J:J) - 5), {0, 1, 2, 3, 4, 5, 6, 7, 8, 9, 10, 11}, 0)),
    IF(
      DATEDIF($B40, TODAY(), "M") + 1 &gt;= COLUMN(J:J) - 5,
      INDEX('Most Recent Import'!$F40:$Q40, 1, MATCH(DATEDIF($B40, TODAY(), "M") + 1 - (COLUMN(J:J) - 5), {0, 1, 2, 3, 4, 5, 6, 7, 8, 9, 10, 11}, 0)),
      ""
    )
  )
</f>
        <v>0</v>
      </c>
      <c r="K40" s="412">
        <f t="array" ref="K40">IF(
    DATEDIF($B40, TODAY(), "M") &gt;= 11,
    INDEX('Most Recent Import'!$F40:$Q40, 1, MATCH(11 - (COLUMN(K:K) - 5), {0, 1, 2, 3, 4, 5, 6, 7, 8, 9, 10, 11}, 0)),
    IF(
      DATEDIF($B40, TODAY(), "M") + 1 &gt;= COLUMN(K:K) - 5,
      INDEX('Most Recent Import'!$F40:$Q40, 1, MATCH(DATEDIF($B40, TODAY(), "M") + 1 - (COLUMN(K:K) - 5), {0, 1, 2, 3, 4, 5, 6, 7, 8, 9, 10, 11}, 0)),
      ""
    )
  )
</f>
        <v>0</v>
      </c>
      <c r="L40" s="412">
        <f t="array" ref="L40">IF(
    DATEDIF($B40, TODAY(), "M") &gt;= 11,
    INDEX('Most Recent Import'!$F40:$Q40, 1, MATCH(11 - (COLUMN(L:L) - 5), {0, 1, 2, 3, 4, 5, 6, 7, 8, 9, 10, 11}, 0)),
    IF(
      DATEDIF($B40, TODAY(), "M") + 1 &gt;= COLUMN(L:L) - 5,
      INDEX('Most Recent Import'!$F40:$Q40, 1, MATCH(DATEDIF($B40, TODAY(), "M") + 1 - (COLUMN(L:L) - 5), {0, 1, 2, 3, 4, 5, 6, 7, 8, 9, 10, 11}, 0)),
      ""
    )
  )
</f>
        <v>0</v>
      </c>
      <c r="M40" s="412">
        <f t="array" ref="M40">IF(
    DATEDIF($B40, TODAY(), "M") &gt;= 11,
    INDEX('Most Recent Import'!$F40:$Q40, 1, MATCH(11 - (COLUMN(M:M) - 5), {0, 1, 2, 3, 4, 5, 6, 7, 8, 9, 10, 11}, 0)),
    IF(
      DATEDIF($B40, TODAY(), "M") + 1 &gt;= COLUMN(M:M) - 5,
      INDEX('Most Recent Import'!$F40:$Q40, 1, MATCH(DATEDIF($B40, TODAY(), "M") + 1 - (COLUMN(M:M) - 5), {0, 1, 2, 3, 4, 5, 6, 7, 8, 9, 10, 11}, 0)),
      ""
    )
  )
</f>
        <v>0</v>
      </c>
      <c r="N40" s="412">
        <f t="array" ref="N40">IF(
    DATEDIF($B40, TODAY(), "M") &gt;= 11,
    INDEX('Most Recent Import'!$F40:$Q40, 1, MATCH(11 - (COLUMN(N:N) - 5), {0, 1, 2, 3, 4, 5, 6, 7, 8, 9, 10, 11}, 0)),
    IF(
      DATEDIF($B40, TODAY(), "M") + 1 &gt;= COLUMN(N:N) - 5,
      INDEX('Most Recent Import'!$F40:$Q40, 1, MATCH(DATEDIF($B40, TODAY(), "M") + 1 - (COLUMN(N:N) - 5), {0, 1, 2, 3, 4, 5, 6, 7, 8, 9, 10, 11}, 0)),
      ""
    )
  )
</f>
        <v>0</v>
      </c>
      <c r="O40" s="412">
        <f t="array" ref="O40">IF(
    DATEDIF($B40, TODAY(), "M") &gt;= 11,
    INDEX('Most Recent Import'!$F40:$Q40, 1, MATCH(11 - (COLUMN(O:O) - 5), {0, 1, 2, 3, 4, 5, 6, 7, 8, 9, 10, 11}, 0)),
    IF(
      DATEDIF($B40, TODAY(), "M") + 1 &gt;= COLUMN(O:O) - 5,
      INDEX('Most Recent Import'!$F40:$Q40, 1, MATCH(DATEDIF($B40, TODAY(), "M") + 1 - (COLUMN(O:O) - 5), {0, 1, 2, 3, 4, 5, 6, 7, 8, 9, 10, 11}, 0)),
      ""
    )
  )
</f>
        <v>0</v>
      </c>
      <c r="P40" s="412">
        <f t="array" ref="P40">IF(
    DATEDIF($B40, TODAY(), "M") &gt;= 11,
    INDEX('Most Recent Import'!$F40:$Q40, 1, MATCH(11 - (COLUMN(P:P) - 5), {0, 1, 2, 3, 4, 5, 6, 7, 8, 9, 10, 11}, 0)),
    IF(
      DATEDIF($B40, TODAY(), "M") + 1 &gt;= COLUMN(P:P) - 5,
      INDEX('Most Recent Import'!$F40:$Q40, 1, MATCH(DATEDIF($B40, TODAY(), "M") + 1 - (COLUMN(P:P) - 5), {0, 1, 2, 3, 4, 5, 6, 7, 8, 9, 10, 11}, 0)),
      ""
    )
  )
</f>
        <v>2</v>
      </c>
    </row>
    <row r="41">
      <c r="A41" s="412" t="str">
        <f>'Most Recent Import'!A41</f>
        <v>hellofresh</v>
      </c>
      <c r="B41" s="413">
        <f>IF(ISBLANK(A41), "", DATE(LEFT('Most Recent Import'!C41, 4), RIGHT('Most Recent Import'!C41, 2), 1))</f>
        <v>45352</v>
      </c>
      <c r="C41" s="414">
        <f>'Most Recent Import'!B41</f>
        <v>10000</v>
      </c>
      <c r="D41" s="412">
        <f>'Most Recent Import'!D41</f>
        <v>3</v>
      </c>
      <c r="E41" s="412">
        <f t="array" ref="E41">IF(
    DATEDIF($B41, TODAY(), "M") &gt;= 11,
    INDEX('Most Recent Import'!$F41:$Q41, 1, MATCH(11 - (COLUMN(E:E) - 5), {0, 1, 2, 3, 4, 5, 6, 7, 8, 9, 10, 11}, 0)),
    IF(
      DATEDIF($B41, TODAY(), "M") + 1 &gt;= COLUMN(E:E) - 5,
      INDEX('Most Recent Import'!$F41:$Q41, 1, MATCH(DATEDIF($B41, TODAY(), "M") + 1 - (COLUMN(E:E) - 5), {0, 1, 2, 3, 4, 5, 6, 7, 8, 9, 10, 11}, 0)),
      ""
    )
  )
</f>
        <v>0</v>
      </c>
      <c r="F41" s="412">
        <f t="array" ref="F41">IF(
    DATEDIF($B41, TODAY(), "M") &gt;= 11,
    INDEX('Most Recent Import'!$F41:$Q41, 1, MATCH(11 - (COLUMN(F:F) - 5), {0, 1, 2, 3, 4, 5, 6, 7, 8, 9, 10, 11}, 0)),
    IF(
      DATEDIF($B41, TODAY(), "M") + 1 &gt;= COLUMN(F:F) - 5,
      INDEX('Most Recent Import'!$F41:$Q41, 1, MATCH(DATEDIF($B41, TODAY(), "M") + 1 - (COLUMN(F:F) - 5), {0, 1, 2, 3, 4, 5, 6, 7, 8, 9, 10, 11}, 0)),
      ""
    )
  )
</f>
        <v>0</v>
      </c>
      <c r="G41" s="412">
        <f t="array" ref="G41">IF(
    DATEDIF($B41, TODAY(), "M") &gt;= 11,
    INDEX('Most Recent Import'!$F41:$Q41, 1, MATCH(11 - (COLUMN(G:G) - 5), {0, 1, 2, 3, 4, 5, 6, 7, 8, 9, 10, 11}, 0)),
    IF(
      DATEDIF($B41, TODAY(), "M") + 1 &gt;= COLUMN(G:G) - 5,
      INDEX('Most Recent Import'!$F41:$Q41, 1, MATCH(DATEDIF($B41, TODAY(), "M") + 1 - (COLUMN(G:G) - 5), {0, 1, 2, 3, 4, 5, 6, 7, 8, 9, 10, 11}, 0)),
      ""
    )
  )
</f>
        <v>0</v>
      </c>
      <c r="H41" s="412">
        <f t="array" ref="H41">IF(
    DATEDIF($B41, TODAY(), "M") &gt;= 11,
    INDEX('Most Recent Import'!$F41:$Q41, 1, MATCH(11 - (COLUMN(H:H) - 5), {0, 1, 2, 3, 4, 5, 6, 7, 8, 9, 10, 11}, 0)),
    IF(
      DATEDIF($B41, TODAY(), "M") + 1 &gt;= COLUMN(H:H) - 5,
      INDEX('Most Recent Import'!$F41:$Q41, 1, MATCH(DATEDIF($B41, TODAY(), "M") + 1 - (COLUMN(H:H) - 5), {0, 1, 2, 3, 4, 5, 6, 7, 8, 9, 10, 11}, 0)),
      ""
    )
  )
</f>
        <v>3</v>
      </c>
      <c r="I41" s="412">
        <f t="array" ref="I41">IF(
    DATEDIF($B41, TODAY(), "M") &gt;= 11,
    INDEX('Most Recent Import'!$F41:$Q41, 1, MATCH(11 - (COLUMN(I:I) - 5), {0, 1, 2, 3, 4, 5, 6, 7, 8, 9, 10, 11}, 0)),
    IF(
      DATEDIF($B41, TODAY(), "M") + 1 &gt;= COLUMN(I:I) - 5,
      INDEX('Most Recent Import'!$F41:$Q41, 1, MATCH(DATEDIF($B41, TODAY(), "M") + 1 - (COLUMN(I:I) - 5), {0, 1, 2, 3, 4, 5, 6, 7, 8, 9, 10, 11}, 0)),
      ""
    )
  )
</f>
        <v>5</v>
      </c>
      <c r="J41" s="412">
        <f t="array" ref="J41">IF(
    DATEDIF($B41, TODAY(), "M") &gt;= 11,
    INDEX('Most Recent Import'!$F41:$Q41, 1, MATCH(11 - (COLUMN(J:J) - 5), {0, 1, 2, 3, 4, 5, 6, 7, 8, 9, 10, 11}, 0)),
    IF(
      DATEDIF($B41, TODAY(), "M") + 1 &gt;= COLUMN(J:J) - 5,
      INDEX('Most Recent Import'!$F41:$Q41, 1, MATCH(DATEDIF($B41, TODAY(), "M") + 1 - (COLUMN(J:J) - 5), {0, 1, 2, 3, 4, 5, 6, 7, 8, 9, 10, 11}, 0)),
      ""
    )
  )
</f>
        <v>0</v>
      </c>
      <c r="K41" s="412">
        <f t="array" ref="K41">IF(
    DATEDIF($B41, TODAY(), "M") &gt;= 11,
    INDEX('Most Recent Import'!$F41:$Q41, 1, MATCH(11 - (COLUMN(K:K) - 5), {0, 1, 2, 3, 4, 5, 6, 7, 8, 9, 10, 11}, 0)),
    IF(
      DATEDIF($B41, TODAY(), "M") + 1 &gt;= COLUMN(K:K) - 5,
      INDEX('Most Recent Import'!$F41:$Q41, 1, MATCH(DATEDIF($B41, TODAY(), "M") + 1 - (COLUMN(K:K) - 5), {0, 1, 2, 3, 4, 5, 6, 7, 8, 9, 10, 11}, 0)),
      ""
    )
  )
</f>
        <v>4</v>
      </c>
      <c r="L41" s="412">
        <f t="array" ref="L41">IF(
    DATEDIF($B41, TODAY(), "M") &gt;= 11,
    INDEX('Most Recent Import'!$F41:$Q41, 1, MATCH(11 - (COLUMN(L:L) - 5), {0, 1, 2, 3, 4, 5, 6, 7, 8, 9, 10, 11}, 0)),
    IF(
      DATEDIF($B41, TODAY(), "M") + 1 &gt;= COLUMN(L:L) - 5,
      INDEX('Most Recent Import'!$F41:$Q41, 1, MATCH(DATEDIF($B41, TODAY(), "M") + 1 - (COLUMN(L:L) - 5), {0, 1, 2, 3, 4, 5, 6, 7, 8, 9, 10, 11}, 0)),
      ""
    )
  )
</f>
        <v>0</v>
      </c>
      <c r="M41" s="412">
        <f t="array" ref="M41">IF(
    DATEDIF($B41, TODAY(), "M") &gt;= 11,
    INDEX('Most Recent Import'!$F41:$Q41, 1, MATCH(11 - (COLUMN(M:M) - 5), {0, 1, 2, 3, 4, 5, 6, 7, 8, 9, 10, 11}, 0)),
    IF(
      DATEDIF($B41, TODAY(), "M") + 1 &gt;= COLUMN(M:M) - 5,
      INDEX('Most Recent Import'!$F41:$Q41, 1, MATCH(DATEDIF($B41, TODAY(), "M") + 1 - (COLUMN(M:M) - 5), {0, 1, 2, 3, 4, 5, 6, 7, 8, 9, 10, 11}, 0)),
      ""
    )
  )
</f>
        <v>1</v>
      </c>
      <c r="N41" s="412">
        <f t="array" ref="N41">IF(
    DATEDIF($B41, TODAY(), "M") &gt;= 11,
    INDEX('Most Recent Import'!$F41:$Q41, 1, MATCH(11 - (COLUMN(N:N) - 5), {0, 1, 2, 3, 4, 5, 6, 7, 8, 9, 10, 11}, 0)),
    IF(
      DATEDIF($B41, TODAY(), "M") + 1 &gt;= COLUMN(N:N) - 5,
      INDEX('Most Recent Import'!$F41:$Q41, 1, MATCH(DATEDIF($B41, TODAY(), "M") + 1 - (COLUMN(N:N) - 5), {0, 1, 2, 3, 4, 5, 6, 7, 8, 9, 10, 11}, 0)),
      ""
    )
  )
</f>
        <v>1</v>
      </c>
      <c r="O41" s="412">
        <f t="array" ref="O41">IF(
    DATEDIF($B41, TODAY(), "M") &gt;= 11,
    INDEX('Most Recent Import'!$F41:$Q41, 1, MATCH(11 - (COLUMN(O:O) - 5), {0, 1, 2, 3, 4, 5, 6, 7, 8, 9, 10, 11}, 0)),
    IF(
      DATEDIF($B41, TODAY(), "M") + 1 &gt;= COLUMN(O:O) - 5,
      INDEX('Most Recent Import'!$F41:$Q41, 1, MATCH(DATEDIF($B41, TODAY(), "M") + 1 - (COLUMN(O:O) - 5), {0, 1, 2, 3, 4, 5, 6, 7, 8, 9, 10, 11}, 0)),
      ""
    )
  )
</f>
        <v>0</v>
      </c>
      <c r="P41" s="412">
        <f t="array" ref="P41">IF(
    DATEDIF($B41, TODAY(), "M") &gt;= 11,
    INDEX('Most Recent Import'!$F41:$Q41, 1, MATCH(11 - (COLUMN(P:P) - 5), {0, 1, 2, 3, 4, 5, 6, 7, 8, 9, 10, 11}, 0)),
    IF(
      DATEDIF($B41, TODAY(), "M") + 1 &gt;= COLUMN(P:P) - 5,
      INDEX('Most Recent Import'!$F41:$Q41, 1, MATCH(DATEDIF($B41, TODAY(), "M") + 1 - (COLUMN(P:P) - 5), {0, 1, 2, 3, 4, 5, 6, 7, 8, 9, 10, 11}, 0)),
      ""
    )
  )
</f>
        <v>5</v>
      </c>
    </row>
    <row r="42">
      <c r="A42" s="412" t="str">
        <f>'Most Recent Import'!A42</f>
        <v>mongodb</v>
      </c>
      <c r="B42" s="413">
        <f>IF(ISBLANK(A42), "", DATE(LEFT('Most Recent Import'!C42, 4), RIGHT('Most Recent Import'!C42, 2), 1))</f>
        <v>45352</v>
      </c>
      <c r="C42" s="414">
        <f>'Most Recent Import'!B42</f>
        <v>20000</v>
      </c>
      <c r="D42" s="412">
        <f>'Most Recent Import'!D42</f>
        <v>10</v>
      </c>
      <c r="E42" s="412">
        <f t="array" ref="E42">IF(
    DATEDIF($B42, TODAY(), "M") &gt;= 11,
    INDEX('Most Recent Import'!$F42:$Q42, 1, MATCH(11 - (COLUMN(E:E) - 5), {0, 1, 2, 3, 4, 5, 6, 7, 8, 9, 10, 11}, 0)),
    IF(
      DATEDIF($B42, TODAY(), "M") + 1 &gt;= COLUMN(E:E) - 5,
      INDEX('Most Recent Import'!$F42:$Q42, 1, MATCH(DATEDIF($B42, TODAY(), "M") + 1 - (COLUMN(E:E) - 5), {0, 1, 2, 3, 4, 5, 6, 7, 8, 9, 10, 11}, 0)),
      ""
    )
  )
</f>
        <v>1</v>
      </c>
      <c r="F42" s="412">
        <f t="array" ref="F42">IF(
    DATEDIF($B42, TODAY(), "M") &gt;= 11,
    INDEX('Most Recent Import'!$F42:$Q42, 1, MATCH(11 - (COLUMN(F:F) - 5), {0, 1, 2, 3, 4, 5, 6, 7, 8, 9, 10, 11}, 0)),
    IF(
      DATEDIF($B42, TODAY(), "M") + 1 &gt;= COLUMN(F:F) - 5,
      INDEX('Most Recent Import'!$F42:$Q42, 1, MATCH(DATEDIF($B42, TODAY(), "M") + 1 - (COLUMN(F:F) - 5), {0, 1, 2, 3, 4, 5, 6, 7, 8, 9, 10, 11}, 0)),
      ""
    )
  )
</f>
        <v>1</v>
      </c>
      <c r="G42" s="412">
        <f t="array" ref="G42">IF(
    DATEDIF($B42, TODAY(), "M") &gt;= 11,
    INDEX('Most Recent Import'!$F42:$Q42, 1, MATCH(11 - (COLUMN(G:G) - 5), {0, 1, 2, 3, 4, 5, 6, 7, 8, 9, 10, 11}, 0)),
    IF(
      DATEDIF($B42, TODAY(), "M") + 1 &gt;= COLUMN(G:G) - 5,
      INDEX('Most Recent Import'!$F42:$Q42, 1, MATCH(DATEDIF($B42, TODAY(), "M") + 1 - (COLUMN(G:G) - 5), {0, 1, 2, 3, 4, 5, 6, 7, 8, 9, 10, 11}, 0)),
      ""
    )
  )
</f>
        <v>1</v>
      </c>
      <c r="H42" s="412">
        <f t="array" ref="H42">IF(
    DATEDIF($B42, TODAY(), "M") &gt;= 11,
    INDEX('Most Recent Import'!$F42:$Q42, 1, MATCH(11 - (COLUMN(H:H) - 5), {0, 1, 2, 3, 4, 5, 6, 7, 8, 9, 10, 11}, 0)),
    IF(
      DATEDIF($B42, TODAY(), "M") + 1 &gt;= COLUMN(H:H) - 5,
      INDEX('Most Recent Import'!$F42:$Q42, 1, MATCH(DATEDIF($B42, TODAY(), "M") + 1 - (COLUMN(H:H) - 5), {0, 1, 2, 3, 4, 5, 6, 7, 8, 9, 10, 11}, 0)),
      ""
    )
  )
</f>
        <v>5</v>
      </c>
      <c r="I42" s="412">
        <f t="array" ref="I42">IF(
    DATEDIF($B42, TODAY(), "M") &gt;= 11,
    INDEX('Most Recent Import'!$F42:$Q42, 1, MATCH(11 - (COLUMN(I:I) - 5), {0, 1, 2, 3, 4, 5, 6, 7, 8, 9, 10, 11}, 0)),
    IF(
      DATEDIF($B42, TODAY(), "M") + 1 &gt;= COLUMN(I:I) - 5,
      INDEX('Most Recent Import'!$F42:$Q42, 1, MATCH(DATEDIF($B42, TODAY(), "M") + 1 - (COLUMN(I:I) - 5), {0, 1, 2, 3, 4, 5, 6, 7, 8, 9, 10, 11}, 0)),
      ""
    )
  )
</f>
        <v>5</v>
      </c>
      <c r="J42" s="412">
        <f t="array" ref="J42">IF(
    DATEDIF($B42, TODAY(), "M") &gt;= 11,
    INDEX('Most Recent Import'!$F42:$Q42, 1, MATCH(11 - (COLUMN(J:J) - 5), {0, 1, 2, 3, 4, 5, 6, 7, 8, 9, 10, 11}, 0)),
    IF(
      DATEDIF($B42, TODAY(), "M") + 1 &gt;= COLUMN(J:J) - 5,
      INDEX('Most Recent Import'!$F42:$Q42, 1, MATCH(DATEDIF($B42, TODAY(), "M") + 1 - (COLUMN(J:J) - 5), {0, 1, 2, 3, 4, 5, 6, 7, 8, 9, 10, 11}, 0)),
      ""
    )
  )
</f>
        <v>5</v>
      </c>
      <c r="K42" s="412">
        <f t="array" ref="K42">IF(
    DATEDIF($B42, TODAY(), "M") &gt;= 11,
    INDEX('Most Recent Import'!$F42:$Q42, 1, MATCH(11 - (COLUMN(K:K) - 5), {0, 1, 2, 3, 4, 5, 6, 7, 8, 9, 10, 11}, 0)),
    IF(
      DATEDIF($B42, TODAY(), "M") + 1 &gt;= COLUMN(K:K) - 5,
      INDEX('Most Recent Import'!$F42:$Q42, 1, MATCH(DATEDIF($B42, TODAY(), "M") + 1 - (COLUMN(K:K) - 5), {0, 1, 2, 3, 4, 5, 6, 7, 8, 9, 10, 11}, 0)),
      ""
    )
  )
</f>
        <v>5</v>
      </c>
      <c r="L42" s="412">
        <f t="array" ref="L42">IF(
    DATEDIF($B42, TODAY(), "M") &gt;= 11,
    INDEX('Most Recent Import'!$F42:$Q42, 1, MATCH(11 - (COLUMN(L:L) - 5), {0, 1, 2, 3, 4, 5, 6, 7, 8, 9, 10, 11}, 0)),
    IF(
      DATEDIF($B42, TODAY(), "M") + 1 &gt;= COLUMN(L:L) - 5,
      INDEX('Most Recent Import'!$F42:$Q42, 1, MATCH(DATEDIF($B42, TODAY(), "M") + 1 - (COLUMN(L:L) - 5), {0, 1, 2, 3, 4, 5, 6, 7, 8, 9, 10, 11}, 0)),
      ""
    )
  )
</f>
        <v>13</v>
      </c>
      <c r="M42" s="412">
        <f t="array" ref="M42">IF(
    DATEDIF($B42, TODAY(), "M") &gt;= 11,
    INDEX('Most Recent Import'!$F42:$Q42, 1, MATCH(11 - (COLUMN(M:M) - 5), {0, 1, 2, 3, 4, 5, 6, 7, 8, 9, 10, 11}, 0)),
    IF(
      DATEDIF($B42, TODAY(), "M") + 1 &gt;= COLUMN(M:M) - 5,
      INDEX('Most Recent Import'!$F42:$Q42, 1, MATCH(DATEDIF($B42, TODAY(), "M") + 1 - (COLUMN(M:M) - 5), {0, 1, 2, 3, 4, 5, 6, 7, 8, 9, 10, 11}, 0)),
      ""
    )
  )
</f>
        <v>3</v>
      </c>
      <c r="N42" s="412">
        <f t="array" ref="N42">IF(
    DATEDIF($B42, TODAY(), "M") &gt;= 11,
    INDEX('Most Recent Import'!$F42:$Q42, 1, MATCH(11 - (COLUMN(N:N) - 5), {0, 1, 2, 3, 4, 5, 6, 7, 8, 9, 10, 11}, 0)),
    IF(
      DATEDIF($B42, TODAY(), "M") + 1 &gt;= COLUMN(N:N) - 5,
      INDEX('Most Recent Import'!$F42:$Q42, 1, MATCH(DATEDIF($B42, TODAY(), "M") + 1 - (COLUMN(N:N) - 5), {0, 1, 2, 3, 4, 5, 6, 7, 8, 9, 10, 11}, 0)),
      ""
    )
  )
</f>
        <v>9</v>
      </c>
      <c r="O42" s="412">
        <f t="array" ref="O42">IF(
    DATEDIF($B42, TODAY(), "M") &gt;= 11,
    INDEX('Most Recent Import'!$F42:$Q42, 1, MATCH(11 - (COLUMN(O:O) - 5), {0, 1, 2, 3, 4, 5, 6, 7, 8, 9, 10, 11}, 0)),
    IF(
      DATEDIF($B42, TODAY(), "M") + 1 &gt;= COLUMN(O:O) - 5,
      INDEX('Most Recent Import'!$F42:$Q42, 1, MATCH(DATEDIF($B42, TODAY(), "M") + 1 - (COLUMN(O:O) - 5), {0, 1, 2, 3, 4, 5, 6, 7, 8, 9, 10, 11}, 0)),
      ""
    )
  )
</f>
        <v>10</v>
      </c>
      <c r="P42" s="412">
        <f t="array" ref="P42">IF(
    DATEDIF($B42, TODAY(), "M") &gt;= 11,
    INDEX('Most Recent Import'!$F42:$Q42, 1, MATCH(11 - (COLUMN(P:P) - 5), {0, 1, 2, 3, 4, 5, 6, 7, 8, 9, 10, 11}, 0)),
    IF(
      DATEDIF($B42, TODAY(), "M") + 1 &gt;= COLUMN(P:P) - 5,
      INDEX('Most Recent Import'!$F42:$Q42, 1, MATCH(DATEDIF($B42, TODAY(), "M") + 1 - (COLUMN(P:P) - 5), {0, 1, 2, 3, 4, 5, 6, 7, 8, 9, 10, 11}, 0)),
      ""
    )
  )
</f>
        <v>10</v>
      </c>
    </row>
    <row r="43">
      <c r="A43" s="412" t="str">
        <f>'Most Recent Import'!A43</f>
        <v>xometry</v>
      </c>
      <c r="B43" s="413">
        <f>IF(ISBLANK(A43), "", DATE(LEFT('Most Recent Import'!C43, 4), RIGHT('Most Recent Import'!C43, 2), 1))</f>
        <v>45383</v>
      </c>
      <c r="C43" s="414">
        <f>'Most Recent Import'!B43</f>
        <v>10000</v>
      </c>
      <c r="D43" s="412">
        <f>'Most Recent Import'!D43</f>
        <v>3</v>
      </c>
      <c r="E43" s="412">
        <f t="array" ref="E43">IF(
    DATEDIF($B43, TODAY(), "M") &gt;= 11,
    INDEX('Most Recent Import'!$F43:$Q43, 1, MATCH(11 - (COLUMN(E:E) - 5), {0, 1, 2, 3, 4, 5, 6, 7, 8, 9, 10, 11}, 0)),
    IF(
      DATEDIF($B43, TODAY(), "M") + 1 &gt;= COLUMN(E:E) - 5,
      INDEX('Most Recent Import'!$F43:$Q43, 1, MATCH(DATEDIF($B43, TODAY(), "M") + 1 - (COLUMN(E:E) - 5), {0, 1, 2, 3, 4, 5, 6, 7, 8, 9, 10, 11}, 0)),
      ""
    )
  )
</f>
        <v>4</v>
      </c>
      <c r="F43" s="412">
        <f t="array" ref="F43">IF(
    DATEDIF($B43, TODAY(), "M") &gt;= 11,
    INDEX('Most Recent Import'!$F43:$Q43, 1, MATCH(11 - (COLUMN(F:F) - 5), {0, 1, 2, 3, 4, 5, 6, 7, 8, 9, 10, 11}, 0)),
    IF(
      DATEDIF($B43, TODAY(), "M") + 1 &gt;= COLUMN(F:F) - 5,
      INDEX('Most Recent Import'!$F43:$Q43, 1, MATCH(DATEDIF($B43, TODAY(), "M") + 1 - (COLUMN(F:F) - 5), {0, 1, 2, 3, 4, 5, 6, 7, 8, 9, 10, 11}, 0)),
      ""
    )
  )
</f>
        <v>5</v>
      </c>
      <c r="G43" s="412">
        <f t="array" ref="G43">IF(
    DATEDIF($B43, TODAY(), "M") &gt;= 11,
    INDEX('Most Recent Import'!$F43:$Q43, 1, MATCH(11 - (COLUMN(G:G) - 5), {0, 1, 2, 3, 4, 5, 6, 7, 8, 9, 10, 11}, 0)),
    IF(
      DATEDIF($B43, TODAY(), "M") + 1 &gt;= COLUMN(G:G) - 5,
      INDEX('Most Recent Import'!$F43:$Q43, 1, MATCH(DATEDIF($B43, TODAY(), "M") + 1 - (COLUMN(G:G) - 5), {0, 1, 2, 3, 4, 5, 6, 7, 8, 9, 10, 11}, 0)),
      ""
    )
  )
</f>
        <v>1</v>
      </c>
      <c r="H43" s="412">
        <f t="array" ref="H43">IF(
    DATEDIF($B43, TODAY(), "M") &gt;= 11,
    INDEX('Most Recent Import'!$F43:$Q43, 1, MATCH(11 - (COLUMN(H:H) - 5), {0, 1, 2, 3, 4, 5, 6, 7, 8, 9, 10, 11}, 0)),
    IF(
      DATEDIF($B43, TODAY(), "M") + 1 &gt;= COLUMN(H:H) - 5,
      INDEX('Most Recent Import'!$F43:$Q43, 1, MATCH(DATEDIF($B43, TODAY(), "M") + 1 - (COLUMN(H:H) - 5), {0, 1, 2, 3, 4, 5, 6, 7, 8, 9, 10, 11}, 0)),
      ""
    )
  )
</f>
        <v>2</v>
      </c>
      <c r="I43" s="412">
        <f t="array" ref="I43">IF(
    DATEDIF($B43, TODAY(), "M") &gt;= 11,
    INDEX('Most Recent Import'!$F43:$Q43, 1, MATCH(11 - (COLUMN(I:I) - 5), {0, 1, 2, 3, 4, 5, 6, 7, 8, 9, 10, 11}, 0)),
    IF(
      DATEDIF($B43, TODAY(), "M") + 1 &gt;= COLUMN(I:I) - 5,
      INDEX('Most Recent Import'!$F43:$Q43, 1, MATCH(DATEDIF($B43, TODAY(), "M") + 1 - (COLUMN(I:I) - 5), {0, 1, 2, 3, 4, 5, 6, 7, 8, 9, 10, 11}, 0)),
      ""
    )
  )
</f>
        <v>7</v>
      </c>
      <c r="J43" s="412">
        <f t="array" ref="J43">IF(
    DATEDIF($B43, TODAY(), "M") &gt;= 11,
    INDEX('Most Recent Import'!$F43:$Q43, 1, MATCH(11 - (COLUMN(J:J) - 5), {0, 1, 2, 3, 4, 5, 6, 7, 8, 9, 10, 11}, 0)),
    IF(
      DATEDIF($B43, TODAY(), "M") + 1 &gt;= COLUMN(J:J) - 5,
      INDEX('Most Recent Import'!$F43:$Q43, 1, MATCH(DATEDIF($B43, TODAY(), "M") + 1 - (COLUMN(J:J) - 5), {0, 1, 2, 3, 4, 5, 6, 7, 8, 9, 10, 11}, 0)),
      ""
    )
  )
</f>
        <v>2</v>
      </c>
      <c r="K43" s="412">
        <f t="array" ref="K43">IF(
    DATEDIF($B43, TODAY(), "M") &gt;= 11,
    INDEX('Most Recent Import'!$F43:$Q43, 1, MATCH(11 - (COLUMN(K:K) - 5), {0, 1, 2, 3, 4, 5, 6, 7, 8, 9, 10, 11}, 0)),
    IF(
      DATEDIF($B43, TODAY(), "M") + 1 &gt;= COLUMN(K:K) - 5,
      INDEX('Most Recent Import'!$F43:$Q43, 1, MATCH(DATEDIF($B43, TODAY(), "M") + 1 - (COLUMN(K:K) - 5), {0, 1, 2, 3, 4, 5, 6, 7, 8, 9, 10, 11}, 0)),
      ""
    )
  )
</f>
        <v>4</v>
      </c>
      <c r="L43" s="412">
        <f t="array" ref="L43">IF(
    DATEDIF($B43, TODAY(), "M") &gt;= 11,
    INDEX('Most Recent Import'!$F43:$Q43, 1, MATCH(11 - (COLUMN(L:L) - 5), {0, 1, 2, 3, 4, 5, 6, 7, 8, 9, 10, 11}, 0)),
    IF(
      DATEDIF($B43, TODAY(), "M") + 1 &gt;= COLUMN(L:L) - 5,
      INDEX('Most Recent Import'!$F43:$Q43, 1, MATCH(DATEDIF($B43, TODAY(), "M") + 1 - (COLUMN(L:L) - 5), {0, 1, 2, 3, 4, 5, 6, 7, 8, 9, 10, 11}, 0)),
      ""
    )
  )
</f>
        <v>3</v>
      </c>
      <c r="M43" s="412">
        <f t="array" ref="M43">IF(
    DATEDIF($B43, TODAY(), "M") &gt;= 11,
    INDEX('Most Recent Import'!$F43:$Q43, 1, MATCH(11 - (COLUMN(M:M) - 5), {0, 1, 2, 3, 4, 5, 6, 7, 8, 9, 10, 11}, 0)),
    IF(
      DATEDIF($B43, TODAY(), "M") + 1 &gt;= COLUMN(M:M) - 5,
      INDEX('Most Recent Import'!$F43:$Q43, 1, MATCH(DATEDIF($B43, TODAY(), "M") + 1 - (COLUMN(M:M) - 5), {0, 1, 2, 3, 4, 5, 6, 7, 8, 9, 10, 11}, 0)),
      ""
    )
  )
</f>
        <v>1</v>
      </c>
      <c r="N43" s="412">
        <f t="array" ref="N43">IF(
    DATEDIF($B43, TODAY(), "M") &gt;= 11,
    INDEX('Most Recent Import'!$F43:$Q43, 1, MATCH(11 - (COLUMN(N:N) - 5), {0, 1, 2, 3, 4, 5, 6, 7, 8, 9, 10, 11}, 0)),
    IF(
      DATEDIF($B43, TODAY(), "M") + 1 &gt;= COLUMN(N:N) - 5,
      INDEX('Most Recent Import'!$F43:$Q43, 1, MATCH(DATEDIF($B43, TODAY(), "M") + 1 - (COLUMN(N:N) - 5), {0, 1, 2, 3, 4, 5, 6, 7, 8, 9, 10, 11}, 0)),
      ""
    )
  )
</f>
        <v>1</v>
      </c>
      <c r="O43" s="412">
        <f t="array" ref="O43">IF(
    DATEDIF($B43, TODAY(), "M") &gt;= 11,
    INDEX('Most Recent Import'!$F43:$Q43, 1, MATCH(11 - (COLUMN(O:O) - 5), {0, 1, 2, 3, 4, 5, 6, 7, 8, 9, 10, 11}, 0)),
    IF(
      DATEDIF($B43, TODAY(), "M") + 1 &gt;= COLUMN(O:O) - 5,
      INDEX('Most Recent Import'!$F43:$Q43, 1, MATCH(DATEDIF($B43, TODAY(), "M") + 1 - (COLUMN(O:O) - 5), {0, 1, 2, 3, 4, 5, 6, 7, 8, 9, 10, 11}, 0)),
      ""
    )
  )
</f>
        <v>7</v>
      </c>
      <c r="P43" s="412">
        <f t="array" ref="P43">IF(
    DATEDIF($B43, TODAY(), "M") &gt;= 11,
    INDEX('Most Recent Import'!$F43:$Q43, 1, MATCH(11 - (COLUMN(P:P) - 5), {0, 1, 2, 3, 4, 5, 6, 7, 8, 9, 10, 11}, 0)),
    IF(
      DATEDIF($B43, TODAY(), "M") + 1 &gt;= COLUMN(P:P) - 5,
      INDEX('Most Recent Import'!$F43:$Q43, 1, MATCH(DATEDIF($B43, TODAY(), "M") + 1 - (COLUMN(P:P) - 5), {0, 1, 2, 3, 4, 5, 6, 7, 8, 9, 10, 11}, 0)),
      ""
    )
  )
</f>
        <v>9</v>
      </c>
    </row>
    <row r="44">
      <c r="A44" s="412" t="str">
        <f>'Most Recent Import'!A44</f>
        <v/>
      </c>
      <c r="B44" s="412" t="str">
        <f>IF(ISBLANK(A44), "", DATE(LEFT('Most Recent Import'!C44, 4), RIGHT('Most Recent Import'!C44, 2), 1))</f>
        <v/>
      </c>
      <c r="C44" s="414" t="str">
        <f>'Most Recent Import'!B44</f>
        <v/>
      </c>
      <c r="D44" s="412" t="str">
        <f>'Most Recent Import'!D44</f>
        <v/>
      </c>
      <c r="E44" s="412" t="str">
        <f t="array" ref="E44">IF(
    DATEDIF($B44, TODAY(), "M") &gt;= 11,
    INDEX('Most Recent Import'!$F44:$Q44, 1, MATCH(11 - (COLUMN(E:E) - 5), {0, 1, 2, 3, 4, 5, 6, 7, 8, 9, 10, 11}, 0)),
    IF(
      DATEDIF($B44, TODAY(), "M") + 1 &gt;= COLUMN(E:E) - 5,
      INDEX('Most Recent Import'!$F44:$Q44, 1, MATCH(DATEDIF($B44, TODAY(), "M") + 1 - (COLUMN(E:E) - 5), {0, 1, 2, 3, 4, 5, 6, 7, 8, 9, 10, 11}, 0)),
      ""
    )
  )
</f>
        <v/>
      </c>
      <c r="F44" s="412" t="str">
        <f t="array" ref="F44">IF(
    DATEDIF($B44, TODAY(), "M") &gt;= 11,
    INDEX('Most Recent Import'!$F44:$Q44, 1, MATCH(11 - (COLUMN(F:F) - 5), {0, 1, 2, 3, 4, 5, 6, 7, 8, 9, 10, 11}, 0)),
    IF(
      DATEDIF($B44, TODAY(), "M") + 1 &gt;= COLUMN(F:F) - 5,
      INDEX('Most Recent Import'!$F44:$Q44, 1, MATCH(DATEDIF($B44, TODAY(), "M") + 1 - (COLUMN(F:F) - 5), {0, 1, 2, 3, 4, 5, 6, 7, 8, 9, 10, 11}, 0)),
      ""
    )
  )
</f>
        <v/>
      </c>
      <c r="G44" s="412" t="str">
        <f t="array" ref="G44">IF(
    DATEDIF($B44, TODAY(), "M") &gt;= 11,
    INDEX('Most Recent Import'!$F44:$Q44, 1, MATCH(11 - (COLUMN(G:G) - 5), {0, 1, 2, 3, 4, 5, 6, 7, 8, 9, 10, 11}, 0)),
    IF(
      DATEDIF($B44, TODAY(), "M") + 1 &gt;= COLUMN(G:G) - 5,
      INDEX('Most Recent Import'!$F44:$Q44, 1, MATCH(DATEDIF($B44, TODAY(), "M") + 1 - (COLUMN(G:G) - 5), {0, 1, 2, 3, 4, 5, 6, 7, 8, 9, 10, 11}, 0)),
      ""
    )
  )
</f>
        <v/>
      </c>
      <c r="H44" s="412" t="str">
        <f t="array" ref="H44">IF(
    DATEDIF($B44, TODAY(), "M") &gt;= 11,
    INDEX('Most Recent Import'!$F44:$Q44, 1, MATCH(11 - (COLUMN(H:H) - 5), {0, 1, 2, 3, 4, 5, 6, 7, 8, 9, 10, 11}, 0)),
    IF(
      DATEDIF($B44, TODAY(), "M") + 1 &gt;= COLUMN(H:H) - 5,
      INDEX('Most Recent Import'!$F44:$Q44, 1, MATCH(DATEDIF($B44, TODAY(), "M") + 1 - (COLUMN(H:H) - 5), {0, 1, 2, 3, 4, 5, 6, 7, 8, 9, 10, 11}, 0)),
      ""
    )
  )
</f>
        <v/>
      </c>
      <c r="I44" s="412" t="str">
        <f t="array" ref="I44">IF(
    DATEDIF($B44, TODAY(), "M") &gt;= 11,
    INDEX('Most Recent Import'!$F44:$Q44, 1, MATCH(11 - (COLUMN(I:I) - 5), {0, 1, 2, 3, 4, 5, 6, 7, 8, 9, 10, 11}, 0)),
    IF(
      DATEDIF($B44, TODAY(), "M") + 1 &gt;= COLUMN(I:I) - 5,
      INDEX('Most Recent Import'!$F44:$Q44, 1, MATCH(DATEDIF($B44, TODAY(), "M") + 1 - (COLUMN(I:I) - 5), {0, 1, 2, 3, 4, 5, 6, 7, 8, 9, 10, 11}, 0)),
      ""
    )
  )
</f>
        <v/>
      </c>
      <c r="J44" s="412" t="str">
        <f t="array" ref="J44">IF(
    DATEDIF($B44, TODAY(), "M") &gt;= 11,
    INDEX('Most Recent Import'!$F44:$Q44, 1, MATCH(11 - (COLUMN(J:J) - 5), {0, 1, 2, 3, 4, 5, 6, 7, 8, 9, 10, 11}, 0)),
    IF(
      DATEDIF($B44, TODAY(), "M") + 1 &gt;= COLUMN(J:J) - 5,
      INDEX('Most Recent Import'!$F44:$Q44, 1, MATCH(DATEDIF($B44, TODAY(), "M") + 1 - (COLUMN(J:J) - 5), {0, 1, 2, 3, 4, 5, 6, 7, 8, 9, 10, 11}, 0)),
      ""
    )
  )
</f>
        <v/>
      </c>
      <c r="K44" s="412" t="str">
        <f t="array" ref="K44">IF(
    DATEDIF($B44, TODAY(), "M") &gt;= 11,
    INDEX('Most Recent Import'!$F44:$Q44, 1, MATCH(11 - (COLUMN(K:K) - 5), {0, 1, 2, 3, 4, 5, 6, 7, 8, 9, 10, 11}, 0)),
    IF(
      DATEDIF($B44, TODAY(), "M") + 1 &gt;= COLUMN(K:K) - 5,
      INDEX('Most Recent Import'!$F44:$Q44, 1, MATCH(DATEDIF($B44, TODAY(), "M") + 1 - (COLUMN(K:K) - 5), {0, 1, 2, 3, 4, 5, 6, 7, 8, 9, 10, 11}, 0)),
      ""
    )
  )
</f>
        <v/>
      </c>
      <c r="L44" s="412" t="str">
        <f t="array" ref="L44">IF(
    DATEDIF($B44, TODAY(), "M") &gt;= 11,
    INDEX('Most Recent Import'!$F44:$Q44, 1, MATCH(11 - (COLUMN(L:L) - 5), {0, 1, 2, 3, 4, 5, 6, 7, 8, 9, 10, 11}, 0)),
    IF(
      DATEDIF($B44, TODAY(), "M") + 1 &gt;= COLUMN(L:L) - 5,
      INDEX('Most Recent Import'!$F44:$Q44, 1, MATCH(DATEDIF($B44, TODAY(), "M") + 1 - (COLUMN(L:L) - 5), {0, 1, 2, 3, 4, 5, 6, 7, 8, 9, 10, 11}, 0)),
      ""
    )
  )
</f>
        <v/>
      </c>
      <c r="M44" s="412" t="str">
        <f t="array" ref="M44">IF(
    DATEDIF($B44, TODAY(), "M") &gt;= 11,
    INDEX('Most Recent Import'!$F44:$Q44, 1, MATCH(11 - (COLUMN(M:M) - 5), {0, 1, 2, 3, 4, 5, 6, 7, 8, 9, 10, 11}, 0)),
    IF(
      DATEDIF($B44, TODAY(), "M") + 1 &gt;= COLUMN(M:M) - 5,
      INDEX('Most Recent Import'!$F44:$Q44, 1, MATCH(DATEDIF($B44, TODAY(), "M") + 1 - (COLUMN(M:M) - 5), {0, 1, 2, 3, 4, 5, 6, 7, 8, 9, 10, 11}, 0)),
      ""
    )
  )
</f>
        <v/>
      </c>
      <c r="N44" s="412" t="str">
        <f t="array" ref="N44">IF(
    DATEDIF($B44, TODAY(), "M") &gt;= 11,
    INDEX('Most Recent Import'!$F44:$Q44, 1, MATCH(11 - (COLUMN(N:N) - 5), {0, 1, 2, 3, 4, 5, 6, 7, 8, 9, 10, 11}, 0)),
    IF(
      DATEDIF($B44, TODAY(), "M") + 1 &gt;= COLUMN(N:N) - 5,
      INDEX('Most Recent Import'!$F44:$Q44, 1, MATCH(DATEDIF($B44, TODAY(), "M") + 1 - (COLUMN(N:N) - 5), {0, 1, 2, 3, 4, 5, 6, 7, 8, 9, 10, 11}, 0)),
      ""
    )
  )
</f>
        <v/>
      </c>
      <c r="O44" s="412" t="str">
        <f t="array" ref="O44">IF(
    DATEDIF($B44, TODAY(), "M") &gt;= 11,
    INDEX('Most Recent Import'!$F44:$Q44, 1, MATCH(11 - (COLUMN(O:O) - 5), {0, 1, 2, 3, 4, 5, 6, 7, 8, 9, 10, 11}, 0)),
    IF(
      DATEDIF($B44, TODAY(), "M") + 1 &gt;= COLUMN(O:O) - 5,
      INDEX('Most Recent Import'!$F44:$Q44, 1, MATCH(DATEDIF($B44, TODAY(), "M") + 1 - (COLUMN(O:O) - 5), {0, 1, 2, 3, 4, 5, 6, 7, 8, 9, 10, 11}, 0)),
      ""
    )
  )
</f>
        <v/>
      </c>
      <c r="P44" s="412" t="str">
        <f t="array" ref="P44">IF(
    DATEDIF($B44, TODAY(), "M") &gt;= 11,
    INDEX('Most Recent Import'!$F44:$Q44, 1, MATCH(11 - (COLUMN(P:P) - 5), {0, 1, 2, 3, 4, 5, 6, 7, 8, 9, 10, 11}, 0)),
    IF(
      DATEDIF($B44, TODAY(), "M") + 1 &gt;= COLUMN(P:P) - 5,
      INDEX('Most Recent Import'!$F44:$Q44, 1, MATCH(DATEDIF($B44, TODAY(), "M") + 1 - (COLUMN(P:P) - 5), {0, 1, 2, 3, 4, 5, 6, 7, 8, 9, 10, 11}, 0)),
      ""
    )
  )
</f>
        <v/>
      </c>
    </row>
    <row r="45">
      <c r="A45" s="412" t="str">
        <f>'Most Recent Import'!A45</f>
        <v/>
      </c>
      <c r="B45" s="412" t="str">
        <f>IF(ISBLANK(A45), "", DATE(LEFT('Most Recent Import'!C45, 4), RIGHT('Most Recent Import'!C45, 2), 1))</f>
        <v/>
      </c>
      <c r="C45" s="414" t="str">
        <f>'Most Recent Import'!B45</f>
        <v/>
      </c>
      <c r="D45" s="412" t="str">
        <f>'Most Recent Import'!D45</f>
        <v/>
      </c>
      <c r="E45" s="412" t="str">
        <f t="array" ref="E45">IF(
    DATEDIF($B45, TODAY(), "M") &gt;= 11,
    INDEX('Most Recent Import'!$F45:$Q45, 1, MATCH(11 - (COLUMN(E:E) - 5), {0, 1, 2, 3, 4, 5, 6, 7, 8, 9, 10, 11}, 0)),
    IF(
      DATEDIF($B45, TODAY(), "M") + 1 &gt;= COLUMN(E:E) - 5,
      INDEX('Most Recent Import'!$F45:$Q45, 1, MATCH(DATEDIF($B45, TODAY(), "M") + 1 - (COLUMN(E:E) - 5), {0, 1, 2, 3, 4, 5, 6, 7, 8, 9, 10, 11}, 0)),
      ""
    )
  )
</f>
        <v/>
      </c>
      <c r="F45" s="412" t="str">
        <f t="array" ref="F45">IF(
    DATEDIF($B45, TODAY(), "M") &gt;= 11,
    INDEX('Most Recent Import'!$F45:$Q45, 1, MATCH(11 - (COLUMN(F:F) - 5), {0, 1, 2, 3, 4, 5, 6, 7, 8, 9, 10, 11}, 0)),
    IF(
      DATEDIF($B45, TODAY(), "M") + 1 &gt;= COLUMN(F:F) - 5,
      INDEX('Most Recent Import'!$F45:$Q45, 1, MATCH(DATEDIF($B45, TODAY(), "M") + 1 - (COLUMN(F:F) - 5), {0, 1, 2, 3, 4, 5, 6, 7, 8, 9, 10, 11}, 0)),
      ""
    )
  )
</f>
        <v/>
      </c>
      <c r="G45" s="412" t="str">
        <f t="array" ref="G45">IF(
    DATEDIF($B45, TODAY(), "M") &gt;= 11,
    INDEX('Most Recent Import'!$F45:$Q45, 1, MATCH(11 - (COLUMN(G:G) - 5), {0, 1, 2, 3, 4, 5, 6, 7, 8, 9, 10, 11}, 0)),
    IF(
      DATEDIF($B45, TODAY(), "M") + 1 &gt;= COLUMN(G:G) - 5,
      INDEX('Most Recent Import'!$F45:$Q45, 1, MATCH(DATEDIF($B45, TODAY(), "M") + 1 - (COLUMN(G:G) - 5), {0, 1, 2, 3, 4, 5, 6, 7, 8, 9, 10, 11}, 0)),
      ""
    )
  )
</f>
        <v/>
      </c>
      <c r="H45" s="412" t="str">
        <f t="array" ref="H45">IF(
    DATEDIF($B45, TODAY(), "M") &gt;= 11,
    INDEX('Most Recent Import'!$F45:$Q45, 1, MATCH(11 - (COLUMN(H:H) - 5), {0, 1, 2, 3, 4, 5, 6, 7, 8, 9, 10, 11}, 0)),
    IF(
      DATEDIF($B45, TODAY(), "M") + 1 &gt;= COLUMN(H:H) - 5,
      INDEX('Most Recent Import'!$F45:$Q45, 1, MATCH(DATEDIF($B45, TODAY(), "M") + 1 - (COLUMN(H:H) - 5), {0, 1, 2, 3, 4, 5, 6, 7, 8, 9, 10, 11}, 0)),
      ""
    )
  )
</f>
        <v/>
      </c>
      <c r="I45" s="412" t="str">
        <f t="array" ref="I45">IF(
    DATEDIF($B45, TODAY(), "M") &gt;= 11,
    INDEX('Most Recent Import'!$F45:$Q45, 1, MATCH(11 - (COLUMN(I:I) - 5), {0, 1, 2, 3, 4, 5, 6, 7, 8, 9, 10, 11}, 0)),
    IF(
      DATEDIF($B45, TODAY(), "M") + 1 &gt;= COLUMN(I:I) - 5,
      INDEX('Most Recent Import'!$F45:$Q45, 1, MATCH(DATEDIF($B45, TODAY(), "M") + 1 - (COLUMN(I:I) - 5), {0, 1, 2, 3, 4, 5, 6, 7, 8, 9, 10, 11}, 0)),
      ""
    )
  )
</f>
        <v/>
      </c>
      <c r="J45" s="412" t="str">
        <f t="array" ref="J45">IF(
    DATEDIF($B45, TODAY(), "M") &gt;= 11,
    INDEX('Most Recent Import'!$F45:$Q45, 1, MATCH(11 - (COLUMN(J:J) - 5), {0, 1, 2, 3, 4, 5, 6, 7, 8, 9, 10, 11}, 0)),
    IF(
      DATEDIF($B45, TODAY(), "M") + 1 &gt;= COLUMN(J:J) - 5,
      INDEX('Most Recent Import'!$F45:$Q45, 1, MATCH(DATEDIF($B45, TODAY(), "M") + 1 - (COLUMN(J:J) - 5), {0, 1, 2, 3, 4, 5, 6, 7, 8, 9, 10, 11}, 0)),
      ""
    )
  )
</f>
        <v/>
      </c>
      <c r="K45" s="412" t="str">
        <f t="array" ref="K45">IF(
    DATEDIF($B45, TODAY(), "M") &gt;= 11,
    INDEX('Most Recent Import'!$F45:$Q45, 1, MATCH(11 - (COLUMN(K:K) - 5), {0, 1, 2, 3, 4, 5, 6, 7, 8, 9, 10, 11}, 0)),
    IF(
      DATEDIF($B45, TODAY(), "M") + 1 &gt;= COLUMN(K:K) - 5,
      INDEX('Most Recent Import'!$F45:$Q45, 1, MATCH(DATEDIF($B45, TODAY(), "M") + 1 - (COLUMN(K:K) - 5), {0, 1, 2, 3, 4, 5, 6, 7, 8, 9, 10, 11}, 0)),
      ""
    )
  )
</f>
        <v/>
      </c>
      <c r="L45" s="412" t="str">
        <f t="array" ref="L45">IF(
    DATEDIF($B45, TODAY(), "M") &gt;= 11,
    INDEX('Most Recent Import'!$F45:$Q45, 1, MATCH(11 - (COLUMN(L:L) - 5), {0, 1, 2, 3, 4, 5, 6, 7, 8, 9, 10, 11}, 0)),
    IF(
      DATEDIF($B45, TODAY(), "M") + 1 &gt;= COLUMN(L:L) - 5,
      INDEX('Most Recent Import'!$F45:$Q45, 1, MATCH(DATEDIF($B45, TODAY(), "M") + 1 - (COLUMN(L:L) - 5), {0, 1, 2, 3, 4, 5, 6, 7, 8, 9, 10, 11}, 0)),
      ""
    )
  )
</f>
        <v/>
      </c>
      <c r="M45" s="412" t="str">
        <f t="array" ref="M45">IF(
    DATEDIF($B45, TODAY(), "M") &gt;= 11,
    INDEX('Most Recent Import'!$F45:$Q45, 1, MATCH(11 - (COLUMN(M:M) - 5), {0, 1, 2, 3, 4, 5, 6, 7, 8, 9, 10, 11}, 0)),
    IF(
      DATEDIF($B45, TODAY(), "M") + 1 &gt;= COLUMN(M:M) - 5,
      INDEX('Most Recent Import'!$F45:$Q45, 1, MATCH(DATEDIF($B45, TODAY(), "M") + 1 - (COLUMN(M:M) - 5), {0, 1, 2, 3, 4, 5, 6, 7, 8, 9, 10, 11}, 0)),
      ""
    )
  )
</f>
        <v/>
      </c>
      <c r="N45" s="412" t="str">
        <f t="array" ref="N45">IF(
    DATEDIF($B45, TODAY(), "M") &gt;= 11,
    INDEX('Most Recent Import'!$F45:$Q45, 1, MATCH(11 - (COLUMN(N:N) - 5), {0, 1, 2, 3, 4, 5, 6, 7, 8, 9, 10, 11}, 0)),
    IF(
      DATEDIF($B45, TODAY(), "M") + 1 &gt;= COLUMN(N:N) - 5,
      INDEX('Most Recent Import'!$F45:$Q45, 1, MATCH(DATEDIF($B45, TODAY(), "M") + 1 - (COLUMN(N:N) - 5), {0, 1, 2, 3, 4, 5, 6, 7, 8, 9, 10, 11}, 0)),
      ""
    )
  )
</f>
        <v/>
      </c>
      <c r="O45" s="412" t="str">
        <f t="array" ref="O45">IF(
    DATEDIF($B45, TODAY(), "M") &gt;= 11,
    INDEX('Most Recent Import'!$F45:$Q45, 1, MATCH(11 - (COLUMN(O:O) - 5), {0, 1, 2, 3, 4, 5, 6, 7, 8, 9, 10, 11}, 0)),
    IF(
      DATEDIF($B45, TODAY(), "M") + 1 &gt;= COLUMN(O:O) - 5,
      INDEX('Most Recent Import'!$F45:$Q45, 1, MATCH(DATEDIF($B45, TODAY(), "M") + 1 - (COLUMN(O:O) - 5), {0, 1, 2, 3, 4, 5, 6, 7, 8, 9, 10, 11}, 0)),
      ""
    )
  )
</f>
        <v/>
      </c>
      <c r="P45" s="412" t="str">
        <f t="array" ref="P45">IF(
    DATEDIF($B45, TODAY(), "M") &gt;= 11,
    INDEX('Most Recent Import'!$F45:$Q45, 1, MATCH(11 - (COLUMN(P:P) - 5), {0, 1, 2, 3, 4, 5, 6, 7, 8, 9, 10, 11}, 0)),
    IF(
      DATEDIF($B45, TODAY(), "M") + 1 &gt;= COLUMN(P:P) - 5,
      INDEX('Most Recent Import'!$F45:$Q45, 1, MATCH(DATEDIF($B45, TODAY(), "M") + 1 - (COLUMN(P:P) - 5), {0, 1, 2, 3, 4, 5, 6, 7, 8, 9, 10, 11}, 0)),
      ""
    )
  )
</f>
        <v/>
      </c>
    </row>
    <row r="46">
      <c r="A46" s="412" t="str">
        <f>'Most Recent Import'!A46</f>
        <v/>
      </c>
      <c r="B46" s="412" t="str">
        <f>IF(ISBLANK(A46), "", DATE(LEFT('Most Recent Import'!C46, 4), RIGHT('Most Recent Import'!C46, 2), 1))</f>
        <v/>
      </c>
      <c r="C46" s="414" t="str">
        <f>'Most Recent Import'!B46</f>
        <v/>
      </c>
      <c r="D46" s="412" t="str">
        <f>'Most Recent Import'!D46</f>
        <v/>
      </c>
      <c r="E46" s="412" t="str">
        <f t="array" ref="E46">IF(
    DATEDIF($B46, TODAY(), "M") &gt;= 11,
    INDEX('Most Recent Import'!$F46:$Q46, 1, MATCH(11 - (COLUMN(E:E) - 5), {0, 1, 2, 3, 4, 5, 6, 7, 8, 9, 10, 11}, 0)),
    IF(
      DATEDIF($B46, TODAY(), "M") + 1 &gt;= COLUMN(E:E) - 5,
      INDEX('Most Recent Import'!$F46:$Q46, 1, MATCH(DATEDIF($B46, TODAY(), "M") + 1 - (COLUMN(E:E) - 5), {0, 1, 2, 3, 4, 5, 6, 7, 8, 9, 10, 11}, 0)),
      ""
    )
  )
</f>
        <v/>
      </c>
      <c r="F46" s="412" t="str">
        <f t="array" ref="F46">IF(
    DATEDIF($B46, TODAY(), "M") &gt;= 11,
    INDEX('Most Recent Import'!$F46:$Q46, 1, MATCH(11 - (COLUMN(F:F) - 5), {0, 1, 2, 3, 4, 5, 6, 7, 8, 9, 10, 11}, 0)),
    IF(
      DATEDIF($B46, TODAY(), "M") + 1 &gt;= COLUMN(F:F) - 5,
      INDEX('Most Recent Import'!$F46:$Q46, 1, MATCH(DATEDIF($B46, TODAY(), "M") + 1 - (COLUMN(F:F) - 5), {0, 1, 2, 3, 4, 5, 6, 7, 8, 9, 10, 11}, 0)),
      ""
    )
  )
</f>
        <v/>
      </c>
      <c r="G46" s="412" t="str">
        <f t="array" ref="G46">IF(
    DATEDIF($B46, TODAY(), "M") &gt;= 11,
    INDEX('Most Recent Import'!$F46:$Q46, 1, MATCH(11 - (COLUMN(G:G) - 5), {0, 1, 2, 3, 4, 5, 6, 7, 8, 9, 10, 11}, 0)),
    IF(
      DATEDIF($B46, TODAY(), "M") + 1 &gt;= COLUMN(G:G) - 5,
      INDEX('Most Recent Import'!$F46:$Q46, 1, MATCH(DATEDIF($B46, TODAY(), "M") + 1 - (COLUMN(G:G) - 5), {0, 1, 2, 3, 4, 5, 6, 7, 8, 9, 10, 11}, 0)),
      ""
    )
  )
</f>
        <v/>
      </c>
      <c r="H46" s="412" t="str">
        <f t="array" ref="H46">IF(
    DATEDIF($B46, TODAY(), "M") &gt;= 11,
    INDEX('Most Recent Import'!$F46:$Q46, 1, MATCH(11 - (COLUMN(H:H) - 5), {0, 1, 2, 3, 4, 5, 6, 7, 8, 9, 10, 11}, 0)),
    IF(
      DATEDIF($B46, TODAY(), "M") + 1 &gt;= COLUMN(H:H) - 5,
      INDEX('Most Recent Import'!$F46:$Q46, 1, MATCH(DATEDIF($B46, TODAY(), "M") + 1 - (COLUMN(H:H) - 5), {0, 1, 2, 3, 4, 5, 6, 7, 8, 9, 10, 11}, 0)),
      ""
    )
  )
</f>
        <v/>
      </c>
      <c r="I46" s="412" t="str">
        <f t="array" ref="I46">IF(
    DATEDIF($B46, TODAY(), "M") &gt;= 11,
    INDEX('Most Recent Import'!$F46:$Q46, 1, MATCH(11 - (COLUMN(I:I) - 5), {0, 1, 2, 3, 4, 5, 6, 7, 8, 9, 10, 11}, 0)),
    IF(
      DATEDIF($B46, TODAY(), "M") + 1 &gt;= COLUMN(I:I) - 5,
      INDEX('Most Recent Import'!$F46:$Q46, 1, MATCH(DATEDIF($B46, TODAY(), "M") + 1 - (COLUMN(I:I) - 5), {0, 1, 2, 3, 4, 5, 6, 7, 8, 9, 10, 11}, 0)),
      ""
    )
  )
</f>
        <v/>
      </c>
      <c r="J46" s="412" t="str">
        <f t="array" ref="J46">IF(
    DATEDIF($B46, TODAY(), "M") &gt;= 11,
    INDEX('Most Recent Import'!$F46:$Q46, 1, MATCH(11 - (COLUMN(J:J) - 5), {0, 1, 2, 3, 4, 5, 6, 7, 8, 9, 10, 11}, 0)),
    IF(
      DATEDIF($B46, TODAY(), "M") + 1 &gt;= COLUMN(J:J) - 5,
      INDEX('Most Recent Import'!$F46:$Q46, 1, MATCH(DATEDIF($B46, TODAY(), "M") + 1 - (COLUMN(J:J) - 5), {0, 1, 2, 3, 4, 5, 6, 7, 8, 9, 10, 11}, 0)),
      ""
    )
  )
</f>
        <v/>
      </c>
      <c r="K46" s="412" t="str">
        <f t="array" ref="K46">IF(
    DATEDIF($B46, TODAY(), "M") &gt;= 11,
    INDEX('Most Recent Import'!$F46:$Q46, 1, MATCH(11 - (COLUMN(K:K) - 5), {0, 1, 2, 3, 4, 5, 6, 7, 8, 9, 10, 11}, 0)),
    IF(
      DATEDIF($B46, TODAY(), "M") + 1 &gt;= COLUMN(K:K) - 5,
      INDEX('Most Recent Import'!$F46:$Q46, 1, MATCH(DATEDIF($B46, TODAY(), "M") + 1 - (COLUMN(K:K) - 5), {0, 1, 2, 3, 4, 5, 6, 7, 8, 9, 10, 11}, 0)),
      ""
    )
  )
</f>
        <v/>
      </c>
      <c r="L46" s="412" t="str">
        <f t="array" ref="L46">IF(
    DATEDIF($B46, TODAY(), "M") &gt;= 11,
    INDEX('Most Recent Import'!$F46:$Q46, 1, MATCH(11 - (COLUMN(L:L) - 5), {0, 1, 2, 3, 4, 5, 6, 7, 8, 9, 10, 11}, 0)),
    IF(
      DATEDIF($B46, TODAY(), "M") + 1 &gt;= COLUMN(L:L) - 5,
      INDEX('Most Recent Import'!$F46:$Q46, 1, MATCH(DATEDIF($B46, TODAY(), "M") + 1 - (COLUMN(L:L) - 5), {0, 1, 2, 3, 4, 5, 6, 7, 8, 9, 10, 11}, 0)),
      ""
    )
  )
</f>
        <v/>
      </c>
      <c r="M46" s="412" t="str">
        <f t="array" ref="M46">IF(
    DATEDIF($B46, TODAY(), "M") &gt;= 11,
    INDEX('Most Recent Import'!$F46:$Q46, 1, MATCH(11 - (COLUMN(M:M) - 5), {0, 1, 2, 3, 4, 5, 6, 7, 8, 9, 10, 11}, 0)),
    IF(
      DATEDIF($B46, TODAY(), "M") + 1 &gt;= COLUMN(M:M) - 5,
      INDEX('Most Recent Import'!$F46:$Q46, 1, MATCH(DATEDIF($B46, TODAY(), "M") + 1 - (COLUMN(M:M) - 5), {0, 1, 2, 3, 4, 5, 6, 7, 8, 9, 10, 11}, 0)),
      ""
    )
  )
</f>
        <v/>
      </c>
      <c r="N46" s="412" t="str">
        <f t="array" ref="N46">IF(
    DATEDIF($B46, TODAY(), "M") &gt;= 11,
    INDEX('Most Recent Import'!$F46:$Q46, 1, MATCH(11 - (COLUMN(N:N) - 5), {0, 1, 2, 3, 4, 5, 6, 7, 8, 9, 10, 11}, 0)),
    IF(
      DATEDIF($B46, TODAY(), "M") + 1 &gt;= COLUMN(N:N) - 5,
      INDEX('Most Recent Import'!$F46:$Q46, 1, MATCH(DATEDIF($B46, TODAY(), "M") + 1 - (COLUMN(N:N) - 5), {0, 1, 2, 3, 4, 5, 6, 7, 8, 9, 10, 11}, 0)),
      ""
    )
  )
</f>
        <v/>
      </c>
      <c r="O46" s="412" t="str">
        <f t="array" ref="O46">IF(
    DATEDIF($B46, TODAY(), "M") &gt;= 11,
    INDEX('Most Recent Import'!$F46:$Q46, 1, MATCH(11 - (COLUMN(O:O) - 5), {0, 1, 2, 3, 4, 5, 6, 7, 8, 9, 10, 11}, 0)),
    IF(
      DATEDIF($B46, TODAY(), "M") + 1 &gt;= COLUMN(O:O) - 5,
      INDEX('Most Recent Import'!$F46:$Q46, 1, MATCH(DATEDIF($B46, TODAY(), "M") + 1 - (COLUMN(O:O) - 5), {0, 1, 2, 3, 4, 5, 6, 7, 8, 9, 10, 11}, 0)),
      ""
    )
  )
</f>
        <v/>
      </c>
      <c r="P46" s="412" t="str">
        <f t="array" ref="P46">IF(
    DATEDIF($B46, TODAY(), "M") &gt;= 11,
    INDEX('Most Recent Import'!$F46:$Q46, 1, MATCH(11 - (COLUMN(P:P) - 5), {0, 1, 2, 3, 4, 5, 6, 7, 8, 9, 10, 11}, 0)),
    IF(
      DATEDIF($B46, TODAY(), "M") + 1 &gt;= COLUMN(P:P) - 5,
      INDEX('Most Recent Import'!$F46:$Q46, 1, MATCH(DATEDIF($B46, TODAY(), "M") + 1 - (COLUMN(P:P) - 5), {0, 1, 2, 3, 4, 5, 6, 7, 8, 9, 10, 11}, 0)),
      ""
    )
  )
</f>
        <v/>
      </c>
    </row>
    <row r="47">
      <c r="A47" s="412" t="str">
        <f>'Most Recent Import'!A47</f>
        <v/>
      </c>
      <c r="B47" s="412" t="str">
        <f>IF(ISBLANK(A47), "", DATE(LEFT('Most Recent Import'!C47, 4), RIGHT('Most Recent Import'!C47, 2), 1))</f>
        <v/>
      </c>
      <c r="C47" s="414" t="str">
        <f>'Most Recent Import'!B47</f>
        <v/>
      </c>
      <c r="D47" s="412" t="str">
        <f>'Most Recent Import'!D47</f>
        <v/>
      </c>
      <c r="E47" s="412" t="str">
        <f t="array" ref="E47">IF(
    DATEDIF($B47, TODAY(), "M") &gt;= 11,
    INDEX('Most Recent Import'!$F47:$Q47, 1, MATCH(11 - (COLUMN(E:E) - 5), {0, 1, 2, 3, 4, 5, 6, 7, 8, 9, 10, 11}, 0)),
    IF(
      DATEDIF($B47, TODAY(), "M") + 1 &gt;= COLUMN(E:E) - 5,
      INDEX('Most Recent Import'!$F47:$Q47, 1, MATCH(DATEDIF($B47, TODAY(), "M") + 1 - (COLUMN(E:E) - 5), {0, 1, 2, 3, 4, 5, 6, 7, 8, 9, 10, 11}, 0)),
      ""
    )
  )
</f>
        <v/>
      </c>
      <c r="F47" s="412" t="str">
        <f t="array" ref="F47">IF(
    DATEDIF($B47, TODAY(), "M") &gt;= 11,
    INDEX('Most Recent Import'!$F47:$Q47, 1, MATCH(11 - (COLUMN(F:F) - 5), {0, 1, 2, 3, 4, 5, 6, 7, 8, 9, 10, 11}, 0)),
    IF(
      DATEDIF($B47, TODAY(), "M") + 1 &gt;= COLUMN(F:F) - 5,
      INDEX('Most Recent Import'!$F47:$Q47, 1, MATCH(DATEDIF($B47, TODAY(), "M") + 1 - (COLUMN(F:F) - 5), {0, 1, 2, 3, 4, 5, 6, 7, 8, 9, 10, 11}, 0)),
      ""
    )
  )
</f>
        <v/>
      </c>
      <c r="G47" s="412" t="str">
        <f t="array" ref="G47">IF(
    DATEDIF($B47, TODAY(), "M") &gt;= 11,
    INDEX('Most Recent Import'!$F47:$Q47, 1, MATCH(11 - (COLUMN(G:G) - 5), {0, 1, 2, 3, 4, 5, 6, 7, 8, 9, 10, 11}, 0)),
    IF(
      DATEDIF($B47, TODAY(), "M") + 1 &gt;= COLUMN(G:G) - 5,
      INDEX('Most Recent Import'!$F47:$Q47, 1, MATCH(DATEDIF($B47, TODAY(), "M") + 1 - (COLUMN(G:G) - 5), {0, 1, 2, 3, 4, 5, 6, 7, 8, 9, 10, 11}, 0)),
      ""
    )
  )
</f>
        <v/>
      </c>
      <c r="H47" s="412" t="str">
        <f t="array" ref="H47">IF(
    DATEDIF($B47, TODAY(), "M") &gt;= 11,
    INDEX('Most Recent Import'!$F47:$Q47, 1, MATCH(11 - (COLUMN(H:H) - 5), {0, 1, 2, 3, 4, 5, 6, 7, 8, 9, 10, 11}, 0)),
    IF(
      DATEDIF($B47, TODAY(), "M") + 1 &gt;= COLUMN(H:H) - 5,
      INDEX('Most Recent Import'!$F47:$Q47, 1, MATCH(DATEDIF($B47, TODAY(), "M") + 1 - (COLUMN(H:H) - 5), {0, 1, 2, 3, 4, 5, 6, 7, 8, 9, 10, 11}, 0)),
      ""
    )
  )
</f>
        <v/>
      </c>
      <c r="I47" s="412" t="str">
        <f t="array" ref="I47">IF(
    DATEDIF($B47, TODAY(), "M") &gt;= 11,
    INDEX('Most Recent Import'!$F47:$Q47, 1, MATCH(11 - (COLUMN(I:I) - 5), {0, 1, 2, 3, 4, 5, 6, 7, 8, 9, 10, 11}, 0)),
    IF(
      DATEDIF($B47, TODAY(), "M") + 1 &gt;= COLUMN(I:I) - 5,
      INDEX('Most Recent Import'!$F47:$Q47, 1, MATCH(DATEDIF($B47, TODAY(), "M") + 1 - (COLUMN(I:I) - 5), {0, 1, 2, 3, 4, 5, 6, 7, 8, 9, 10, 11}, 0)),
      ""
    )
  )
</f>
        <v/>
      </c>
      <c r="J47" s="412" t="str">
        <f t="array" ref="J47">IF(
    DATEDIF($B47, TODAY(), "M") &gt;= 11,
    INDEX('Most Recent Import'!$F47:$Q47, 1, MATCH(11 - (COLUMN(J:J) - 5), {0, 1, 2, 3, 4, 5, 6, 7, 8, 9, 10, 11}, 0)),
    IF(
      DATEDIF($B47, TODAY(), "M") + 1 &gt;= COLUMN(J:J) - 5,
      INDEX('Most Recent Import'!$F47:$Q47, 1, MATCH(DATEDIF($B47, TODAY(), "M") + 1 - (COLUMN(J:J) - 5), {0, 1, 2, 3, 4, 5, 6, 7, 8, 9, 10, 11}, 0)),
      ""
    )
  )
</f>
        <v/>
      </c>
      <c r="K47" s="412" t="str">
        <f t="array" ref="K47">IF(
    DATEDIF($B47, TODAY(), "M") &gt;= 11,
    INDEX('Most Recent Import'!$F47:$Q47, 1, MATCH(11 - (COLUMN(K:K) - 5), {0, 1, 2, 3, 4, 5, 6, 7, 8, 9, 10, 11}, 0)),
    IF(
      DATEDIF($B47, TODAY(), "M") + 1 &gt;= COLUMN(K:K) - 5,
      INDEX('Most Recent Import'!$F47:$Q47, 1, MATCH(DATEDIF($B47, TODAY(), "M") + 1 - (COLUMN(K:K) - 5), {0, 1, 2, 3, 4, 5, 6, 7, 8, 9, 10, 11}, 0)),
      ""
    )
  )
</f>
        <v/>
      </c>
      <c r="L47" s="412" t="str">
        <f t="array" ref="L47">IF(
    DATEDIF($B47, TODAY(), "M") &gt;= 11,
    INDEX('Most Recent Import'!$F47:$Q47, 1, MATCH(11 - (COLUMN(L:L) - 5), {0, 1, 2, 3, 4, 5, 6, 7, 8, 9, 10, 11}, 0)),
    IF(
      DATEDIF($B47, TODAY(), "M") + 1 &gt;= COLUMN(L:L) - 5,
      INDEX('Most Recent Import'!$F47:$Q47, 1, MATCH(DATEDIF($B47, TODAY(), "M") + 1 - (COLUMN(L:L) - 5), {0, 1, 2, 3, 4, 5, 6, 7, 8, 9, 10, 11}, 0)),
      ""
    )
  )
</f>
        <v/>
      </c>
      <c r="M47" s="412" t="str">
        <f t="array" ref="M47">IF(
    DATEDIF($B47, TODAY(), "M") &gt;= 11,
    INDEX('Most Recent Import'!$F47:$Q47, 1, MATCH(11 - (COLUMN(M:M) - 5), {0, 1, 2, 3, 4, 5, 6, 7, 8, 9, 10, 11}, 0)),
    IF(
      DATEDIF($B47, TODAY(), "M") + 1 &gt;= COLUMN(M:M) - 5,
      INDEX('Most Recent Import'!$F47:$Q47, 1, MATCH(DATEDIF($B47, TODAY(), "M") + 1 - (COLUMN(M:M) - 5), {0, 1, 2, 3, 4, 5, 6, 7, 8, 9, 10, 11}, 0)),
      ""
    )
  )
</f>
        <v/>
      </c>
      <c r="N47" s="412" t="str">
        <f t="array" ref="N47">IF(
    DATEDIF($B47, TODAY(), "M") &gt;= 11,
    INDEX('Most Recent Import'!$F47:$Q47, 1, MATCH(11 - (COLUMN(N:N) - 5), {0, 1, 2, 3, 4, 5, 6, 7, 8, 9, 10, 11}, 0)),
    IF(
      DATEDIF($B47, TODAY(), "M") + 1 &gt;= COLUMN(N:N) - 5,
      INDEX('Most Recent Import'!$F47:$Q47, 1, MATCH(DATEDIF($B47, TODAY(), "M") + 1 - (COLUMN(N:N) - 5), {0, 1, 2, 3, 4, 5, 6, 7, 8, 9, 10, 11}, 0)),
      ""
    )
  )
</f>
        <v/>
      </c>
      <c r="O47" s="412" t="str">
        <f t="array" ref="O47">IF(
    DATEDIF($B47, TODAY(), "M") &gt;= 11,
    INDEX('Most Recent Import'!$F47:$Q47, 1, MATCH(11 - (COLUMN(O:O) - 5), {0, 1, 2, 3, 4, 5, 6, 7, 8, 9, 10, 11}, 0)),
    IF(
      DATEDIF($B47, TODAY(), "M") + 1 &gt;= COLUMN(O:O) - 5,
      INDEX('Most Recent Import'!$F47:$Q47, 1, MATCH(DATEDIF($B47, TODAY(), "M") + 1 - (COLUMN(O:O) - 5), {0, 1, 2, 3, 4, 5, 6, 7, 8, 9, 10, 11}, 0)),
      ""
    )
  )
</f>
        <v/>
      </c>
      <c r="P47" s="412" t="str">
        <f t="array" ref="P47">IF(
    DATEDIF($B47, TODAY(), "M") &gt;= 11,
    INDEX('Most Recent Import'!$F47:$Q47, 1, MATCH(11 - (COLUMN(P:P) - 5), {0, 1, 2, 3, 4, 5, 6, 7, 8, 9, 10, 11}, 0)),
    IF(
      DATEDIF($B47, TODAY(), "M") + 1 &gt;= COLUMN(P:P) - 5,
      INDEX('Most Recent Import'!$F47:$Q47, 1, MATCH(DATEDIF($B47, TODAY(), "M") + 1 - (COLUMN(P:P) - 5), {0, 1, 2, 3, 4, 5, 6, 7, 8, 9, 10, 11}, 0)),
      ""
    )
  )
</f>
        <v/>
      </c>
    </row>
    <row r="48">
      <c r="A48" s="412" t="str">
        <f>'Most Recent Import'!A48</f>
        <v/>
      </c>
      <c r="B48" s="412" t="str">
        <f>IF(ISBLANK(A48), "", DATE(LEFT('Most Recent Import'!C48, 4), RIGHT('Most Recent Import'!C48, 2), 1))</f>
        <v/>
      </c>
      <c r="C48" s="414" t="str">
        <f>'Most Recent Import'!B48</f>
        <v/>
      </c>
      <c r="D48" s="412" t="str">
        <f>'Most Recent Import'!D48</f>
        <v/>
      </c>
      <c r="E48" s="412" t="str">
        <f t="array" ref="E48">IF(
    DATEDIF($B48, TODAY(), "M") &gt;= 11,
    INDEX('Most Recent Import'!$F48:$Q48, 1, MATCH(11 - (COLUMN(E:E) - 5), {0, 1, 2, 3, 4, 5, 6, 7, 8, 9, 10, 11}, 0)),
    IF(
      DATEDIF($B48, TODAY(), "M") + 1 &gt;= COLUMN(E:E) - 5,
      INDEX('Most Recent Import'!$F48:$Q48, 1, MATCH(DATEDIF($B48, TODAY(), "M") + 1 - (COLUMN(E:E) - 5), {0, 1, 2, 3, 4, 5, 6, 7, 8, 9, 10, 11}, 0)),
      ""
    )
  )
</f>
        <v/>
      </c>
      <c r="F48" s="412" t="str">
        <f t="array" ref="F48">IF(
    DATEDIF($B48, TODAY(), "M") &gt;= 11,
    INDEX('Most Recent Import'!$F48:$Q48, 1, MATCH(11 - (COLUMN(F:F) - 5), {0, 1, 2, 3, 4, 5, 6, 7, 8, 9, 10, 11}, 0)),
    IF(
      DATEDIF($B48, TODAY(), "M") + 1 &gt;= COLUMN(F:F) - 5,
      INDEX('Most Recent Import'!$F48:$Q48, 1, MATCH(DATEDIF($B48, TODAY(), "M") + 1 - (COLUMN(F:F) - 5), {0, 1, 2, 3, 4, 5, 6, 7, 8, 9, 10, 11}, 0)),
      ""
    )
  )
</f>
        <v/>
      </c>
      <c r="G48" s="412" t="str">
        <f t="array" ref="G48">IF(
    DATEDIF($B48, TODAY(), "M") &gt;= 11,
    INDEX('Most Recent Import'!$F48:$Q48, 1, MATCH(11 - (COLUMN(G:G) - 5), {0, 1, 2, 3, 4, 5, 6, 7, 8, 9, 10, 11}, 0)),
    IF(
      DATEDIF($B48, TODAY(), "M") + 1 &gt;= COLUMN(G:G) - 5,
      INDEX('Most Recent Import'!$F48:$Q48, 1, MATCH(DATEDIF($B48, TODAY(), "M") + 1 - (COLUMN(G:G) - 5), {0, 1, 2, 3, 4, 5, 6, 7, 8, 9, 10, 11}, 0)),
      ""
    )
  )
</f>
        <v/>
      </c>
      <c r="H48" s="412" t="str">
        <f t="array" ref="H48">IF(
    DATEDIF($B48, TODAY(), "M") &gt;= 11,
    INDEX('Most Recent Import'!$F48:$Q48, 1, MATCH(11 - (COLUMN(H:H) - 5), {0, 1, 2, 3, 4, 5, 6, 7, 8, 9, 10, 11}, 0)),
    IF(
      DATEDIF($B48, TODAY(), "M") + 1 &gt;= COLUMN(H:H) - 5,
      INDEX('Most Recent Import'!$F48:$Q48, 1, MATCH(DATEDIF($B48, TODAY(), "M") + 1 - (COLUMN(H:H) - 5), {0, 1, 2, 3, 4, 5, 6, 7, 8, 9, 10, 11}, 0)),
      ""
    )
  )
</f>
        <v/>
      </c>
      <c r="I48" s="412" t="str">
        <f t="array" ref="I48">IF(
    DATEDIF($B48, TODAY(), "M") &gt;= 11,
    INDEX('Most Recent Import'!$F48:$Q48, 1, MATCH(11 - (COLUMN(I:I) - 5), {0, 1, 2, 3, 4, 5, 6, 7, 8, 9, 10, 11}, 0)),
    IF(
      DATEDIF($B48, TODAY(), "M") + 1 &gt;= COLUMN(I:I) - 5,
      INDEX('Most Recent Import'!$F48:$Q48, 1, MATCH(DATEDIF($B48, TODAY(), "M") + 1 - (COLUMN(I:I) - 5), {0, 1, 2, 3, 4, 5, 6, 7, 8, 9, 10, 11}, 0)),
      ""
    )
  )
</f>
        <v/>
      </c>
      <c r="J48" s="412" t="str">
        <f t="array" ref="J48">IF(
    DATEDIF($B48, TODAY(), "M") &gt;= 11,
    INDEX('Most Recent Import'!$F48:$Q48, 1, MATCH(11 - (COLUMN(J:J) - 5), {0, 1, 2, 3, 4, 5, 6, 7, 8, 9, 10, 11}, 0)),
    IF(
      DATEDIF($B48, TODAY(), "M") + 1 &gt;= COLUMN(J:J) - 5,
      INDEX('Most Recent Import'!$F48:$Q48, 1, MATCH(DATEDIF($B48, TODAY(), "M") + 1 - (COLUMN(J:J) - 5), {0, 1, 2, 3, 4, 5, 6, 7, 8, 9, 10, 11}, 0)),
      ""
    )
  )
</f>
        <v/>
      </c>
      <c r="K48" s="412" t="str">
        <f t="array" ref="K48">IF(
    DATEDIF($B48, TODAY(), "M") &gt;= 11,
    INDEX('Most Recent Import'!$F48:$Q48, 1, MATCH(11 - (COLUMN(K:K) - 5), {0, 1, 2, 3, 4, 5, 6, 7, 8, 9, 10, 11}, 0)),
    IF(
      DATEDIF($B48, TODAY(), "M") + 1 &gt;= COLUMN(K:K) - 5,
      INDEX('Most Recent Import'!$F48:$Q48, 1, MATCH(DATEDIF($B48, TODAY(), "M") + 1 - (COLUMN(K:K) - 5), {0, 1, 2, 3, 4, 5, 6, 7, 8, 9, 10, 11}, 0)),
      ""
    )
  )
</f>
        <v/>
      </c>
      <c r="L48" s="412" t="str">
        <f t="array" ref="L48">IF(
    DATEDIF($B48, TODAY(), "M") &gt;= 11,
    INDEX('Most Recent Import'!$F48:$Q48, 1, MATCH(11 - (COLUMN(L:L) - 5), {0, 1, 2, 3, 4, 5, 6, 7, 8, 9, 10, 11}, 0)),
    IF(
      DATEDIF($B48, TODAY(), "M") + 1 &gt;= COLUMN(L:L) - 5,
      INDEX('Most Recent Import'!$F48:$Q48, 1, MATCH(DATEDIF($B48, TODAY(), "M") + 1 - (COLUMN(L:L) - 5), {0, 1, 2, 3, 4, 5, 6, 7, 8, 9, 10, 11}, 0)),
      ""
    )
  )
</f>
        <v/>
      </c>
      <c r="M48" s="412" t="str">
        <f t="array" ref="M48">IF(
    DATEDIF($B48, TODAY(), "M") &gt;= 11,
    INDEX('Most Recent Import'!$F48:$Q48, 1, MATCH(11 - (COLUMN(M:M) - 5), {0, 1, 2, 3, 4, 5, 6, 7, 8, 9, 10, 11}, 0)),
    IF(
      DATEDIF($B48, TODAY(), "M") + 1 &gt;= COLUMN(M:M) - 5,
      INDEX('Most Recent Import'!$F48:$Q48, 1, MATCH(DATEDIF($B48, TODAY(), "M") + 1 - (COLUMN(M:M) - 5), {0, 1, 2, 3, 4, 5, 6, 7, 8, 9, 10, 11}, 0)),
      ""
    )
  )
</f>
        <v/>
      </c>
      <c r="N48" s="412" t="str">
        <f t="array" ref="N48">IF(
    DATEDIF($B48, TODAY(), "M") &gt;= 11,
    INDEX('Most Recent Import'!$F48:$Q48, 1, MATCH(11 - (COLUMN(N:N) - 5), {0, 1, 2, 3, 4, 5, 6, 7, 8, 9, 10, 11}, 0)),
    IF(
      DATEDIF($B48, TODAY(), "M") + 1 &gt;= COLUMN(N:N) - 5,
      INDEX('Most Recent Import'!$F48:$Q48, 1, MATCH(DATEDIF($B48, TODAY(), "M") + 1 - (COLUMN(N:N) - 5), {0, 1, 2, 3, 4, 5, 6, 7, 8, 9, 10, 11}, 0)),
      ""
    )
  )
</f>
        <v/>
      </c>
      <c r="O48" s="412" t="str">
        <f t="array" ref="O48">IF(
    DATEDIF($B48, TODAY(), "M") &gt;= 11,
    INDEX('Most Recent Import'!$F48:$Q48, 1, MATCH(11 - (COLUMN(O:O) - 5), {0, 1, 2, 3, 4, 5, 6, 7, 8, 9, 10, 11}, 0)),
    IF(
      DATEDIF($B48, TODAY(), "M") + 1 &gt;= COLUMN(O:O) - 5,
      INDEX('Most Recent Import'!$F48:$Q48, 1, MATCH(DATEDIF($B48, TODAY(), "M") + 1 - (COLUMN(O:O) - 5), {0, 1, 2, 3, 4, 5, 6, 7, 8, 9, 10, 11}, 0)),
      ""
    )
  )
</f>
        <v/>
      </c>
      <c r="P48" s="412" t="str">
        <f t="array" ref="P48">IF(
    DATEDIF($B48, TODAY(), "M") &gt;= 11,
    INDEX('Most Recent Import'!$F48:$Q48, 1, MATCH(11 - (COLUMN(P:P) - 5), {0, 1, 2, 3, 4, 5, 6, 7, 8, 9, 10, 11}, 0)),
    IF(
      DATEDIF($B48, TODAY(), "M") + 1 &gt;= COLUMN(P:P) - 5,
      INDEX('Most Recent Import'!$F48:$Q48, 1, MATCH(DATEDIF($B48, TODAY(), "M") + 1 - (COLUMN(P:P) - 5), {0, 1, 2, 3, 4, 5, 6, 7, 8, 9, 10, 11}, 0)),
      ""
    )
  )
</f>
        <v/>
      </c>
    </row>
    <row r="49">
      <c r="A49" s="412" t="str">
        <f>'Most Recent Import'!A49</f>
        <v/>
      </c>
      <c r="B49" s="412" t="str">
        <f>IF(ISBLANK(A49), "", DATE(LEFT('Most Recent Import'!C49, 4), RIGHT('Most Recent Import'!C49, 2), 1))</f>
        <v/>
      </c>
      <c r="C49" s="414" t="str">
        <f>'Most Recent Import'!B49</f>
        <v/>
      </c>
      <c r="D49" s="412" t="str">
        <f>'Most Recent Import'!D49</f>
        <v/>
      </c>
      <c r="E49" s="412" t="str">
        <f t="array" ref="E49">IF(
    DATEDIF($B49, TODAY(), "M") &gt;= 11,
    INDEX('Most Recent Import'!$F49:$Q49, 1, MATCH(11 - (COLUMN(E:E) - 5), {0, 1, 2, 3, 4, 5, 6, 7, 8, 9, 10, 11}, 0)),
    IF(
      DATEDIF($B49, TODAY(), "M") + 1 &gt;= COLUMN(E:E) - 5,
      INDEX('Most Recent Import'!$F49:$Q49, 1, MATCH(DATEDIF($B49, TODAY(), "M") + 1 - (COLUMN(E:E) - 5), {0, 1, 2, 3, 4, 5, 6, 7, 8, 9, 10, 11}, 0)),
      ""
    )
  )
</f>
        <v/>
      </c>
      <c r="F49" s="412" t="str">
        <f t="array" ref="F49">IF(
    DATEDIF($B49, TODAY(), "M") &gt;= 11,
    INDEX('Most Recent Import'!$F49:$Q49, 1, MATCH(11 - (COLUMN(F:F) - 5), {0, 1, 2, 3, 4, 5, 6, 7, 8, 9, 10, 11}, 0)),
    IF(
      DATEDIF($B49, TODAY(), "M") + 1 &gt;= COLUMN(F:F) - 5,
      INDEX('Most Recent Import'!$F49:$Q49, 1, MATCH(DATEDIF($B49, TODAY(), "M") + 1 - (COLUMN(F:F) - 5), {0, 1, 2, 3, 4, 5, 6, 7, 8, 9, 10, 11}, 0)),
      ""
    )
  )
</f>
        <v/>
      </c>
      <c r="G49" s="412" t="str">
        <f t="array" ref="G49">IF(
    DATEDIF($B49, TODAY(), "M") &gt;= 11,
    INDEX('Most Recent Import'!$F49:$Q49, 1, MATCH(11 - (COLUMN(G:G) - 5), {0, 1, 2, 3, 4, 5, 6, 7, 8, 9, 10, 11}, 0)),
    IF(
      DATEDIF($B49, TODAY(), "M") + 1 &gt;= COLUMN(G:G) - 5,
      INDEX('Most Recent Import'!$F49:$Q49, 1, MATCH(DATEDIF($B49, TODAY(), "M") + 1 - (COLUMN(G:G) - 5), {0, 1, 2, 3, 4, 5, 6, 7, 8, 9, 10, 11}, 0)),
      ""
    )
  )
</f>
        <v/>
      </c>
      <c r="H49" s="412" t="str">
        <f t="array" ref="H49">IF(
    DATEDIF($B49, TODAY(), "M") &gt;= 11,
    INDEX('Most Recent Import'!$F49:$Q49, 1, MATCH(11 - (COLUMN(H:H) - 5), {0, 1, 2, 3, 4, 5, 6, 7, 8, 9, 10, 11}, 0)),
    IF(
      DATEDIF($B49, TODAY(), "M") + 1 &gt;= COLUMN(H:H) - 5,
      INDEX('Most Recent Import'!$F49:$Q49, 1, MATCH(DATEDIF($B49, TODAY(), "M") + 1 - (COLUMN(H:H) - 5), {0, 1, 2, 3, 4, 5, 6, 7, 8, 9, 10, 11}, 0)),
      ""
    )
  )
</f>
        <v/>
      </c>
      <c r="I49" s="412" t="str">
        <f t="array" ref="I49">IF(
    DATEDIF($B49, TODAY(), "M") &gt;= 11,
    INDEX('Most Recent Import'!$F49:$Q49, 1, MATCH(11 - (COLUMN(I:I) - 5), {0, 1, 2, 3, 4, 5, 6, 7, 8, 9, 10, 11}, 0)),
    IF(
      DATEDIF($B49, TODAY(), "M") + 1 &gt;= COLUMN(I:I) - 5,
      INDEX('Most Recent Import'!$F49:$Q49, 1, MATCH(DATEDIF($B49, TODAY(), "M") + 1 - (COLUMN(I:I) - 5), {0, 1, 2, 3, 4, 5, 6, 7, 8, 9, 10, 11}, 0)),
      ""
    )
  )
</f>
        <v/>
      </c>
      <c r="J49" s="412" t="str">
        <f t="array" ref="J49">IF(
    DATEDIF($B49, TODAY(), "M") &gt;= 11,
    INDEX('Most Recent Import'!$F49:$Q49, 1, MATCH(11 - (COLUMN(J:J) - 5), {0, 1, 2, 3, 4, 5, 6, 7, 8, 9, 10, 11}, 0)),
    IF(
      DATEDIF($B49, TODAY(), "M") + 1 &gt;= COLUMN(J:J) - 5,
      INDEX('Most Recent Import'!$F49:$Q49, 1, MATCH(DATEDIF($B49, TODAY(), "M") + 1 - (COLUMN(J:J) - 5), {0, 1, 2, 3, 4, 5, 6, 7, 8, 9, 10, 11}, 0)),
      ""
    )
  )
</f>
        <v/>
      </c>
      <c r="K49" s="412" t="str">
        <f t="array" ref="K49">IF(
    DATEDIF($B49, TODAY(), "M") &gt;= 11,
    INDEX('Most Recent Import'!$F49:$Q49, 1, MATCH(11 - (COLUMN(K:K) - 5), {0, 1, 2, 3, 4, 5, 6, 7, 8, 9, 10, 11}, 0)),
    IF(
      DATEDIF($B49, TODAY(), "M") + 1 &gt;= COLUMN(K:K) - 5,
      INDEX('Most Recent Import'!$F49:$Q49, 1, MATCH(DATEDIF($B49, TODAY(), "M") + 1 - (COLUMN(K:K) - 5), {0, 1, 2, 3, 4, 5, 6, 7, 8, 9, 10, 11}, 0)),
      ""
    )
  )
</f>
        <v/>
      </c>
      <c r="L49" s="412" t="str">
        <f t="array" ref="L49">IF(
    DATEDIF($B49, TODAY(), "M") &gt;= 11,
    INDEX('Most Recent Import'!$F49:$Q49, 1, MATCH(11 - (COLUMN(L:L) - 5), {0, 1, 2, 3, 4, 5, 6, 7, 8, 9, 10, 11}, 0)),
    IF(
      DATEDIF($B49, TODAY(), "M") + 1 &gt;= COLUMN(L:L) - 5,
      INDEX('Most Recent Import'!$F49:$Q49, 1, MATCH(DATEDIF($B49, TODAY(), "M") + 1 - (COLUMN(L:L) - 5), {0, 1, 2, 3, 4, 5, 6, 7, 8, 9, 10, 11}, 0)),
      ""
    )
  )
</f>
        <v/>
      </c>
      <c r="M49" s="412" t="str">
        <f t="array" ref="M49">IF(
    DATEDIF($B49, TODAY(), "M") &gt;= 11,
    INDEX('Most Recent Import'!$F49:$Q49, 1, MATCH(11 - (COLUMN(M:M) - 5), {0, 1, 2, 3, 4, 5, 6, 7, 8, 9, 10, 11}, 0)),
    IF(
      DATEDIF($B49, TODAY(), "M") + 1 &gt;= COLUMN(M:M) - 5,
      INDEX('Most Recent Import'!$F49:$Q49, 1, MATCH(DATEDIF($B49, TODAY(), "M") + 1 - (COLUMN(M:M) - 5), {0, 1, 2, 3, 4, 5, 6, 7, 8, 9, 10, 11}, 0)),
      ""
    )
  )
</f>
        <v/>
      </c>
      <c r="N49" s="412" t="str">
        <f t="array" ref="N49">IF(
    DATEDIF($B49, TODAY(), "M") &gt;= 11,
    INDEX('Most Recent Import'!$F49:$Q49, 1, MATCH(11 - (COLUMN(N:N) - 5), {0, 1, 2, 3, 4, 5, 6, 7, 8, 9, 10, 11}, 0)),
    IF(
      DATEDIF($B49, TODAY(), "M") + 1 &gt;= COLUMN(N:N) - 5,
      INDEX('Most Recent Import'!$F49:$Q49, 1, MATCH(DATEDIF($B49, TODAY(), "M") + 1 - (COLUMN(N:N) - 5), {0, 1, 2, 3, 4, 5, 6, 7, 8, 9, 10, 11}, 0)),
      ""
    )
  )
</f>
        <v/>
      </c>
      <c r="O49" s="412" t="str">
        <f t="array" ref="O49">IF(
    DATEDIF($B49, TODAY(), "M") &gt;= 11,
    INDEX('Most Recent Import'!$F49:$Q49, 1, MATCH(11 - (COLUMN(O:O) - 5), {0, 1, 2, 3, 4, 5, 6, 7, 8, 9, 10, 11}, 0)),
    IF(
      DATEDIF($B49, TODAY(), "M") + 1 &gt;= COLUMN(O:O) - 5,
      INDEX('Most Recent Import'!$F49:$Q49, 1, MATCH(DATEDIF($B49, TODAY(), "M") + 1 - (COLUMN(O:O) - 5), {0, 1, 2, 3, 4, 5, 6, 7, 8, 9, 10, 11}, 0)),
      ""
    )
  )
</f>
        <v/>
      </c>
      <c r="P49" s="412" t="str">
        <f t="array" ref="P49">IF(
    DATEDIF($B49, TODAY(), "M") &gt;= 11,
    INDEX('Most Recent Import'!$F49:$Q49, 1, MATCH(11 - (COLUMN(P:P) - 5), {0, 1, 2, 3, 4, 5, 6, 7, 8, 9, 10, 11}, 0)),
    IF(
      DATEDIF($B49, TODAY(), "M") + 1 &gt;= COLUMN(P:P) - 5,
      INDEX('Most Recent Import'!$F49:$Q49, 1, MATCH(DATEDIF($B49, TODAY(), "M") + 1 - (COLUMN(P:P) - 5), {0, 1, 2, 3, 4, 5, 6, 7, 8, 9, 10, 11}, 0)),
      ""
    )
  )
</f>
        <v/>
      </c>
    </row>
    <row r="50">
      <c r="A50" s="412" t="str">
        <f>'Most Recent Import'!A50</f>
        <v/>
      </c>
      <c r="B50" s="412" t="str">
        <f>IF(ISBLANK(A50), "", DATE(LEFT('Most Recent Import'!C50, 4), RIGHT('Most Recent Import'!C50, 2), 1))</f>
        <v/>
      </c>
      <c r="C50" s="414" t="str">
        <f>'Most Recent Import'!B50</f>
        <v/>
      </c>
      <c r="D50" s="412" t="str">
        <f>'Most Recent Import'!D50</f>
        <v/>
      </c>
      <c r="E50" s="412" t="str">
        <f t="array" ref="E50">IF(
    DATEDIF($B50, TODAY(), "M") &gt;= 11,
    INDEX('Most Recent Import'!$F50:$Q50, 1, MATCH(11 - (COLUMN(E:E) - 5), {0, 1, 2, 3, 4, 5, 6, 7, 8, 9, 10, 11}, 0)),
    IF(
      DATEDIF($B50, TODAY(), "M") + 1 &gt;= COLUMN(E:E) - 5,
      INDEX('Most Recent Import'!$F50:$Q50, 1, MATCH(DATEDIF($B50, TODAY(), "M") + 1 - (COLUMN(E:E) - 5), {0, 1, 2, 3, 4, 5, 6, 7, 8, 9, 10, 11}, 0)),
      ""
    )
  )
</f>
        <v/>
      </c>
      <c r="F50" s="412" t="str">
        <f t="array" ref="F50">IF(
    DATEDIF($B50, TODAY(), "M") &gt;= 11,
    INDEX('Most Recent Import'!$F50:$Q50, 1, MATCH(11 - (COLUMN(F:F) - 5), {0, 1, 2, 3, 4, 5, 6, 7, 8, 9, 10, 11}, 0)),
    IF(
      DATEDIF($B50, TODAY(), "M") + 1 &gt;= COLUMN(F:F) - 5,
      INDEX('Most Recent Import'!$F50:$Q50, 1, MATCH(DATEDIF($B50, TODAY(), "M") + 1 - (COLUMN(F:F) - 5), {0, 1, 2, 3, 4, 5, 6, 7, 8, 9, 10, 11}, 0)),
      ""
    )
  )
</f>
        <v/>
      </c>
      <c r="G50" s="412" t="str">
        <f t="array" ref="G50">IF(
    DATEDIF($B50, TODAY(), "M") &gt;= 11,
    INDEX('Most Recent Import'!$F50:$Q50, 1, MATCH(11 - (COLUMN(G:G) - 5), {0, 1, 2, 3, 4, 5, 6, 7, 8, 9, 10, 11}, 0)),
    IF(
      DATEDIF($B50, TODAY(), "M") + 1 &gt;= COLUMN(G:G) - 5,
      INDEX('Most Recent Import'!$F50:$Q50, 1, MATCH(DATEDIF($B50, TODAY(), "M") + 1 - (COLUMN(G:G) - 5), {0, 1, 2, 3, 4, 5, 6, 7, 8, 9, 10, 11}, 0)),
      ""
    )
  )
</f>
        <v/>
      </c>
      <c r="H50" s="412" t="str">
        <f t="array" ref="H50">IF(
    DATEDIF($B50, TODAY(), "M") &gt;= 11,
    INDEX('Most Recent Import'!$F50:$Q50, 1, MATCH(11 - (COLUMN(H:H) - 5), {0, 1, 2, 3, 4, 5, 6, 7, 8, 9, 10, 11}, 0)),
    IF(
      DATEDIF($B50, TODAY(), "M") + 1 &gt;= COLUMN(H:H) - 5,
      INDEX('Most Recent Import'!$F50:$Q50, 1, MATCH(DATEDIF($B50, TODAY(), "M") + 1 - (COLUMN(H:H) - 5), {0, 1, 2, 3, 4, 5, 6, 7, 8, 9, 10, 11}, 0)),
      ""
    )
  )
</f>
        <v/>
      </c>
      <c r="I50" s="412" t="str">
        <f t="array" ref="I50">IF(
    DATEDIF($B50, TODAY(), "M") &gt;= 11,
    INDEX('Most Recent Import'!$F50:$Q50, 1, MATCH(11 - (COLUMN(I:I) - 5), {0, 1, 2, 3, 4, 5, 6, 7, 8, 9, 10, 11}, 0)),
    IF(
      DATEDIF($B50, TODAY(), "M") + 1 &gt;= COLUMN(I:I) - 5,
      INDEX('Most Recent Import'!$F50:$Q50, 1, MATCH(DATEDIF($B50, TODAY(), "M") + 1 - (COLUMN(I:I) - 5), {0, 1, 2, 3, 4, 5, 6, 7, 8, 9, 10, 11}, 0)),
      ""
    )
  )
</f>
        <v/>
      </c>
      <c r="J50" s="412" t="str">
        <f t="array" ref="J50">IF(
    DATEDIF($B50, TODAY(), "M") &gt;= 11,
    INDEX('Most Recent Import'!$F50:$Q50, 1, MATCH(11 - (COLUMN(J:J) - 5), {0, 1, 2, 3, 4, 5, 6, 7, 8, 9, 10, 11}, 0)),
    IF(
      DATEDIF($B50, TODAY(), "M") + 1 &gt;= COLUMN(J:J) - 5,
      INDEX('Most Recent Import'!$F50:$Q50, 1, MATCH(DATEDIF($B50, TODAY(), "M") + 1 - (COLUMN(J:J) - 5), {0, 1, 2, 3, 4, 5, 6, 7, 8, 9, 10, 11}, 0)),
      ""
    )
  )
</f>
        <v/>
      </c>
      <c r="K50" s="412" t="str">
        <f t="array" ref="K50">IF(
    DATEDIF($B50, TODAY(), "M") &gt;= 11,
    INDEX('Most Recent Import'!$F50:$Q50, 1, MATCH(11 - (COLUMN(K:K) - 5), {0, 1, 2, 3, 4, 5, 6, 7, 8, 9, 10, 11}, 0)),
    IF(
      DATEDIF($B50, TODAY(), "M") + 1 &gt;= COLUMN(K:K) - 5,
      INDEX('Most Recent Import'!$F50:$Q50, 1, MATCH(DATEDIF($B50, TODAY(), "M") + 1 - (COLUMN(K:K) - 5), {0, 1, 2, 3, 4, 5, 6, 7, 8, 9, 10, 11}, 0)),
      ""
    )
  )
</f>
        <v/>
      </c>
      <c r="L50" s="412" t="str">
        <f t="array" ref="L50">IF(
    DATEDIF($B50, TODAY(), "M") &gt;= 11,
    INDEX('Most Recent Import'!$F50:$Q50, 1, MATCH(11 - (COLUMN(L:L) - 5), {0, 1, 2, 3, 4, 5, 6, 7, 8, 9, 10, 11}, 0)),
    IF(
      DATEDIF($B50, TODAY(), "M") + 1 &gt;= COLUMN(L:L) - 5,
      INDEX('Most Recent Import'!$F50:$Q50, 1, MATCH(DATEDIF($B50, TODAY(), "M") + 1 - (COLUMN(L:L) - 5), {0, 1, 2, 3, 4, 5, 6, 7, 8, 9, 10, 11}, 0)),
      ""
    )
  )
</f>
        <v/>
      </c>
      <c r="M50" s="412" t="str">
        <f t="array" ref="M50">IF(
    DATEDIF($B50, TODAY(), "M") &gt;= 11,
    INDEX('Most Recent Import'!$F50:$Q50, 1, MATCH(11 - (COLUMN(M:M) - 5), {0, 1, 2, 3, 4, 5, 6, 7, 8, 9, 10, 11}, 0)),
    IF(
      DATEDIF($B50, TODAY(), "M") + 1 &gt;= COLUMN(M:M) - 5,
      INDEX('Most Recent Import'!$F50:$Q50, 1, MATCH(DATEDIF($B50, TODAY(), "M") + 1 - (COLUMN(M:M) - 5), {0, 1, 2, 3, 4, 5, 6, 7, 8, 9, 10, 11}, 0)),
      ""
    )
  )
</f>
        <v/>
      </c>
      <c r="N50" s="412" t="str">
        <f t="array" ref="N50">IF(
    DATEDIF($B50, TODAY(), "M") &gt;= 11,
    INDEX('Most Recent Import'!$F50:$Q50, 1, MATCH(11 - (COLUMN(N:N) - 5), {0, 1, 2, 3, 4, 5, 6, 7, 8, 9, 10, 11}, 0)),
    IF(
      DATEDIF($B50, TODAY(), "M") + 1 &gt;= COLUMN(N:N) - 5,
      INDEX('Most Recent Import'!$F50:$Q50, 1, MATCH(DATEDIF($B50, TODAY(), "M") + 1 - (COLUMN(N:N) - 5), {0, 1, 2, 3, 4, 5, 6, 7, 8, 9, 10, 11}, 0)),
      ""
    )
  )
</f>
        <v/>
      </c>
      <c r="O50" s="412" t="str">
        <f t="array" ref="O50">IF(
    DATEDIF($B50, TODAY(), "M") &gt;= 11,
    INDEX('Most Recent Import'!$F50:$Q50, 1, MATCH(11 - (COLUMN(O:O) - 5), {0, 1, 2, 3, 4, 5, 6, 7, 8, 9, 10, 11}, 0)),
    IF(
      DATEDIF($B50, TODAY(), "M") + 1 &gt;= COLUMN(O:O) - 5,
      INDEX('Most Recent Import'!$F50:$Q50, 1, MATCH(DATEDIF($B50, TODAY(), "M") + 1 - (COLUMN(O:O) - 5), {0, 1, 2, 3, 4, 5, 6, 7, 8, 9, 10, 11}, 0)),
      ""
    )
  )
</f>
        <v/>
      </c>
      <c r="P50" s="412" t="str">
        <f t="array" ref="P50">IF(
    DATEDIF($B50, TODAY(), "M") &gt;= 11,
    INDEX('Most Recent Import'!$F50:$Q50, 1, MATCH(11 - (COLUMN(P:P) - 5), {0, 1, 2, 3, 4, 5, 6, 7, 8, 9, 10, 11}, 0)),
    IF(
      DATEDIF($B50, TODAY(), "M") + 1 &gt;= COLUMN(P:P) - 5,
      INDEX('Most Recent Import'!$F50:$Q50, 1, MATCH(DATEDIF($B50, TODAY(), "M") + 1 - (COLUMN(P:P) - 5), {0, 1, 2, 3, 4, 5, 6, 7, 8, 9, 10, 11}, 0)),
      ""
    )
  )
</f>
        <v/>
      </c>
    </row>
    <row r="51">
      <c r="A51" s="412" t="str">
        <f>'Most Recent Import'!A51</f>
        <v/>
      </c>
      <c r="B51" s="412" t="str">
        <f>IF(ISBLANK(A51), "", DATE(LEFT('Most Recent Import'!C51, 4), RIGHT('Most Recent Import'!C51, 2), 1))</f>
        <v/>
      </c>
      <c r="C51" s="414" t="str">
        <f>'Most Recent Import'!B51</f>
        <v/>
      </c>
      <c r="D51" s="412" t="str">
        <f>'Most Recent Import'!D51</f>
        <v/>
      </c>
      <c r="E51" s="412" t="str">
        <f t="array" ref="E51">IF(
    DATEDIF($B51, TODAY(), "M") &gt;= 11,
    INDEX('Most Recent Import'!$F51:$Q51, 1, MATCH(11 - (COLUMN(E:E) - 5), {0, 1, 2, 3, 4, 5, 6, 7, 8, 9, 10, 11}, 0)),
    IF(
      DATEDIF($B51, TODAY(), "M") + 1 &gt;= COLUMN(E:E) - 5,
      INDEX('Most Recent Import'!$F51:$Q51, 1, MATCH(DATEDIF($B51, TODAY(), "M") + 1 - (COLUMN(E:E) - 5), {0, 1, 2, 3, 4, 5, 6, 7, 8, 9, 10, 11}, 0)),
      ""
    )
  )
</f>
        <v/>
      </c>
      <c r="F51" s="412" t="str">
        <f t="array" ref="F51">IF(
    DATEDIF($B51, TODAY(), "M") &gt;= 11,
    INDEX('Most Recent Import'!$F51:$Q51, 1, MATCH(11 - (COLUMN(F:F) - 5), {0, 1, 2, 3, 4, 5, 6, 7, 8, 9, 10, 11}, 0)),
    IF(
      DATEDIF($B51, TODAY(), "M") + 1 &gt;= COLUMN(F:F) - 5,
      INDEX('Most Recent Import'!$F51:$Q51, 1, MATCH(DATEDIF($B51, TODAY(), "M") + 1 - (COLUMN(F:F) - 5), {0, 1, 2, 3, 4, 5, 6, 7, 8, 9, 10, 11}, 0)),
      ""
    )
  )
</f>
        <v/>
      </c>
      <c r="G51" s="412" t="str">
        <f t="array" ref="G51">IF(
    DATEDIF($B51, TODAY(), "M") &gt;= 11,
    INDEX('Most Recent Import'!$F51:$Q51, 1, MATCH(11 - (COLUMN(G:G) - 5), {0, 1, 2, 3, 4, 5, 6, 7, 8, 9, 10, 11}, 0)),
    IF(
      DATEDIF($B51, TODAY(), "M") + 1 &gt;= COLUMN(G:G) - 5,
      INDEX('Most Recent Import'!$F51:$Q51, 1, MATCH(DATEDIF($B51, TODAY(), "M") + 1 - (COLUMN(G:G) - 5), {0, 1, 2, 3, 4, 5, 6, 7, 8, 9, 10, 11}, 0)),
      ""
    )
  )
</f>
        <v/>
      </c>
      <c r="H51" s="412" t="str">
        <f t="array" ref="H51">IF(
    DATEDIF($B51, TODAY(), "M") &gt;= 11,
    INDEX('Most Recent Import'!$F51:$Q51, 1, MATCH(11 - (COLUMN(H:H) - 5), {0, 1, 2, 3, 4, 5, 6, 7, 8, 9, 10, 11}, 0)),
    IF(
      DATEDIF($B51, TODAY(), "M") + 1 &gt;= COLUMN(H:H) - 5,
      INDEX('Most Recent Import'!$F51:$Q51, 1, MATCH(DATEDIF($B51, TODAY(), "M") + 1 - (COLUMN(H:H) - 5), {0, 1, 2, 3, 4, 5, 6, 7, 8, 9, 10, 11}, 0)),
      ""
    )
  )
</f>
        <v/>
      </c>
      <c r="I51" s="412" t="str">
        <f t="array" ref="I51">IF(
    DATEDIF($B51, TODAY(), "M") &gt;= 11,
    INDEX('Most Recent Import'!$F51:$Q51, 1, MATCH(11 - (COLUMN(I:I) - 5), {0, 1, 2, 3, 4, 5, 6, 7, 8, 9, 10, 11}, 0)),
    IF(
      DATEDIF($B51, TODAY(), "M") + 1 &gt;= COLUMN(I:I) - 5,
      INDEX('Most Recent Import'!$F51:$Q51, 1, MATCH(DATEDIF($B51, TODAY(), "M") + 1 - (COLUMN(I:I) - 5), {0, 1, 2, 3, 4, 5, 6, 7, 8, 9, 10, 11}, 0)),
      ""
    )
  )
</f>
        <v/>
      </c>
      <c r="J51" s="412" t="str">
        <f t="array" ref="J51">IF(
    DATEDIF($B51, TODAY(), "M") &gt;= 11,
    INDEX('Most Recent Import'!$F51:$Q51, 1, MATCH(11 - (COLUMN(J:J) - 5), {0, 1, 2, 3, 4, 5, 6, 7, 8, 9, 10, 11}, 0)),
    IF(
      DATEDIF($B51, TODAY(), "M") + 1 &gt;= COLUMN(J:J) - 5,
      INDEX('Most Recent Import'!$F51:$Q51, 1, MATCH(DATEDIF($B51, TODAY(), "M") + 1 - (COLUMN(J:J) - 5), {0, 1, 2, 3, 4, 5, 6, 7, 8, 9, 10, 11}, 0)),
      ""
    )
  )
</f>
        <v/>
      </c>
      <c r="K51" s="412" t="str">
        <f t="array" ref="K51">IF(
    DATEDIF($B51, TODAY(), "M") &gt;= 11,
    INDEX('Most Recent Import'!$F51:$Q51, 1, MATCH(11 - (COLUMN(K:K) - 5), {0, 1, 2, 3, 4, 5, 6, 7, 8, 9, 10, 11}, 0)),
    IF(
      DATEDIF($B51, TODAY(), "M") + 1 &gt;= COLUMN(K:K) - 5,
      INDEX('Most Recent Import'!$F51:$Q51, 1, MATCH(DATEDIF($B51, TODAY(), "M") + 1 - (COLUMN(K:K) - 5), {0, 1, 2, 3, 4, 5, 6, 7, 8, 9, 10, 11}, 0)),
      ""
    )
  )
</f>
        <v/>
      </c>
      <c r="L51" s="412" t="str">
        <f t="array" ref="L51">IF(
    DATEDIF($B51, TODAY(), "M") &gt;= 11,
    INDEX('Most Recent Import'!$F51:$Q51, 1, MATCH(11 - (COLUMN(L:L) - 5), {0, 1, 2, 3, 4, 5, 6, 7, 8, 9, 10, 11}, 0)),
    IF(
      DATEDIF($B51, TODAY(), "M") + 1 &gt;= COLUMN(L:L) - 5,
      INDEX('Most Recent Import'!$F51:$Q51, 1, MATCH(DATEDIF($B51, TODAY(), "M") + 1 - (COLUMN(L:L) - 5), {0, 1, 2, 3, 4, 5, 6, 7, 8, 9, 10, 11}, 0)),
      ""
    )
  )
</f>
        <v/>
      </c>
      <c r="M51" s="412" t="str">
        <f t="array" ref="M51">IF(
    DATEDIF($B51, TODAY(), "M") &gt;= 11,
    INDEX('Most Recent Import'!$F51:$Q51, 1, MATCH(11 - (COLUMN(M:M) - 5), {0, 1, 2, 3, 4, 5, 6, 7, 8, 9, 10, 11}, 0)),
    IF(
      DATEDIF($B51, TODAY(), "M") + 1 &gt;= COLUMN(M:M) - 5,
      INDEX('Most Recent Import'!$F51:$Q51, 1, MATCH(DATEDIF($B51, TODAY(), "M") + 1 - (COLUMN(M:M) - 5), {0, 1, 2, 3, 4, 5, 6, 7, 8, 9, 10, 11}, 0)),
      ""
    )
  )
</f>
        <v/>
      </c>
      <c r="N51" s="412" t="str">
        <f t="array" ref="N51">IF(
    DATEDIF($B51, TODAY(), "M") &gt;= 11,
    INDEX('Most Recent Import'!$F51:$Q51, 1, MATCH(11 - (COLUMN(N:N) - 5), {0, 1, 2, 3, 4, 5, 6, 7, 8, 9, 10, 11}, 0)),
    IF(
      DATEDIF($B51, TODAY(), "M") + 1 &gt;= COLUMN(N:N) - 5,
      INDEX('Most Recent Import'!$F51:$Q51, 1, MATCH(DATEDIF($B51, TODAY(), "M") + 1 - (COLUMN(N:N) - 5), {0, 1, 2, 3, 4, 5, 6, 7, 8, 9, 10, 11}, 0)),
      ""
    )
  )
</f>
        <v/>
      </c>
      <c r="O51" s="412" t="str">
        <f t="array" ref="O51">IF(
    DATEDIF($B51, TODAY(), "M") &gt;= 11,
    INDEX('Most Recent Import'!$F51:$Q51, 1, MATCH(11 - (COLUMN(O:O) - 5), {0, 1, 2, 3, 4, 5, 6, 7, 8, 9, 10, 11}, 0)),
    IF(
      DATEDIF($B51, TODAY(), "M") + 1 &gt;= COLUMN(O:O) - 5,
      INDEX('Most Recent Import'!$F51:$Q51, 1, MATCH(DATEDIF($B51, TODAY(), "M") + 1 - (COLUMN(O:O) - 5), {0, 1, 2, 3, 4, 5, 6, 7, 8, 9, 10, 11}, 0)),
      ""
    )
  )
</f>
        <v/>
      </c>
      <c r="P51" s="412" t="str">
        <f t="array" ref="P51">IF(
    DATEDIF($B51, TODAY(), "M") &gt;= 11,
    INDEX('Most Recent Import'!$F51:$Q51, 1, MATCH(11 - (COLUMN(P:P) - 5), {0, 1, 2, 3, 4, 5, 6, 7, 8, 9, 10, 11}, 0)),
    IF(
      DATEDIF($B51, TODAY(), "M") + 1 &gt;= COLUMN(P:P) - 5,
      INDEX('Most Recent Import'!$F51:$Q51, 1, MATCH(DATEDIF($B51, TODAY(), "M") + 1 - (COLUMN(P:P) - 5), {0, 1, 2, 3, 4, 5, 6, 7, 8, 9, 10, 11}, 0)),
      ""
    )
  )
</f>
        <v/>
      </c>
    </row>
    <row r="52">
      <c r="A52" s="412" t="str">
        <f>'Most Recent Import'!A52</f>
        <v/>
      </c>
      <c r="B52" s="412" t="str">
        <f>IF(ISBLANK(A52), "", DATE(LEFT('Most Recent Import'!C52, 4), RIGHT('Most Recent Import'!C52, 2), 1))</f>
        <v/>
      </c>
      <c r="C52" s="414" t="str">
        <f>'Most Recent Import'!B52</f>
        <v/>
      </c>
      <c r="D52" s="412" t="str">
        <f>'Most Recent Import'!D52</f>
        <v/>
      </c>
      <c r="E52" s="412" t="str">
        <f t="array" ref="E52">IF(
    DATEDIF($B52, TODAY(), "M") &gt;= 11,
    INDEX('Most Recent Import'!$F52:$Q52, 1, MATCH(11 - (COLUMN(E:E) - 5), {0, 1, 2, 3, 4, 5, 6, 7, 8, 9, 10, 11}, 0)),
    IF(
      DATEDIF($B52, TODAY(), "M") + 1 &gt;= COLUMN(E:E) - 5,
      INDEX('Most Recent Import'!$F52:$Q52, 1, MATCH(DATEDIF($B52, TODAY(), "M") + 1 - (COLUMN(E:E) - 5), {0, 1, 2, 3, 4, 5, 6, 7, 8, 9, 10, 11}, 0)),
      ""
    )
  )
</f>
        <v/>
      </c>
      <c r="F52" s="412" t="str">
        <f t="array" ref="F52">IF(
    DATEDIF($B52, TODAY(), "M") &gt;= 11,
    INDEX('Most Recent Import'!$F52:$Q52, 1, MATCH(11 - (COLUMN(F:F) - 5), {0, 1, 2, 3, 4, 5, 6, 7, 8, 9, 10, 11}, 0)),
    IF(
      DATEDIF($B52, TODAY(), "M") + 1 &gt;= COLUMN(F:F) - 5,
      INDEX('Most Recent Import'!$F52:$Q52, 1, MATCH(DATEDIF($B52, TODAY(), "M") + 1 - (COLUMN(F:F) - 5), {0, 1, 2, 3, 4, 5, 6, 7, 8, 9, 10, 11}, 0)),
      ""
    )
  )
</f>
        <v/>
      </c>
      <c r="G52" s="412" t="str">
        <f t="array" ref="G52">IF(
    DATEDIF($B52, TODAY(), "M") &gt;= 11,
    INDEX('Most Recent Import'!$F52:$Q52, 1, MATCH(11 - (COLUMN(G:G) - 5), {0, 1, 2, 3, 4, 5, 6, 7, 8, 9, 10, 11}, 0)),
    IF(
      DATEDIF($B52, TODAY(), "M") + 1 &gt;= COLUMN(G:G) - 5,
      INDEX('Most Recent Import'!$F52:$Q52, 1, MATCH(DATEDIF($B52, TODAY(), "M") + 1 - (COLUMN(G:G) - 5), {0, 1, 2, 3, 4, 5, 6, 7, 8, 9, 10, 11}, 0)),
      ""
    )
  )
</f>
        <v/>
      </c>
      <c r="H52" s="412" t="str">
        <f t="array" ref="H52">IF(
    DATEDIF($B52, TODAY(), "M") &gt;= 11,
    INDEX('Most Recent Import'!$F52:$Q52, 1, MATCH(11 - (COLUMN(H:H) - 5), {0, 1, 2, 3, 4, 5, 6, 7, 8, 9, 10, 11}, 0)),
    IF(
      DATEDIF($B52, TODAY(), "M") + 1 &gt;= COLUMN(H:H) - 5,
      INDEX('Most Recent Import'!$F52:$Q52, 1, MATCH(DATEDIF($B52, TODAY(), "M") + 1 - (COLUMN(H:H) - 5), {0, 1, 2, 3, 4, 5, 6, 7, 8, 9, 10, 11}, 0)),
      ""
    )
  )
</f>
        <v/>
      </c>
      <c r="I52" s="412" t="str">
        <f t="array" ref="I52">IF(
    DATEDIF($B52, TODAY(), "M") &gt;= 11,
    INDEX('Most Recent Import'!$F52:$Q52, 1, MATCH(11 - (COLUMN(I:I) - 5), {0, 1, 2, 3, 4, 5, 6, 7, 8, 9, 10, 11}, 0)),
    IF(
      DATEDIF($B52, TODAY(), "M") + 1 &gt;= COLUMN(I:I) - 5,
      INDEX('Most Recent Import'!$F52:$Q52, 1, MATCH(DATEDIF($B52, TODAY(), "M") + 1 - (COLUMN(I:I) - 5), {0, 1, 2, 3, 4, 5, 6, 7, 8, 9, 10, 11}, 0)),
      ""
    )
  )
</f>
        <v/>
      </c>
      <c r="J52" s="412" t="str">
        <f t="array" ref="J52">IF(
    DATEDIF($B52, TODAY(), "M") &gt;= 11,
    INDEX('Most Recent Import'!$F52:$Q52, 1, MATCH(11 - (COLUMN(J:J) - 5), {0, 1, 2, 3, 4, 5, 6, 7, 8, 9, 10, 11}, 0)),
    IF(
      DATEDIF($B52, TODAY(), "M") + 1 &gt;= COLUMN(J:J) - 5,
      INDEX('Most Recent Import'!$F52:$Q52, 1, MATCH(DATEDIF($B52, TODAY(), "M") + 1 - (COLUMN(J:J) - 5), {0, 1, 2, 3, 4, 5, 6, 7, 8, 9, 10, 11}, 0)),
      ""
    )
  )
</f>
        <v/>
      </c>
      <c r="K52" s="412" t="str">
        <f t="array" ref="K52">IF(
    DATEDIF($B52, TODAY(), "M") &gt;= 11,
    INDEX('Most Recent Import'!$F52:$Q52, 1, MATCH(11 - (COLUMN(K:K) - 5), {0, 1, 2, 3, 4, 5, 6, 7, 8, 9, 10, 11}, 0)),
    IF(
      DATEDIF($B52, TODAY(), "M") + 1 &gt;= COLUMN(K:K) - 5,
      INDEX('Most Recent Import'!$F52:$Q52, 1, MATCH(DATEDIF($B52, TODAY(), "M") + 1 - (COLUMN(K:K) - 5), {0, 1, 2, 3, 4, 5, 6, 7, 8, 9, 10, 11}, 0)),
      ""
    )
  )
</f>
        <v/>
      </c>
      <c r="L52" s="412" t="str">
        <f t="array" ref="L52">IF(
    DATEDIF($B52, TODAY(), "M") &gt;= 11,
    INDEX('Most Recent Import'!$F52:$Q52, 1, MATCH(11 - (COLUMN(L:L) - 5), {0, 1, 2, 3, 4, 5, 6, 7, 8, 9, 10, 11}, 0)),
    IF(
      DATEDIF($B52, TODAY(), "M") + 1 &gt;= COLUMN(L:L) - 5,
      INDEX('Most Recent Import'!$F52:$Q52, 1, MATCH(DATEDIF($B52, TODAY(), "M") + 1 - (COLUMN(L:L) - 5), {0, 1, 2, 3, 4, 5, 6, 7, 8, 9, 10, 11}, 0)),
      ""
    )
  )
</f>
        <v/>
      </c>
      <c r="M52" s="412" t="str">
        <f t="array" ref="M52">IF(
    DATEDIF($B52, TODAY(), "M") &gt;= 11,
    INDEX('Most Recent Import'!$F52:$Q52, 1, MATCH(11 - (COLUMN(M:M) - 5), {0, 1, 2, 3, 4, 5, 6, 7, 8, 9, 10, 11}, 0)),
    IF(
      DATEDIF($B52, TODAY(), "M") + 1 &gt;= COLUMN(M:M) - 5,
      INDEX('Most Recent Import'!$F52:$Q52, 1, MATCH(DATEDIF($B52, TODAY(), "M") + 1 - (COLUMN(M:M) - 5), {0, 1, 2, 3, 4, 5, 6, 7, 8, 9, 10, 11}, 0)),
      ""
    )
  )
</f>
        <v/>
      </c>
      <c r="N52" s="412" t="str">
        <f t="array" ref="N52">IF(
    DATEDIF($B52, TODAY(), "M") &gt;= 11,
    INDEX('Most Recent Import'!$F52:$Q52, 1, MATCH(11 - (COLUMN(N:N) - 5), {0, 1, 2, 3, 4, 5, 6, 7, 8, 9, 10, 11}, 0)),
    IF(
      DATEDIF($B52, TODAY(), "M") + 1 &gt;= COLUMN(N:N) - 5,
      INDEX('Most Recent Import'!$F52:$Q52, 1, MATCH(DATEDIF($B52, TODAY(), "M") + 1 - (COLUMN(N:N) - 5), {0, 1, 2, 3, 4, 5, 6, 7, 8, 9, 10, 11}, 0)),
      ""
    )
  )
</f>
        <v/>
      </c>
      <c r="O52" s="412" t="str">
        <f t="array" ref="O52">IF(
    DATEDIF($B52, TODAY(), "M") &gt;= 11,
    INDEX('Most Recent Import'!$F52:$Q52, 1, MATCH(11 - (COLUMN(O:O) - 5), {0, 1, 2, 3, 4, 5, 6, 7, 8, 9, 10, 11}, 0)),
    IF(
      DATEDIF($B52, TODAY(), "M") + 1 &gt;= COLUMN(O:O) - 5,
      INDEX('Most Recent Import'!$F52:$Q52, 1, MATCH(DATEDIF($B52, TODAY(), "M") + 1 - (COLUMN(O:O) - 5), {0, 1, 2, 3, 4, 5, 6, 7, 8, 9, 10, 11}, 0)),
      ""
    )
  )
</f>
        <v/>
      </c>
      <c r="P52" s="412" t="str">
        <f t="array" ref="P52">IF(
    DATEDIF($B52, TODAY(), "M") &gt;= 11,
    INDEX('Most Recent Import'!$F52:$Q52, 1, MATCH(11 - (COLUMN(P:P) - 5), {0, 1, 2, 3, 4, 5, 6, 7, 8, 9, 10, 11}, 0)),
    IF(
      DATEDIF($B52, TODAY(), "M") + 1 &gt;= COLUMN(P:P) - 5,
      INDEX('Most Recent Import'!$F52:$Q52, 1, MATCH(DATEDIF($B52, TODAY(), "M") + 1 - (COLUMN(P:P) - 5), {0, 1, 2, 3, 4, 5, 6, 7, 8, 9, 10, 11}, 0)),
      ""
    )
  )
</f>
        <v/>
      </c>
    </row>
    <row r="53">
      <c r="A53" s="412" t="str">
        <f>'Most Recent Import'!A53</f>
        <v/>
      </c>
      <c r="B53" s="412" t="str">
        <f>IF(ISBLANK(A53), "", DATE(LEFT('Most Recent Import'!C53, 4), RIGHT('Most Recent Import'!C53, 2), 1))</f>
        <v/>
      </c>
      <c r="C53" s="414" t="str">
        <f>'Most Recent Import'!B53</f>
        <v/>
      </c>
      <c r="D53" s="412" t="str">
        <f>'Most Recent Import'!D53</f>
        <v/>
      </c>
      <c r="E53" s="412" t="str">
        <f t="array" ref="E53">IF(
    DATEDIF($B53, TODAY(), "M") &gt;= 11,
    INDEX('Most Recent Import'!$F53:$Q53, 1, MATCH(11 - (COLUMN(E:E) - 5), {0, 1, 2, 3, 4, 5, 6, 7, 8, 9, 10, 11}, 0)),
    IF(
      DATEDIF($B53, TODAY(), "M") + 1 &gt;= COLUMN(E:E) - 5,
      INDEX('Most Recent Import'!$F53:$Q53, 1, MATCH(DATEDIF($B53, TODAY(), "M") + 1 - (COLUMN(E:E) - 5), {0, 1, 2, 3, 4, 5, 6, 7, 8, 9, 10, 11}, 0)),
      ""
    )
  )
</f>
        <v/>
      </c>
      <c r="F53" s="412" t="str">
        <f t="array" ref="F53">IF(
    DATEDIF($B53, TODAY(), "M") &gt;= 11,
    INDEX('Most Recent Import'!$F53:$Q53, 1, MATCH(11 - (COLUMN(F:F) - 5), {0, 1, 2, 3, 4, 5, 6, 7, 8, 9, 10, 11}, 0)),
    IF(
      DATEDIF($B53, TODAY(), "M") + 1 &gt;= COLUMN(F:F) - 5,
      INDEX('Most Recent Import'!$F53:$Q53, 1, MATCH(DATEDIF($B53, TODAY(), "M") + 1 - (COLUMN(F:F) - 5), {0, 1, 2, 3, 4, 5, 6, 7, 8, 9, 10, 11}, 0)),
      ""
    )
  )
</f>
        <v/>
      </c>
      <c r="G53" s="412" t="str">
        <f t="array" ref="G53">IF(
    DATEDIF($B53, TODAY(), "M") &gt;= 11,
    INDEX('Most Recent Import'!$F53:$Q53, 1, MATCH(11 - (COLUMN(G:G) - 5), {0, 1, 2, 3, 4, 5, 6, 7, 8, 9, 10, 11}, 0)),
    IF(
      DATEDIF($B53, TODAY(), "M") + 1 &gt;= COLUMN(G:G) - 5,
      INDEX('Most Recent Import'!$F53:$Q53, 1, MATCH(DATEDIF($B53, TODAY(), "M") + 1 - (COLUMN(G:G) - 5), {0, 1, 2, 3, 4, 5, 6, 7, 8, 9, 10, 11}, 0)),
      ""
    )
  )
</f>
        <v/>
      </c>
      <c r="H53" s="412" t="str">
        <f t="array" ref="H53">IF(
    DATEDIF($B53, TODAY(), "M") &gt;= 11,
    INDEX('Most Recent Import'!$F53:$Q53, 1, MATCH(11 - (COLUMN(H:H) - 5), {0, 1, 2, 3, 4, 5, 6, 7, 8, 9, 10, 11}, 0)),
    IF(
      DATEDIF($B53, TODAY(), "M") + 1 &gt;= COLUMN(H:H) - 5,
      INDEX('Most Recent Import'!$F53:$Q53, 1, MATCH(DATEDIF($B53, TODAY(), "M") + 1 - (COLUMN(H:H) - 5), {0, 1, 2, 3, 4, 5, 6, 7, 8, 9, 10, 11}, 0)),
      ""
    )
  )
</f>
        <v/>
      </c>
      <c r="I53" s="412" t="str">
        <f t="array" ref="I53">IF(
    DATEDIF($B53, TODAY(), "M") &gt;= 11,
    INDEX('Most Recent Import'!$F53:$Q53, 1, MATCH(11 - (COLUMN(I:I) - 5), {0, 1, 2, 3, 4, 5, 6, 7, 8, 9, 10, 11}, 0)),
    IF(
      DATEDIF($B53, TODAY(), "M") + 1 &gt;= COLUMN(I:I) - 5,
      INDEX('Most Recent Import'!$F53:$Q53, 1, MATCH(DATEDIF($B53, TODAY(), "M") + 1 - (COLUMN(I:I) - 5), {0, 1, 2, 3, 4, 5, 6, 7, 8, 9, 10, 11}, 0)),
      ""
    )
  )
</f>
        <v/>
      </c>
      <c r="J53" s="412" t="str">
        <f t="array" ref="J53">IF(
    DATEDIF($B53, TODAY(), "M") &gt;= 11,
    INDEX('Most Recent Import'!$F53:$Q53, 1, MATCH(11 - (COLUMN(J:J) - 5), {0, 1, 2, 3, 4, 5, 6, 7, 8, 9, 10, 11}, 0)),
    IF(
      DATEDIF($B53, TODAY(), "M") + 1 &gt;= COLUMN(J:J) - 5,
      INDEX('Most Recent Import'!$F53:$Q53, 1, MATCH(DATEDIF($B53, TODAY(), "M") + 1 - (COLUMN(J:J) - 5), {0, 1, 2, 3, 4, 5, 6, 7, 8, 9, 10, 11}, 0)),
      ""
    )
  )
</f>
        <v/>
      </c>
      <c r="K53" s="412" t="str">
        <f t="array" ref="K53">IF(
    DATEDIF($B53, TODAY(), "M") &gt;= 11,
    INDEX('Most Recent Import'!$F53:$Q53, 1, MATCH(11 - (COLUMN(K:K) - 5), {0, 1, 2, 3, 4, 5, 6, 7, 8, 9, 10, 11}, 0)),
    IF(
      DATEDIF($B53, TODAY(), "M") + 1 &gt;= COLUMN(K:K) - 5,
      INDEX('Most Recent Import'!$F53:$Q53, 1, MATCH(DATEDIF($B53, TODAY(), "M") + 1 - (COLUMN(K:K) - 5), {0, 1, 2, 3, 4, 5, 6, 7, 8, 9, 10, 11}, 0)),
      ""
    )
  )
</f>
        <v/>
      </c>
      <c r="L53" s="412" t="str">
        <f t="array" ref="L53">IF(
    DATEDIF($B53, TODAY(), "M") &gt;= 11,
    INDEX('Most Recent Import'!$F53:$Q53, 1, MATCH(11 - (COLUMN(L:L) - 5), {0, 1, 2, 3, 4, 5, 6, 7, 8, 9, 10, 11}, 0)),
    IF(
      DATEDIF($B53, TODAY(), "M") + 1 &gt;= COLUMN(L:L) - 5,
      INDEX('Most Recent Import'!$F53:$Q53, 1, MATCH(DATEDIF($B53, TODAY(), "M") + 1 - (COLUMN(L:L) - 5), {0, 1, 2, 3, 4, 5, 6, 7, 8, 9, 10, 11}, 0)),
      ""
    )
  )
</f>
        <v/>
      </c>
      <c r="M53" s="412" t="str">
        <f t="array" ref="M53">IF(
    DATEDIF($B53, TODAY(), "M") &gt;= 11,
    INDEX('Most Recent Import'!$F53:$Q53, 1, MATCH(11 - (COLUMN(M:M) - 5), {0, 1, 2, 3, 4, 5, 6, 7, 8, 9, 10, 11}, 0)),
    IF(
      DATEDIF($B53, TODAY(), "M") + 1 &gt;= COLUMN(M:M) - 5,
      INDEX('Most Recent Import'!$F53:$Q53, 1, MATCH(DATEDIF($B53, TODAY(), "M") + 1 - (COLUMN(M:M) - 5), {0, 1, 2, 3, 4, 5, 6, 7, 8, 9, 10, 11}, 0)),
      ""
    )
  )
</f>
        <v/>
      </c>
      <c r="N53" s="412" t="str">
        <f t="array" ref="N53">IF(
    DATEDIF($B53, TODAY(), "M") &gt;= 11,
    INDEX('Most Recent Import'!$F53:$Q53, 1, MATCH(11 - (COLUMN(N:N) - 5), {0, 1, 2, 3, 4, 5, 6, 7, 8, 9, 10, 11}, 0)),
    IF(
      DATEDIF($B53, TODAY(), "M") + 1 &gt;= COLUMN(N:N) - 5,
      INDEX('Most Recent Import'!$F53:$Q53, 1, MATCH(DATEDIF($B53, TODAY(), "M") + 1 - (COLUMN(N:N) - 5), {0, 1, 2, 3, 4, 5, 6, 7, 8, 9, 10, 11}, 0)),
      ""
    )
  )
</f>
        <v/>
      </c>
      <c r="O53" s="412" t="str">
        <f t="array" ref="O53">IF(
    DATEDIF($B53, TODAY(), "M") &gt;= 11,
    INDEX('Most Recent Import'!$F53:$Q53, 1, MATCH(11 - (COLUMN(O:O) - 5), {0, 1, 2, 3, 4, 5, 6, 7, 8, 9, 10, 11}, 0)),
    IF(
      DATEDIF($B53, TODAY(), "M") + 1 &gt;= COLUMN(O:O) - 5,
      INDEX('Most Recent Import'!$F53:$Q53, 1, MATCH(DATEDIF($B53, TODAY(), "M") + 1 - (COLUMN(O:O) - 5), {0, 1, 2, 3, 4, 5, 6, 7, 8, 9, 10, 11}, 0)),
      ""
    )
  )
</f>
        <v/>
      </c>
      <c r="P53" s="412" t="str">
        <f t="array" ref="P53">IF(
    DATEDIF($B53, TODAY(), "M") &gt;= 11,
    INDEX('Most Recent Import'!$F53:$Q53, 1, MATCH(11 - (COLUMN(P:P) - 5), {0, 1, 2, 3, 4, 5, 6, 7, 8, 9, 10, 11}, 0)),
    IF(
      DATEDIF($B53, TODAY(), "M") + 1 &gt;= COLUMN(P:P) - 5,
      INDEX('Most Recent Import'!$F53:$Q53, 1, MATCH(DATEDIF($B53, TODAY(), "M") + 1 - (COLUMN(P:P) - 5), {0, 1, 2, 3, 4, 5, 6, 7, 8, 9, 10, 11}, 0)),
      ""
    )
  )
</f>
        <v/>
      </c>
    </row>
    <row r="54">
      <c r="A54" s="412" t="str">
        <f>'Most Recent Import'!A54</f>
        <v/>
      </c>
      <c r="B54" s="412" t="str">
        <f>IF(ISBLANK(A54), "", DATE(LEFT('Most Recent Import'!C54, 4), RIGHT('Most Recent Import'!C54, 2), 1))</f>
        <v/>
      </c>
      <c r="C54" s="414" t="str">
        <f>'Most Recent Import'!B54</f>
        <v/>
      </c>
      <c r="D54" s="412" t="str">
        <f>'Most Recent Import'!D54</f>
        <v/>
      </c>
      <c r="E54" s="412" t="str">
        <f t="array" ref="E54">IF(
    DATEDIF($B54, TODAY(), "M") &gt;= 11,
    INDEX('Most Recent Import'!$F54:$Q54, 1, MATCH(11 - (COLUMN(E:E) - 5), {0, 1, 2, 3, 4, 5, 6, 7, 8, 9, 10, 11}, 0)),
    IF(
      DATEDIF($B54, TODAY(), "M") + 1 &gt;= COLUMN(E:E) - 5,
      INDEX('Most Recent Import'!$F54:$Q54, 1, MATCH(DATEDIF($B54, TODAY(), "M") + 1 - (COLUMN(E:E) - 5), {0, 1, 2, 3, 4, 5, 6, 7, 8, 9, 10, 11}, 0)),
      ""
    )
  )
</f>
        <v/>
      </c>
      <c r="F54" s="412" t="str">
        <f t="array" ref="F54">IF(
    DATEDIF($B54, TODAY(), "M") &gt;= 11,
    INDEX('Most Recent Import'!$F54:$Q54, 1, MATCH(11 - (COLUMN(F:F) - 5), {0, 1, 2, 3, 4, 5, 6, 7, 8, 9, 10, 11}, 0)),
    IF(
      DATEDIF($B54, TODAY(), "M") + 1 &gt;= COLUMN(F:F) - 5,
      INDEX('Most Recent Import'!$F54:$Q54, 1, MATCH(DATEDIF($B54, TODAY(), "M") + 1 - (COLUMN(F:F) - 5), {0, 1, 2, 3, 4, 5, 6, 7, 8, 9, 10, 11}, 0)),
      ""
    )
  )
</f>
        <v/>
      </c>
      <c r="G54" s="412" t="str">
        <f t="array" ref="G54">IF(
    DATEDIF($B54, TODAY(), "M") &gt;= 11,
    INDEX('Most Recent Import'!$F54:$Q54, 1, MATCH(11 - (COLUMN(G:G) - 5), {0, 1, 2, 3, 4, 5, 6, 7, 8, 9, 10, 11}, 0)),
    IF(
      DATEDIF($B54, TODAY(), "M") + 1 &gt;= COLUMN(G:G) - 5,
      INDEX('Most Recent Import'!$F54:$Q54, 1, MATCH(DATEDIF($B54, TODAY(), "M") + 1 - (COLUMN(G:G) - 5), {0, 1, 2, 3, 4, 5, 6, 7, 8, 9, 10, 11}, 0)),
      ""
    )
  )
</f>
        <v/>
      </c>
      <c r="H54" s="412" t="str">
        <f t="array" ref="H54">IF(
    DATEDIF($B54, TODAY(), "M") &gt;= 11,
    INDEX('Most Recent Import'!$F54:$Q54, 1, MATCH(11 - (COLUMN(H:H) - 5), {0, 1, 2, 3, 4, 5, 6, 7, 8, 9, 10, 11}, 0)),
    IF(
      DATEDIF($B54, TODAY(), "M") + 1 &gt;= COLUMN(H:H) - 5,
      INDEX('Most Recent Import'!$F54:$Q54, 1, MATCH(DATEDIF($B54, TODAY(), "M") + 1 - (COLUMN(H:H) - 5), {0, 1, 2, 3, 4, 5, 6, 7, 8, 9, 10, 11}, 0)),
      ""
    )
  )
</f>
        <v/>
      </c>
      <c r="I54" s="412" t="str">
        <f t="array" ref="I54">IF(
    DATEDIF($B54, TODAY(), "M") &gt;= 11,
    INDEX('Most Recent Import'!$F54:$Q54, 1, MATCH(11 - (COLUMN(I:I) - 5), {0, 1, 2, 3, 4, 5, 6, 7, 8, 9, 10, 11}, 0)),
    IF(
      DATEDIF($B54, TODAY(), "M") + 1 &gt;= COLUMN(I:I) - 5,
      INDEX('Most Recent Import'!$F54:$Q54, 1, MATCH(DATEDIF($B54, TODAY(), "M") + 1 - (COLUMN(I:I) - 5), {0, 1, 2, 3, 4, 5, 6, 7, 8, 9, 10, 11}, 0)),
      ""
    )
  )
</f>
        <v/>
      </c>
      <c r="J54" s="412" t="str">
        <f t="array" ref="J54">IF(
    DATEDIF($B54, TODAY(), "M") &gt;= 11,
    INDEX('Most Recent Import'!$F54:$Q54, 1, MATCH(11 - (COLUMN(J:J) - 5), {0, 1, 2, 3, 4, 5, 6, 7, 8, 9, 10, 11}, 0)),
    IF(
      DATEDIF($B54, TODAY(), "M") + 1 &gt;= COLUMN(J:J) - 5,
      INDEX('Most Recent Import'!$F54:$Q54, 1, MATCH(DATEDIF($B54, TODAY(), "M") + 1 - (COLUMN(J:J) - 5), {0, 1, 2, 3, 4, 5, 6, 7, 8, 9, 10, 11}, 0)),
      ""
    )
  )
</f>
        <v/>
      </c>
      <c r="K54" s="412" t="str">
        <f t="array" ref="K54">IF(
    DATEDIF($B54, TODAY(), "M") &gt;= 11,
    INDEX('Most Recent Import'!$F54:$Q54, 1, MATCH(11 - (COLUMN(K:K) - 5), {0, 1, 2, 3, 4, 5, 6, 7, 8, 9, 10, 11}, 0)),
    IF(
      DATEDIF($B54, TODAY(), "M") + 1 &gt;= COLUMN(K:K) - 5,
      INDEX('Most Recent Import'!$F54:$Q54, 1, MATCH(DATEDIF($B54, TODAY(), "M") + 1 - (COLUMN(K:K) - 5), {0, 1, 2, 3, 4, 5, 6, 7, 8, 9, 10, 11}, 0)),
      ""
    )
  )
</f>
        <v/>
      </c>
      <c r="L54" s="412" t="str">
        <f t="array" ref="L54">IF(
    DATEDIF($B54, TODAY(), "M") &gt;= 11,
    INDEX('Most Recent Import'!$F54:$Q54, 1, MATCH(11 - (COLUMN(L:L) - 5), {0, 1, 2, 3, 4, 5, 6, 7, 8, 9, 10, 11}, 0)),
    IF(
      DATEDIF($B54, TODAY(), "M") + 1 &gt;= COLUMN(L:L) - 5,
      INDEX('Most Recent Import'!$F54:$Q54, 1, MATCH(DATEDIF($B54, TODAY(), "M") + 1 - (COLUMN(L:L) - 5), {0, 1, 2, 3, 4, 5, 6, 7, 8, 9, 10, 11}, 0)),
      ""
    )
  )
</f>
        <v/>
      </c>
      <c r="M54" s="412" t="str">
        <f t="array" ref="M54">IF(
    DATEDIF($B54, TODAY(), "M") &gt;= 11,
    INDEX('Most Recent Import'!$F54:$Q54, 1, MATCH(11 - (COLUMN(M:M) - 5), {0, 1, 2, 3, 4, 5, 6, 7, 8, 9, 10, 11}, 0)),
    IF(
      DATEDIF($B54, TODAY(), "M") + 1 &gt;= COLUMN(M:M) - 5,
      INDEX('Most Recent Import'!$F54:$Q54, 1, MATCH(DATEDIF($B54, TODAY(), "M") + 1 - (COLUMN(M:M) - 5), {0, 1, 2, 3, 4, 5, 6, 7, 8, 9, 10, 11}, 0)),
      ""
    )
  )
</f>
        <v/>
      </c>
      <c r="N54" s="412" t="str">
        <f t="array" ref="N54">IF(
    DATEDIF($B54, TODAY(), "M") &gt;= 11,
    INDEX('Most Recent Import'!$F54:$Q54, 1, MATCH(11 - (COLUMN(N:N) - 5), {0, 1, 2, 3, 4, 5, 6, 7, 8, 9, 10, 11}, 0)),
    IF(
      DATEDIF($B54, TODAY(), "M") + 1 &gt;= COLUMN(N:N) - 5,
      INDEX('Most Recent Import'!$F54:$Q54, 1, MATCH(DATEDIF($B54, TODAY(), "M") + 1 - (COLUMN(N:N) - 5), {0, 1, 2, 3, 4, 5, 6, 7, 8, 9, 10, 11}, 0)),
      ""
    )
  )
</f>
        <v/>
      </c>
      <c r="O54" s="412" t="str">
        <f t="array" ref="O54">IF(
    DATEDIF($B54, TODAY(), "M") &gt;= 11,
    INDEX('Most Recent Import'!$F54:$Q54, 1, MATCH(11 - (COLUMN(O:O) - 5), {0, 1, 2, 3, 4, 5, 6, 7, 8, 9, 10, 11}, 0)),
    IF(
      DATEDIF($B54, TODAY(), "M") + 1 &gt;= COLUMN(O:O) - 5,
      INDEX('Most Recent Import'!$F54:$Q54, 1, MATCH(DATEDIF($B54, TODAY(), "M") + 1 - (COLUMN(O:O) - 5), {0, 1, 2, 3, 4, 5, 6, 7, 8, 9, 10, 11}, 0)),
      ""
    )
  )
</f>
        <v/>
      </c>
      <c r="P54" s="412" t="str">
        <f t="array" ref="P54">IF(
    DATEDIF($B54, TODAY(), "M") &gt;= 11,
    INDEX('Most Recent Import'!$F54:$Q54, 1, MATCH(11 - (COLUMN(P:P) - 5), {0, 1, 2, 3, 4, 5, 6, 7, 8, 9, 10, 11}, 0)),
    IF(
      DATEDIF($B54, TODAY(), "M") + 1 &gt;= COLUMN(P:P) - 5,
      INDEX('Most Recent Import'!$F54:$Q54, 1, MATCH(DATEDIF($B54, TODAY(), "M") + 1 - (COLUMN(P:P) - 5), {0, 1, 2, 3, 4, 5, 6, 7, 8, 9, 10, 11}, 0)),
      ""
    )
  )
</f>
        <v/>
      </c>
    </row>
    <row r="55">
      <c r="A55" s="412" t="str">
        <f>'Most Recent Import'!A55</f>
        <v/>
      </c>
      <c r="B55" s="412" t="str">
        <f>IF(ISBLANK(A55), "", DATE(LEFT('Most Recent Import'!C55, 4), RIGHT('Most Recent Import'!C55, 2), 1))</f>
        <v/>
      </c>
      <c r="C55" s="414" t="str">
        <f>'Most Recent Import'!B55</f>
        <v/>
      </c>
      <c r="D55" s="412" t="str">
        <f>'Most Recent Import'!D55</f>
        <v/>
      </c>
      <c r="E55" s="412" t="str">
        <f t="array" ref="E55">IF(
    DATEDIF($B55, TODAY(), "M") &gt;= 11,
    INDEX('Most Recent Import'!$F55:$Q55, 1, MATCH(11 - (COLUMN(E:E) - 5), {0, 1, 2, 3, 4, 5, 6, 7, 8, 9, 10, 11}, 0)),
    IF(
      DATEDIF($B55, TODAY(), "M") + 1 &gt;= COLUMN(E:E) - 5,
      INDEX('Most Recent Import'!$F55:$Q55, 1, MATCH(DATEDIF($B55, TODAY(), "M") + 1 - (COLUMN(E:E) - 5), {0, 1, 2, 3, 4, 5, 6, 7, 8, 9, 10, 11}, 0)),
      ""
    )
  )
</f>
        <v/>
      </c>
      <c r="F55" s="412" t="str">
        <f t="array" ref="F55">IF(
    DATEDIF($B55, TODAY(), "M") &gt;= 11,
    INDEX('Most Recent Import'!$F55:$Q55, 1, MATCH(11 - (COLUMN(F:F) - 5), {0, 1, 2, 3, 4, 5, 6, 7, 8, 9, 10, 11}, 0)),
    IF(
      DATEDIF($B55, TODAY(), "M") + 1 &gt;= COLUMN(F:F) - 5,
      INDEX('Most Recent Import'!$F55:$Q55, 1, MATCH(DATEDIF($B55, TODAY(), "M") + 1 - (COLUMN(F:F) - 5), {0, 1, 2, 3, 4, 5, 6, 7, 8, 9, 10, 11}, 0)),
      ""
    )
  )
</f>
        <v/>
      </c>
      <c r="G55" s="412" t="str">
        <f t="array" ref="G55">IF(
    DATEDIF($B55, TODAY(), "M") &gt;= 11,
    INDEX('Most Recent Import'!$F55:$Q55, 1, MATCH(11 - (COLUMN(G:G) - 5), {0, 1, 2, 3, 4, 5, 6, 7, 8, 9, 10, 11}, 0)),
    IF(
      DATEDIF($B55, TODAY(), "M") + 1 &gt;= COLUMN(G:G) - 5,
      INDEX('Most Recent Import'!$F55:$Q55, 1, MATCH(DATEDIF($B55, TODAY(), "M") + 1 - (COLUMN(G:G) - 5), {0, 1, 2, 3, 4, 5, 6, 7, 8, 9, 10, 11}, 0)),
      ""
    )
  )
</f>
        <v/>
      </c>
      <c r="H55" s="412" t="str">
        <f t="array" ref="H55">IF(
    DATEDIF($B55, TODAY(), "M") &gt;= 11,
    INDEX('Most Recent Import'!$F55:$Q55, 1, MATCH(11 - (COLUMN(H:H) - 5), {0, 1, 2, 3, 4, 5, 6, 7, 8, 9, 10, 11}, 0)),
    IF(
      DATEDIF($B55, TODAY(), "M") + 1 &gt;= COLUMN(H:H) - 5,
      INDEX('Most Recent Import'!$F55:$Q55, 1, MATCH(DATEDIF($B55, TODAY(), "M") + 1 - (COLUMN(H:H) - 5), {0, 1, 2, 3, 4, 5, 6, 7, 8, 9, 10, 11}, 0)),
      ""
    )
  )
</f>
        <v/>
      </c>
      <c r="I55" s="412" t="str">
        <f t="array" ref="I55">IF(
    DATEDIF($B55, TODAY(), "M") &gt;= 11,
    INDEX('Most Recent Import'!$F55:$Q55, 1, MATCH(11 - (COLUMN(I:I) - 5), {0, 1, 2, 3, 4, 5, 6, 7, 8, 9, 10, 11}, 0)),
    IF(
      DATEDIF($B55, TODAY(), "M") + 1 &gt;= COLUMN(I:I) - 5,
      INDEX('Most Recent Import'!$F55:$Q55, 1, MATCH(DATEDIF($B55, TODAY(), "M") + 1 - (COLUMN(I:I) - 5), {0, 1, 2, 3, 4, 5, 6, 7, 8, 9, 10, 11}, 0)),
      ""
    )
  )
</f>
        <v/>
      </c>
      <c r="J55" s="412" t="str">
        <f t="array" ref="J55">IF(
    DATEDIF($B55, TODAY(), "M") &gt;= 11,
    INDEX('Most Recent Import'!$F55:$Q55, 1, MATCH(11 - (COLUMN(J:J) - 5), {0, 1, 2, 3, 4, 5, 6, 7, 8, 9, 10, 11}, 0)),
    IF(
      DATEDIF($B55, TODAY(), "M") + 1 &gt;= COLUMN(J:J) - 5,
      INDEX('Most Recent Import'!$F55:$Q55, 1, MATCH(DATEDIF($B55, TODAY(), "M") + 1 - (COLUMN(J:J) - 5), {0, 1, 2, 3, 4, 5, 6, 7, 8, 9, 10, 11}, 0)),
      ""
    )
  )
</f>
        <v/>
      </c>
      <c r="K55" s="412" t="str">
        <f t="array" ref="K55">IF(
    DATEDIF($B55, TODAY(), "M") &gt;= 11,
    INDEX('Most Recent Import'!$F55:$Q55, 1, MATCH(11 - (COLUMN(K:K) - 5), {0, 1, 2, 3, 4, 5, 6, 7, 8, 9, 10, 11}, 0)),
    IF(
      DATEDIF($B55, TODAY(), "M") + 1 &gt;= COLUMN(K:K) - 5,
      INDEX('Most Recent Import'!$F55:$Q55, 1, MATCH(DATEDIF($B55, TODAY(), "M") + 1 - (COLUMN(K:K) - 5), {0, 1, 2, 3, 4, 5, 6, 7, 8, 9, 10, 11}, 0)),
      ""
    )
  )
</f>
        <v/>
      </c>
      <c r="L55" s="412" t="str">
        <f t="array" ref="L55">IF(
    DATEDIF($B55, TODAY(), "M") &gt;= 11,
    INDEX('Most Recent Import'!$F55:$Q55, 1, MATCH(11 - (COLUMN(L:L) - 5), {0, 1, 2, 3, 4, 5, 6, 7, 8, 9, 10, 11}, 0)),
    IF(
      DATEDIF($B55, TODAY(), "M") + 1 &gt;= COLUMN(L:L) - 5,
      INDEX('Most Recent Import'!$F55:$Q55, 1, MATCH(DATEDIF($B55, TODAY(), "M") + 1 - (COLUMN(L:L) - 5), {0, 1, 2, 3, 4, 5, 6, 7, 8, 9, 10, 11}, 0)),
      ""
    )
  )
</f>
        <v/>
      </c>
      <c r="M55" s="412" t="str">
        <f t="array" ref="M55">IF(
    DATEDIF($B55, TODAY(), "M") &gt;= 11,
    INDEX('Most Recent Import'!$F55:$Q55, 1, MATCH(11 - (COLUMN(M:M) - 5), {0, 1, 2, 3, 4, 5, 6, 7, 8, 9, 10, 11}, 0)),
    IF(
      DATEDIF($B55, TODAY(), "M") + 1 &gt;= COLUMN(M:M) - 5,
      INDEX('Most Recent Import'!$F55:$Q55, 1, MATCH(DATEDIF($B55, TODAY(), "M") + 1 - (COLUMN(M:M) - 5), {0, 1, 2, 3, 4, 5, 6, 7, 8, 9, 10, 11}, 0)),
      ""
    )
  )
</f>
        <v/>
      </c>
      <c r="N55" s="412" t="str">
        <f t="array" ref="N55">IF(
    DATEDIF($B55, TODAY(), "M") &gt;= 11,
    INDEX('Most Recent Import'!$F55:$Q55, 1, MATCH(11 - (COLUMN(N:N) - 5), {0, 1, 2, 3, 4, 5, 6, 7, 8, 9, 10, 11}, 0)),
    IF(
      DATEDIF($B55, TODAY(), "M") + 1 &gt;= COLUMN(N:N) - 5,
      INDEX('Most Recent Import'!$F55:$Q55, 1, MATCH(DATEDIF($B55, TODAY(), "M") + 1 - (COLUMN(N:N) - 5), {0, 1, 2, 3, 4, 5, 6, 7, 8, 9, 10, 11}, 0)),
      ""
    )
  )
</f>
        <v/>
      </c>
      <c r="O55" s="412" t="str">
        <f t="array" ref="O55">IF(
    DATEDIF($B55, TODAY(), "M") &gt;= 11,
    INDEX('Most Recent Import'!$F55:$Q55, 1, MATCH(11 - (COLUMN(O:O) - 5), {0, 1, 2, 3, 4, 5, 6, 7, 8, 9, 10, 11}, 0)),
    IF(
      DATEDIF($B55, TODAY(), "M") + 1 &gt;= COLUMN(O:O) - 5,
      INDEX('Most Recent Import'!$F55:$Q55, 1, MATCH(DATEDIF($B55, TODAY(), "M") + 1 - (COLUMN(O:O) - 5), {0, 1, 2, 3, 4, 5, 6, 7, 8, 9, 10, 11}, 0)),
      ""
    )
  )
</f>
        <v/>
      </c>
      <c r="P55" s="412" t="str">
        <f t="array" ref="P55">IF(
    DATEDIF($B55, TODAY(), "M") &gt;= 11,
    INDEX('Most Recent Import'!$F55:$Q55, 1, MATCH(11 - (COLUMN(P:P) - 5), {0, 1, 2, 3, 4, 5, 6, 7, 8, 9, 10, 11}, 0)),
    IF(
      DATEDIF($B55, TODAY(), "M") + 1 &gt;= COLUMN(P:P) - 5,
      INDEX('Most Recent Import'!$F55:$Q55, 1, MATCH(DATEDIF($B55, TODAY(), "M") + 1 - (COLUMN(P:P) - 5), {0, 1, 2, 3, 4, 5, 6, 7, 8, 9, 10, 11}, 0)),
      ""
    )
  )
</f>
        <v/>
      </c>
    </row>
    <row r="56">
      <c r="A56" s="412" t="str">
        <f>'Most Recent Import'!A56</f>
        <v/>
      </c>
      <c r="B56" s="412" t="str">
        <f>IF(ISBLANK(A56), "", DATE(LEFT('Most Recent Import'!C56, 4), RIGHT('Most Recent Import'!C56, 2), 1))</f>
        <v/>
      </c>
      <c r="C56" s="414" t="str">
        <f>'Most Recent Import'!B56</f>
        <v/>
      </c>
      <c r="D56" s="412" t="str">
        <f>'Most Recent Import'!D56</f>
        <v/>
      </c>
      <c r="E56" s="412" t="str">
        <f t="array" ref="E56">IF(
    DATEDIF($B56, TODAY(), "M") &gt;= 11,
    INDEX('Most Recent Import'!$F56:$Q56, 1, MATCH(11 - (COLUMN(E:E) - 5), {0, 1, 2, 3, 4, 5, 6, 7, 8, 9, 10, 11}, 0)),
    IF(
      DATEDIF($B56, TODAY(), "M") + 1 &gt;= COLUMN(E:E) - 5,
      INDEX('Most Recent Import'!$F56:$Q56, 1, MATCH(DATEDIF($B56, TODAY(), "M") + 1 - (COLUMN(E:E) - 5), {0, 1, 2, 3, 4, 5, 6, 7, 8, 9, 10, 11}, 0)),
      ""
    )
  )
</f>
        <v/>
      </c>
      <c r="F56" s="412" t="str">
        <f t="array" ref="F56">IF(
    DATEDIF($B56, TODAY(), "M") &gt;= 11,
    INDEX('Most Recent Import'!$F56:$Q56, 1, MATCH(11 - (COLUMN(F:F) - 5), {0, 1, 2, 3, 4, 5, 6, 7, 8, 9, 10, 11}, 0)),
    IF(
      DATEDIF($B56, TODAY(), "M") + 1 &gt;= COLUMN(F:F) - 5,
      INDEX('Most Recent Import'!$F56:$Q56, 1, MATCH(DATEDIF($B56, TODAY(), "M") + 1 - (COLUMN(F:F) - 5), {0, 1, 2, 3, 4, 5, 6, 7, 8, 9, 10, 11}, 0)),
      ""
    )
  )
</f>
        <v/>
      </c>
      <c r="G56" s="412" t="str">
        <f t="array" ref="G56">IF(
    DATEDIF($B56, TODAY(), "M") &gt;= 11,
    INDEX('Most Recent Import'!$F56:$Q56, 1, MATCH(11 - (COLUMN(G:G) - 5), {0, 1, 2, 3, 4, 5, 6, 7, 8, 9, 10, 11}, 0)),
    IF(
      DATEDIF($B56, TODAY(), "M") + 1 &gt;= COLUMN(G:G) - 5,
      INDEX('Most Recent Import'!$F56:$Q56, 1, MATCH(DATEDIF($B56, TODAY(), "M") + 1 - (COLUMN(G:G) - 5), {0, 1, 2, 3, 4, 5, 6, 7, 8, 9, 10, 11}, 0)),
      ""
    )
  )
</f>
        <v/>
      </c>
      <c r="H56" s="412" t="str">
        <f t="array" ref="H56">IF(
    DATEDIF($B56, TODAY(), "M") &gt;= 11,
    INDEX('Most Recent Import'!$F56:$Q56, 1, MATCH(11 - (COLUMN(H:H) - 5), {0, 1, 2, 3, 4, 5, 6, 7, 8, 9, 10, 11}, 0)),
    IF(
      DATEDIF($B56, TODAY(), "M") + 1 &gt;= COLUMN(H:H) - 5,
      INDEX('Most Recent Import'!$F56:$Q56, 1, MATCH(DATEDIF($B56, TODAY(), "M") + 1 - (COLUMN(H:H) - 5), {0, 1, 2, 3, 4, 5, 6, 7, 8, 9, 10, 11}, 0)),
      ""
    )
  )
</f>
        <v/>
      </c>
      <c r="I56" s="412" t="str">
        <f t="array" ref="I56">IF(
    DATEDIF($B56, TODAY(), "M") &gt;= 11,
    INDEX('Most Recent Import'!$F56:$Q56, 1, MATCH(11 - (COLUMN(I:I) - 5), {0, 1, 2, 3, 4, 5, 6, 7, 8, 9, 10, 11}, 0)),
    IF(
      DATEDIF($B56, TODAY(), "M") + 1 &gt;= COLUMN(I:I) - 5,
      INDEX('Most Recent Import'!$F56:$Q56, 1, MATCH(DATEDIF($B56, TODAY(), "M") + 1 - (COLUMN(I:I) - 5), {0, 1, 2, 3, 4, 5, 6, 7, 8, 9, 10, 11}, 0)),
      ""
    )
  )
</f>
        <v/>
      </c>
      <c r="J56" s="412" t="str">
        <f t="array" ref="J56">IF(
    DATEDIF($B56, TODAY(), "M") &gt;= 11,
    INDEX('Most Recent Import'!$F56:$Q56, 1, MATCH(11 - (COLUMN(J:J) - 5), {0, 1, 2, 3, 4, 5, 6, 7, 8, 9, 10, 11}, 0)),
    IF(
      DATEDIF($B56, TODAY(), "M") + 1 &gt;= COLUMN(J:J) - 5,
      INDEX('Most Recent Import'!$F56:$Q56, 1, MATCH(DATEDIF($B56, TODAY(), "M") + 1 - (COLUMN(J:J) - 5), {0, 1, 2, 3, 4, 5, 6, 7, 8, 9, 10, 11}, 0)),
      ""
    )
  )
</f>
        <v/>
      </c>
      <c r="K56" s="412" t="str">
        <f t="array" ref="K56">IF(
    DATEDIF($B56, TODAY(), "M") &gt;= 11,
    INDEX('Most Recent Import'!$F56:$Q56, 1, MATCH(11 - (COLUMN(K:K) - 5), {0, 1, 2, 3, 4, 5, 6, 7, 8, 9, 10, 11}, 0)),
    IF(
      DATEDIF($B56, TODAY(), "M") + 1 &gt;= COLUMN(K:K) - 5,
      INDEX('Most Recent Import'!$F56:$Q56, 1, MATCH(DATEDIF($B56, TODAY(), "M") + 1 - (COLUMN(K:K) - 5), {0, 1, 2, 3, 4, 5, 6, 7, 8, 9, 10, 11}, 0)),
      ""
    )
  )
</f>
        <v/>
      </c>
      <c r="L56" s="412" t="str">
        <f t="array" ref="L56">IF(
    DATEDIF($B56, TODAY(), "M") &gt;= 11,
    INDEX('Most Recent Import'!$F56:$Q56, 1, MATCH(11 - (COLUMN(L:L) - 5), {0, 1, 2, 3, 4, 5, 6, 7, 8, 9, 10, 11}, 0)),
    IF(
      DATEDIF($B56, TODAY(), "M") + 1 &gt;= COLUMN(L:L) - 5,
      INDEX('Most Recent Import'!$F56:$Q56, 1, MATCH(DATEDIF($B56, TODAY(), "M") + 1 - (COLUMN(L:L) - 5), {0, 1, 2, 3, 4, 5, 6, 7, 8, 9, 10, 11}, 0)),
      ""
    )
  )
</f>
        <v/>
      </c>
      <c r="M56" s="412" t="str">
        <f t="array" ref="M56">IF(
    DATEDIF($B56, TODAY(), "M") &gt;= 11,
    INDEX('Most Recent Import'!$F56:$Q56, 1, MATCH(11 - (COLUMN(M:M) - 5), {0, 1, 2, 3, 4, 5, 6, 7, 8, 9, 10, 11}, 0)),
    IF(
      DATEDIF($B56, TODAY(), "M") + 1 &gt;= COLUMN(M:M) - 5,
      INDEX('Most Recent Import'!$F56:$Q56, 1, MATCH(DATEDIF($B56, TODAY(), "M") + 1 - (COLUMN(M:M) - 5), {0, 1, 2, 3, 4, 5, 6, 7, 8, 9, 10, 11}, 0)),
      ""
    )
  )
</f>
        <v/>
      </c>
      <c r="N56" s="412" t="str">
        <f t="array" ref="N56">IF(
    DATEDIF($B56, TODAY(), "M") &gt;= 11,
    INDEX('Most Recent Import'!$F56:$Q56, 1, MATCH(11 - (COLUMN(N:N) - 5), {0, 1, 2, 3, 4, 5, 6, 7, 8, 9, 10, 11}, 0)),
    IF(
      DATEDIF($B56, TODAY(), "M") + 1 &gt;= COLUMN(N:N) - 5,
      INDEX('Most Recent Import'!$F56:$Q56, 1, MATCH(DATEDIF($B56, TODAY(), "M") + 1 - (COLUMN(N:N) - 5), {0, 1, 2, 3, 4, 5, 6, 7, 8, 9, 10, 11}, 0)),
      ""
    )
  )
</f>
        <v/>
      </c>
      <c r="O56" s="412" t="str">
        <f t="array" ref="O56">IF(
    DATEDIF($B56, TODAY(), "M") &gt;= 11,
    INDEX('Most Recent Import'!$F56:$Q56, 1, MATCH(11 - (COLUMN(O:O) - 5), {0, 1, 2, 3, 4, 5, 6, 7, 8, 9, 10, 11}, 0)),
    IF(
      DATEDIF($B56, TODAY(), "M") + 1 &gt;= COLUMN(O:O) - 5,
      INDEX('Most Recent Import'!$F56:$Q56, 1, MATCH(DATEDIF($B56, TODAY(), "M") + 1 - (COLUMN(O:O) - 5), {0, 1, 2, 3, 4, 5, 6, 7, 8, 9, 10, 11}, 0)),
      ""
    )
  )
</f>
        <v/>
      </c>
      <c r="P56" s="412" t="str">
        <f t="array" ref="P56">IF(
    DATEDIF($B56, TODAY(), "M") &gt;= 11,
    INDEX('Most Recent Import'!$F56:$Q56, 1, MATCH(11 - (COLUMN(P:P) - 5), {0, 1, 2, 3, 4, 5, 6, 7, 8, 9, 10, 11}, 0)),
    IF(
      DATEDIF($B56, TODAY(), "M") + 1 &gt;= COLUMN(P:P) - 5,
      INDEX('Most Recent Import'!$F56:$Q56, 1, MATCH(DATEDIF($B56, TODAY(), "M") + 1 - (COLUMN(P:P) - 5), {0, 1, 2, 3, 4, 5, 6, 7, 8, 9, 10, 11}, 0)),
      ""
    )
  )
</f>
        <v/>
      </c>
    </row>
    <row r="57">
      <c r="A57" s="412" t="str">
        <f>'Most Recent Import'!A57</f>
        <v/>
      </c>
      <c r="B57" s="412" t="str">
        <f>IF(ISBLANK(A57), "", DATE(LEFT('Most Recent Import'!C57, 4), RIGHT('Most Recent Import'!C57, 2), 1))</f>
        <v/>
      </c>
      <c r="C57" s="414" t="str">
        <f>'Most Recent Import'!B57</f>
        <v/>
      </c>
      <c r="D57" s="412" t="str">
        <f>'Most Recent Import'!D57</f>
        <v/>
      </c>
      <c r="E57" s="412" t="str">
        <f t="array" ref="E57">IF(
    DATEDIF($B57, TODAY(), "M") &gt;= 11,
    INDEX('Most Recent Import'!$F57:$Q57, 1, MATCH(11 - (COLUMN(E:E) - 5), {0, 1, 2, 3, 4, 5, 6, 7, 8, 9, 10, 11}, 0)),
    IF(
      DATEDIF($B57, TODAY(), "M") + 1 &gt;= COLUMN(E:E) - 5,
      INDEX('Most Recent Import'!$F57:$Q57, 1, MATCH(DATEDIF($B57, TODAY(), "M") + 1 - (COLUMN(E:E) - 5), {0, 1, 2, 3, 4, 5, 6, 7, 8, 9, 10, 11}, 0)),
      ""
    )
  )
</f>
        <v/>
      </c>
      <c r="F57" s="412" t="str">
        <f t="array" ref="F57">IF(
    DATEDIF($B57, TODAY(), "M") &gt;= 11,
    INDEX('Most Recent Import'!$F57:$Q57, 1, MATCH(11 - (COLUMN(F:F) - 5), {0, 1, 2, 3, 4, 5, 6, 7, 8, 9, 10, 11}, 0)),
    IF(
      DATEDIF($B57, TODAY(), "M") + 1 &gt;= COLUMN(F:F) - 5,
      INDEX('Most Recent Import'!$F57:$Q57, 1, MATCH(DATEDIF($B57, TODAY(), "M") + 1 - (COLUMN(F:F) - 5), {0, 1, 2, 3, 4, 5, 6, 7, 8, 9, 10, 11}, 0)),
      ""
    )
  )
</f>
        <v/>
      </c>
      <c r="G57" s="412" t="str">
        <f t="array" ref="G57">IF(
    DATEDIF($B57, TODAY(), "M") &gt;= 11,
    INDEX('Most Recent Import'!$F57:$Q57, 1, MATCH(11 - (COLUMN(G:G) - 5), {0, 1, 2, 3, 4, 5, 6, 7, 8, 9, 10, 11}, 0)),
    IF(
      DATEDIF($B57, TODAY(), "M") + 1 &gt;= COLUMN(G:G) - 5,
      INDEX('Most Recent Import'!$F57:$Q57, 1, MATCH(DATEDIF($B57, TODAY(), "M") + 1 - (COLUMN(G:G) - 5), {0, 1, 2, 3, 4, 5, 6, 7, 8, 9, 10, 11}, 0)),
      ""
    )
  )
</f>
        <v/>
      </c>
      <c r="H57" s="412" t="str">
        <f t="array" ref="H57">IF(
    DATEDIF($B57, TODAY(), "M") &gt;= 11,
    INDEX('Most Recent Import'!$F57:$Q57, 1, MATCH(11 - (COLUMN(H:H) - 5), {0, 1, 2, 3, 4, 5, 6, 7, 8, 9, 10, 11}, 0)),
    IF(
      DATEDIF($B57, TODAY(), "M") + 1 &gt;= COLUMN(H:H) - 5,
      INDEX('Most Recent Import'!$F57:$Q57, 1, MATCH(DATEDIF($B57, TODAY(), "M") + 1 - (COLUMN(H:H) - 5), {0, 1, 2, 3, 4, 5, 6, 7, 8, 9, 10, 11}, 0)),
      ""
    )
  )
</f>
        <v/>
      </c>
      <c r="I57" s="412" t="str">
        <f t="array" ref="I57">IF(
    DATEDIF($B57, TODAY(), "M") &gt;= 11,
    INDEX('Most Recent Import'!$F57:$Q57, 1, MATCH(11 - (COLUMN(I:I) - 5), {0, 1, 2, 3, 4, 5, 6, 7, 8, 9, 10, 11}, 0)),
    IF(
      DATEDIF($B57, TODAY(), "M") + 1 &gt;= COLUMN(I:I) - 5,
      INDEX('Most Recent Import'!$F57:$Q57, 1, MATCH(DATEDIF($B57, TODAY(), "M") + 1 - (COLUMN(I:I) - 5), {0, 1, 2, 3, 4, 5, 6, 7, 8, 9, 10, 11}, 0)),
      ""
    )
  )
</f>
        <v/>
      </c>
      <c r="J57" s="412" t="str">
        <f t="array" ref="J57">IF(
    DATEDIF($B57, TODAY(), "M") &gt;= 11,
    INDEX('Most Recent Import'!$F57:$Q57, 1, MATCH(11 - (COLUMN(J:J) - 5), {0, 1, 2, 3, 4, 5, 6, 7, 8, 9, 10, 11}, 0)),
    IF(
      DATEDIF($B57, TODAY(), "M") + 1 &gt;= COLUMN(J:J) - 5,
      INDEX('Most Recent Import'!$F57:$Q57, 1, MATCH(DATEDIF($B57, TODAY(), "M") + 1 - (COLUMN(J:J) - 5), {0, 1, 2, 3, 4, 5, 6, 7, 8, 9, 10, 11}, 0)),
      ""
    )
  )
</f>
        <v/>
      </c>
      <c r="K57" s="412" t="str">
        <f t="array" ref="K57">IF(
    DATEDIF($B57, TODAY(), "M") &gt;= 11,
    INDEX('Most Recent Import'!$F57:$Q57, 1, MATCH(11 - (COLUMN(K:K) - 5), {0, 1, 2, 3, 4, 5, 6, 7, 8, 9, 10, 11}, 0)),
    IF(
      DATEDIF($B57, TODAY(), "M") + 1 &gt;= COLUMN(K:K) - 5,
      INDEX('Most Recent Import'!$F57:$Q57, 1, MATCH(DATEDIF($B57, TODAY(), "M") + 1 - (COLUMN(K:K) - 5), {0, 1, 2, 3, 4, 5, 6, 7, 8, 9, 10, 11}, 0)),
      ""
    )
  )
</f>
        <v/>
      </c>
      <c r="L57" s="412" t="str">
        <f t="array" ref="L57">IF(
    DATEDIF($B57, TODAY(), "M") &gt;= 11,
    INDEX('Most Recent Import'!$F57:$Q57, 1, MATCH(11 - (COLUMN(L:L) - 5), {0, 1, 2, 3, 4, 5, 6, 7, 8, 9, 10, 11}, 0)),
    IF(
      DATEDIF($B57, TODAY(), "M") + 1 &gt;= COLUMN(L:L) - 5,
      INDEX('Most Recent Import'!$F57:$Q57, 1, MATCH(DATEDIF($B57, TODAY(), "M") + 1 - (COLUMN(L:L) - 5), {0, 1, 2, 3, 4, 5, 6, 7, 8, 9, 10, 11}, 0)),
      ""
    )
  )
</f>
        <v/>
      </c>
      <c r="M57" s="412" t="str">
        <f t="array" ref="M57">IF(
    DATEDIF($B57, TODAY(), "M") &gt;= 11,
    INDEX('Most Recent Import'!$F57:$Q57, 1, MATCH(11 - (COLUMN(M:M) - 5), {0, 1, 2, 3, 4, 5, 6, 7, 8, 9, 10, 11}, 0)),
    IF(
      DATEDIF($B57, TODAY(), "M") + 1 &gt;= COLUMN(M:M) - 5,
      INDEX('Most Recent Import'!$F57:$Q57, 1, MATCH(DATEDIF($B57, TODAY(), "M") + 1 - (COLUMN(M:M) - 5), {0, 1, 2, 3, 4, 5, 6, 7, 8, 9, 10, 11}, 0)),
      ""
    )
  )
</f>
        <v/>
      </c>
      <c r="N57" s="412" t="str">
        <f t="array" ref="N57">IF(
    DATEDIF($B57, TODAY(), "M") &gt;= 11,
    INDEX('Most Recent Import'!$F57:$Q57, 1, MATCH(11 - (COLUMN(N:N) - 5), {0, 1, 2, 3, 4, 5, 6, 7, 8, 9, 10, 11}, 0)),
    IF(
      DATEDIF($B57, TODAY(), "M") + 1 &gt;= COLUMN(N:N) - 5,
      INDEX('Most Recent Import'!$F57:$Q57, 1, MATCH(DATEDIF($B57, TODAY(), "M") + 1 - (COLUMN(N:N) - 5), {0, 1, 2, 3, 4, 5, 6, 7, 8, 9, 10, 11}, 0)),
      ""
    )
  )
</f>
        <v/>
      </c>
      <c r="O57" s="412" t="str">
        <f t="array" ref="O57">IF(
    DATEDIF($B57, TODAY(), "M") &gt;= 11,
    INDEX('Most Recent Import'!$F57:$Q57, 1, MATCH(11 - (COLUMN(O:O) - 5), {0, 1, 2, 3, 4, 5, 6, 7, 8, 9, 10, 11}, 0)),
    IF(
      DATEDIF($B57, TODAY(), "M") + 1 &gt;= COLUMN(O:O) - 5,
      INDEX('Most Recent Import'!$F57:$Q57, 1, MATCH(DATEDIF($B57, TODAY(), "M") + 1 - (COLUMN(O:O) - 5), {0, 1, 2, 3, 4, 5, 6, 7, 8, 9, 10, 11}, 0)),
      ""
    )
  )
</f>
        <v/>
      </c>
      <c r="P57" s="412" t="str">
        <f t="array" ref="P57">IF(
    DATEDIF($B57, TODAY(), "M") &gt;= 11,
    INDEX('Most Recent Import'!$F57:$Q57, 1, MATCH(11 - (COLUMN(P:P) - 5), {0, 1, 2, 3, 4, 5, 6, 7, 8, 9, 10, 11}, 0)),
    IF(
      DATEDIF($B57, TODAY(), "M") + 1 &gt;= COLUMN(P:P) - 5,
      INDEX('Most Recent Import'!$F57:$Q57, 1, MATCH(DATEDIF($B57, TODAY(), "M") + 1 - (COLUMN(P:P) - 5), {0, 1, 2, 3, 4, 5, 6, 7, 8, 9, 10, 11}, 0)),
      ""
    )
  )
</f>
        <v/>
      </c>
    </row>
    <row r="58">
      <c r="A58" s="412" t="str">
        <f>'Most Recent Import'!A58</f>
        <v/>
      </c>
      <c r="B58" s="412" t="str">
        <f>IF(ISBLANK(A58), "", DATE(LEFT('Most Recent Import'!C58, 4), RIGHT('Most Recent Import'!C58, 2), 1))</f>
        <v/>
      </c>
      <c r="C58" s="414" t="str">
        <f>'Most Recent Import'!B58</f>
        <v/>
      </c>
      <c r="D58" s="412" t="str">
        <f>'Most Recent Import'!D58</f>
        <v/>
      </c>
      <c r="E58" s="412" t="str">
        <f t="array" ref="E58">IF(
    DATEDIF($B58, TODAY(), "M") &gt;= 11,
    INDEX('Most Recent Import'!$F58:$Q58, 1, MATCH(11 - (COLUMN(E:E) - 5), {0, 1, 2, 3, 4, 5, 6, 7, 8, 9, 10, 11}, 0)),
    IF(
      DATEDIF($B58, TODAY(), "M") + 1 &gt;= COLUMN(E:E) - 5,
      INDEX('Most Recent Import'!$F58:$Q58, 1, MATCH(DATEDIF($B58, TODAY(), "M") + 1 - (COLUMN(E:E) - 5), {0, 1, 2, 3, 4, 5, 6, 7, 8, 9, 10, 11}, 0)),
      ""
    )
  )
</f>
        <v/>
      </c>
      <c r="F58" s="412" t="str">
        <f t="array" ref="F58">IF(
    DATEDIF($B58, TODAY(), "M") &gt;= 11,
    INDEX('Most Recent Import'!$F58:$Q58, 1, MATCH(11 - (COLUMN(F:F) - 5), {0, 1, 2, 3, 4, 5, 6, 7, 8, 9, 10, 11}, 0)),
    IF(
      DATEDIF($B58, TODAY(), "M") + 1 &gt;= COLUMN(F:F) - 5,
      INDEX('Most Recent Import'!$F58:$Q58, 1, MATCH(DATEDIF($B58, TODAY(), "M") + 1 - (COLUMN(F:F) - 5), {0, 1, 2, 3, 4, 5, 6, 7, 8, 9, 10, 11}, 0)),
      ""
    )
  )
</f>
        <v/>
      </c>
      <c r="G58" s="412" t="str">
        <f t="array" ref="G58">IF(
    DATEDIF($B58, TODAY(), "M") &gt;= 11,
    INDEX('Most Recent Import'!$F58:$Q58, 1, MATCH(11 - (COLUMN(G:G) - 5), {0, 1, 2, 3, 4, 5, 6, 7, 8, 9, 10, 11}, 0)),
    IF(
      DATEDIF($B58, TODAY(), "M") + 1 &gt;= COLUMN(G:G) - 5,
      INDEX('Most Recent Import'!$F58:$Q58, 1, MATCH(DATEDIF($B58, TODAY(), "M") + 1 - (COLUMN(G:G) - 5), {0, 1, 2, 3, 4, 5, 6, 7, 8, 9, 10, 11}, 0)),
      ""
    )
  )
</f>
        <v/>
      </c>
      <c r="H58" s="412" t="str">
        <f t="array" ref="H58">IF(
    DATEDIF($B58, TODAY(), "M") &gt;= 11,
    INDEX('Most Recent Import'!$F58:$Q58, 1, MATCH(11 - (COLUMN(H:H) - 5), {0, 1, 2, 3, 4, 5, 6, 7, 8, 9, 10, 11}, 0)),
    IF(
      DATEDIF($B58, TODAY(), "M") + 1 &gt;= COLUMN(H:H) - 5,
      INDEX('Most Recent Import'!$F58:$Q58, 1, MATCH(DATEDIF($B58, TODAY(), "M") + 1 - (COLUMN(H:H) - 5), {0, 1, 2, 3, 4, 5, 6, 7, 8, 9, 10, 11}, 0)),
      ""
    )
  )
</f>
        <v/>
      </c>
      <c r="I58" s="412" t="str">
        <f t="array" ref="I58">IF(
    DATEDIF($B58, TODAY(), "M") &gt;= 11,
    INDEX('Most Recent Import'!$F58:$Q58, 1, MATCH(11 - (COLUMN(I:I) - 5), {0, 1, 2, 3, 4, 5, 6, 7, 8, 9, 10, 11}, 0)),
    IF(
      DATEDIF($B58, TODAY(), "M") + 1 &gt;= COLUMN(I:I) - 5,
      INDEX('Most Recent Import'!$F58:$Q58, 1, MATCH(DATEDIF($B58, TODAY(), "M") + 1 - (COLUMN(I:I) - 5), {0, 1, 2, 3, 4, 5, 6, 7, 8, 9, 10, 11}, 0)),
      ""
    )
  )
</f>
        <v/>
      </c>
      <c r="J58" s="412" t="str">
        <f t="array" ref="J58">IF(
    DATEDIF($B58, TODAY(), "M") &gt;= 11,
    INDEX('Most Recent Import'!$F58:$Q58, 1, MATCH(11 - (COLUMN(J:J) - 5), {0, 1, 2, 3, 4, 5, 6, 7, 8, 9, 10, 11}, 0)),
    IF(
      DATEDIF($B58, TODAY(), "M") + 1 &gt;= COLUMN(J:J) - 5,
      INDEX('Most Recent Import'!$F58:$Q58, 1, MATCH(DATEDIF($B58, TODAY(), "M") + 1 - (COLUMN(J:J) - 5), {0, 1, 2, 3, 4, 5, 6, 7, 8, 9, 10, 11}, 0)),
      ""
    )
  )
</f>
        <v/>
      </c>
      <c r="K58" s="412" t="str">
        <f t="array" ref="K58">IF(
    DATEDIF($B58, TODAY(), "M") &gt;= 11,
    INDEX('Most Recent Import'!$F58:$Q58, 1, MATCH(11 - (COLUMN(K:K) - 5), {0, 1, 2, 3, 4, 5, 6, 7, 8, 9, 10, 11}, 0)),
    IF(
      DATEDIF($B58, TODAY(), "M") + 1 &gt;= COLUMN(K:K) - 5,
      INDEX('Most Recent Import'!$F58:$Q58, 1, MATCH(DATEDIF($B58, TODAY(), "M") + 1 - (COLUMN(K:K) - 5), {0, 1, 2, 3, 4, 5, 6, 7, 8, 9, 10, 11}, 0)),
      ""
    )
  )
</f>
        <v/>
      </c>
      <c r="L58" s="412" t="str">
        <f t="array" ref="L58">IF(
    DATEDIF($B58, TODAY(), "M") &gt;= 11,
    INDEX('Most Recent Import'!$F58:$Q58, 1, MATCH(11 - (COLUMN(L:L) - 5), {0, 1, 2, 3, 4, 5, 6, 7, 8, 9, 10, 11}, 0)),
    IF(
      DATEDIF($B58, TODAY(), "M") + 1 &gt;= COLUMN(L:L) - 5,
      INDEX('Most Recent Import'!$F58:$Q58, 1, MATCH(DATEDIF($B58, TODAY(), "M") + 1 - (COLUMN(L:L) - 5), {0, 1, 2, 3, 4, 5, 6, 7, 8, 9, 10, 11}, 0)),
      ""
    )
  )
</f>
        <v/>
      </c>
      <c r="M58" s="412" t="str">
        <f t="array" ref="M58">IF(
    DATEDIF($B58, TODAY(), "M") &gt;= 11,
    INDEX('Most Recent Import'!$F58:$Q58, 1, MATCH(11 - (COLUMN(M:M) - 5), {0, 1, 2, 3, 4, 5, 6, 7, 8, 9, 10, 11}, 0)),
    IF(
      DATEDIF($B58, TODAY(), "M") + 1 &gt;= COLUMN(M:M) - 5,
      INDEX('Most Recent Import'!$F58:$Q58, 1, MATCH(DATEDIF($B58, TODAY(), "M") + 1 - (COLUMN(M:M) - 5), {0, 1, 2, 3, 4, 5, 6, 7, 8, 9, 10, 11}, 0)),
      ""
    )
  )
</f>
        <v/>
      </c>
      <c r="N58" s="412" t="str">
        <f t="array" ref="N58">IF(
    DATEDIF($B58, TODAY(), "M") &gt;= 11,
    INDEX('Most Recent Import'!$F58:$Q58, 1, MATCH(11 - (COLUMN(N:N) - 5), {0, 1, 2, 3, 4, 5, 6, 7, 8, 9, 10, 11}, 0)),
    IF(
      DATEDIF($B58, TODAY(), "M") + 1 &gt;= COLUMN(N:N) - 5,
      INDEX('Most Recent Import'!$F58:$Q58, 1, MATCH(DATEDIF($B58, TODAY(), "M") + 1 - (COLUMN(N:N) - 5), {0, 1, 2, 3, 4, 5, 6, 7, 8, 9, 10, 11}, 0)),
      ""
    )
  )
</f>
        <v/>
      </c>
      <c r="O58" s="412" t="str">
        <f t="array" ref="O58">IF(
    DATEDIF($B58, TODAY(), "M") &gt;= 11,
    INDEX('Most Recent Import'!$F58:$Q58, 1, MATCH(11 - (COLUMN(O:O) - 5), {0, 1, 2, 3, 4, 5, 6, 7, 8, 9, 10, 11}, 0)),
    IF(
      DATEDIF($B58, TODAY(), "M") + 1 &gt;= COLUMN(O:O) - 5,
      INDEX('Most Recent Import'!$F58:$Q58, 1, MATCH(DATEDIF($B58, TODAY(), "M") + 1 - (COLUMN(O:O) - 5), {0, 1, 2, 3, 4, 5, 6, 7, 8, 9, 10, 11}, 0)),
      ""
    )
  )
</f>
        <v/>
      </c>
      <c r="P58" s="412" t="str">
        <f t="array" ref="P58">IF(
    DATEDIF($B58, TODAY(), "M") &gt;= 11,
    INDEX('Most Recent Import'!$F58:$Q58, 1, MATCH(11 - (COLUMN(P:P) - 5), {0, 1, 2, 3, 4, 5, 6, 7, 8, 9, 10, 11}, 0)),
    IF(
      DATEDIF($B58, TODAY(), "M") + 1 &gt;= COLUMN(P:P) - 5,
      INDEX('Most Recent Import'!$F58:$Q58, 1, MATCH(DATEDIF($B58, TODAY(), "M") + 1 - (COLUMN(P:P) - 5), {0, 1, 2, 3, 4, 5, 6, 7, 8, 9, 10, 11}, 0)),
      ""
    )
  )
</f>
        <v/>
      </c>
    </row>
    <row r="59">
      <c r="A59" s="412" t="str">
        <f>'Most Recent Import'!A59</f>
        <v/>
      </c>
      <c r="B59" s="412" t="str">
        <f>IF(ISBLANK(A59), "", DATE(LEFT('Most Recent Import'!C59, 4), RIGHT('Most Recent Import'!C59, 2), 1))</f>
        <v/>
      </c>
      <c r="C59" s="414" t="str">
        <f>'Most Recent Import'!B59</f>
        <v/>
      </c>
      <c r="D59" s="412" t="str">
        <f>'Most Recent Import'!D59</f>
        <v/>
      </c>
      <c r="E59" s="412" t="str">
        <f t="array" ref="E59">IF(
    DATEDIF($B59, TODAY(), "M") &gt;= 11,
    INDEX('Most Recent Import'!$F59:$Q59, 1, MATCH(11 - (COLUMN(E:E) - 5), {0, 1, 2, 3, 4, 5, 6, 7, 8, 9, 10, 11}, 0)),
    IF(
      DATEDIF($B59, TODAY(), "M") + 1 &gt;= COLUMN(E:E) - 5,
      INDEX('Most Recent Import'!$F59:$Q59, 1, MATCH(DATEDIF($B59, TODAY(), "M") + 1 - (COLUMN(E:E) - 5), {0, 1, 2, 3, 4, 5, 6, 7, 8, 9, 10, 11}, 0)),
      ""
    )
  )
</f>
        <v/>
      </c>
      <c r="F59" s="412" t="str">
        <f t="array" ref="F59">IF(
    DATEDIF($B59, TODAY(), "M") &gt;= 11,
    INDEX('Most Recent Import'!$F59:$Q59, 1, MATCH(11 - (COLUMN(F:F) - 5), {0, 1, 2, 3, 4, 5, 6, 7, 8, 9, 10, 11}, 0)),
    IF(
      DATEDIF($B59, TODAY(), "M") + 1 &gt;= COLUMN(F:F) - 5,
      INDEX('Most Recent Import'!$F59:$Q59, 1, MATCH(DATEDIF($B59, TODAY(), "M") + 1 - (COLUMN(F:F) - 5), {0, 1, 2, 3, 4, 5, 6, 7, 8, 9, 10, 11}, 0)),
      ""
    )
  )
</f>
        <v/>
      </c>
      <c r="G59" s="412" t="str">
        <f t="array" ref="G59">IF(
    DATEDIF($B59, TODAY(), "M") &gt;= 11,
    INDEX('Most Recent Import'!$F59:$Q59, 1, MATCH(11 - (COLUMN(G:G) - 5), {0, 1, 2, 3, 4, 5, 6, 7, 8, 9, 10, 11}, 0)),
    IF(
      DATEDIF($B59, TODAY(), "M") + 1 &gt;= COLUMN(G:G) - 5,
      INDEX('Most Recent Import'!$F59:$Q59, 1, MATCH(DATEDIF($B59, TODAY(), "M") + 1 - (COLUMN(G:G) - 5), {0, 1, 2, 3, 4, 5, 6, 7, 8, 9, 10, 11}, 0)),
      ""
    )
  )
</f>
        <v/>
      </c>
      <c r="H59" s="412" t="str">
        <f t="array" ref="H59">IF(
    DATEDIF($B59, TODAY(), "M") &gt;= 11,
    INDEX('Most Recent Import'!$F59:$Q59, 1, MATCH(11 - (COLUMN(H:H) - 5), {0, 1, 2, 3, 4, 5, 6, 7, 8, 9, 10, 11}, 0)),
    IF(
      DATEDIF($B59, TODAY(), "M") + 1 &gt;= COLUMN(H:H) - 5,
      INDEX('Most Recent Import'!$F59:$Q59, 1, MATCH(DATEDIF($B59, TODAY(), "M") + 1 - (COLUMN(H:H) - 5), {0, 1, 2, 3, 4, 5, 6, 7, 8, 9, 10, 11}, 0)),
      ""
    )
  )
</f>
        <v/>
      </c>
      <c r="I59" s="412" t="str">
        <f t="array" ref="I59">IF(
    DATEDIF($B59, TODAY(), "M") &gt;= 11,
    INDEX('Most Recent Import'!$F59:$Q59, 1, MATCH(11 - (COLUMN(I:I) - 5), {0, 1, 2, 3, 4, 5, 6, 7, 8, 9, 10, 11}, 0)),
    IF(
      DATEDIF($B59, TODAY(), "M") + 1 &gt;= COLUMN(I:I) - 5,
      INDEX('Most Recent Import'!$F59:$Q59, 1, MATCH(DATEDIF($B59, TODAY(), "M") + 1 - (COLUMN(I:I) - 5), {0, 1, 2, 3, 4, 5, 6, 7, 8, 9, 10, 11}, 0)),
      ""
    )
  )
</f>
        <v/>
      </c>
      <c r="J59" s="412" t="str">
        <f t="array" ref="J59">IF(
    DATEDIF($B59, TODAY(), "M") &gt;= 11,
    INDEX('Most Recent Import'!$F59:$Q59, 1, MATCH(11 - (COLUMN(J:J) - 5), {0, 1, 2, 3, 4, 5, 6, 7, 8, 9, 10, 11}, 0)),
    IF(
      DATEDIF($B59, TODAY(), "M") + 1 &gt;= COLUMN(J:J) - 5,
      INDEX('Most Recent Import'!$F59:$Q59, 1, MATCH(DATEDIF($B59, TODAY(), "M") + 1 - (COLUMN(J:J) - 5), {0, 1, 2, 3, 4, 5, 6, 7, 8, 9, 10, 11}, 0)),
      ""
    )
  )
</f>
        <v/>
      </c>
      <c r="K59" s="412" t="str">
        <f t="array" ref="K59">IF(
    DATEDIF($B59, TODAY(), "M") &gt;= 11,
    INDEX('Most Recent Import'!$F59:$Q59, 1, MATCH(11 - (COLUMN(K:K) - 5), {0, 1, 2, 3, 4, 5, 6, 7, 8, 9, 10, 11}, 0)),
    IF(
      DATEDIF($B59, TODAY(), "M") + 1 &gt;= COLUMN(K:K) - 5,
      INDEX('Most Recent Import'!$F59:$Q59, 1, MATCH(DATEDIF($B59, TODAY(), "M") + 1 - (COLUMN(K:K) - 5), {0, 1, 2, 3, 4, 5, 6, 7, 8, 9, 10, 11}, 0)),
      ""
    )
  )
</f>
        <v/>
      </c>
      <c r="L59" s="412" t="str">
        <f t="array" ref="L59">IF(
    DATEDIF($B59, TODAY(), "M") &gt;= 11,
    INDEX('Most Recent Import'!$F59:$Q59, 1, MATCH(11 - (COLUMN(L:L) - 5), {0, 1, 2, 3, 4, 5, 6, 7, 8, 9, 10, 11}, 0)),
    IF(
      DATEDIF($B59, TODAY(), "M") + 1 &gt;= COLUMN(L:L) - 5,
      INDEX('Most Recent Import'!$F59:$Q59, 1, MATCH(DATEDIF($B59, TODAY(), "M") + 1 - (COLUMN(L:L) - 5), {0, 1, 2, 3, 4, 5, 6, 7, 8, 9, 10, 11}, 0)),
      ""
    )
  )
</f>
        <v/>
      </c>
      <c r="M59" s="412" t="str">
        <f t="array" ref="M59">IF(
    DATEDIF($B59, TODAY(), "M") &gt;= 11,
    INDEX('Most Recent Import'!$F59:$Q59, 1, MATCH(11 - (COLUMN(M:M) - 5), {0, 1, 2, 3, 4, 5, 6, 7, 8, 9, 10, 11}, 0)),
    IF(
      DATEDIF($B59, TODAY(), "M") + 1 &gt;= COLUMN(M:M) - 5,
      INDEX('Most Recent Import'!$F59:$Q59, 1, MATCH(DATEDIF($B59, TODAY(), "M") + 1 - (COLUMN(M:M) - 5), {0, 1, 2, 3, 4, 5, 6, 7, 8, 9, 10, 11}, 0)),
      ""
    )
  )
</f>
        <v/>
      </c>
      <c r="N59" s="412" t="str">
        <f t="array" ref="N59">IF(
    DATEDIF($B59, TODAY(), "M") &gt;= 11,
    INDEX('Most Recent Import'!$F59:$Q59, 1, MATCH(11 - (COLUMN(N:N) - 5), {0, 1, 2, 3, 4, 5, 6, 7, 8, 9, 10, 11}, 0)),
    IF(
      DATEDIF($B59, TODAY(), "M") + 1 &gt;= COLUMN(N:N) - 5,
      INDEX('Most Recent Import'!$F59:$Q59, 1, MATCH(DATEDIF($B59, TODAY(), "M") + 1 - (COLUMN(N:N) - 5), {0, 1, 2, 3, 4, 5, 6, 7, 8, 9, 10, 11}, 0)),
      ""
    )
  )
</f>
        <v/>
      </c>
      <c r="O59" s="412" t="str">
        <f t="array" ref="O59">IF(
    DATEDIF($B59, TODAY(), "M") &gt;= 11,
    INDEX('Most Recent Import'!$F59:$Q59, 1, MATCH(11 - (COLUMN(O:O) - 5), {0, 1, 2, 3, 4, 5, 6, 7, 8, 9, 10, 11}, 0)),
    IF(
      DATEDIF($B59, TODAY(), "M") + 1 &gt;= COLUMN(O:O) - 5,
      INDEX('Most Recent Import'!$F59:$Q59, 1, MATCH(DATEDIF($B59, TODAY(), "M") + 1 - (COLUMN(O:O) - 5), {0, 1, 2, 3, 4, 5, 6, 7, 8, 9, 10, 11}, 0)),
      ""
    )
  )
</f>
        <v/>
      </c>
      <c r="P59" s="412" t="str">
        <f t="array" ref="P59">IF(
    DATEDIF($B59, TODAY(), "M") &gt;= 11,
    INDEX('Most Recent Import'!$F59:$Q59, 1, MATCH(11 - (COLUMN(P:P) - 5), {0, 1, 2, 3, 4, 5, 6, 7, 8, 9, 10, 11}, 0)),
    IF(
      DATEDIF($B59, TODAY(), "M") + 1 &gt;= COLUMN(P:P) - 5,
      INDEX('Most Recent Import'!$F59:$Q59, 1, MATCH(DATEDIF($B59, TODAY(), "M") + 1 - (COLUMN(P:P) - 5), {0, 1, 2, 3, 4, 5, 6, 7, 8, 9, 10, 11}, 0)),
      ""
    )
  )
</f>
        <v/>
      </c>
    </row>
    <row r="60">
      <c r="A60" s="412" t="str">
        <f>'Most Recent Import'!A60</f>
        <v/>
      </c>
      <c r="B60" s="412" t="str">
        <f>IF(ISBLANK(A60), "", DATE(LEFT('Most Recent Import'!C60, 4), RIGHT('Most Recent Import'!C60, 2), 1))</f>
        <v/>
      </c>
      <c r="C60" s="414" t="str">
        <f>'Most Recent Import'!B60</f>
        <v/>
      </c>
      <c r="D60" s="412" t="str">
        <f>'Most Recent Import'!D60</f>
        <v/>
      </c>
      <c r="E60" s="412" t="str">
        <f t="array" ref="E60">IF(
    DATEDIF($B60, TODAY(), "M") &gt;= 11,
    INDEX('Most Recent Import'!$F60:$Q60, 1, MATCH(11 - (COLUMN(E:E) - 5), {0, 1, 2, 3, 4, 5, 6, 7, 8, 9, 10, 11}, 0)),
    IF(
      DATEDIF($B60, TODAY(), "M") + 1 &gt;= COLUMN(E:E) - 5,
      INDEX('Most Recent Import'!$F60:$Q60, 1, MATCH(DATEDIF($B60, TODAY(), "M") + 1 - (COLUMN(E:E) - 5), {0, 1, 2, 3, 4, 5, 6, 7, 8, 9, 10, 11}, 0)),
      ""
    )
  )
</f>
        <v/>
      </c>
      <c r="F60" s="412" t="str">
        <f t="array" ref="F60">IF(
    DATEDIF($B60, TODAY(), "M") &gt;= 11,
    INDEX('Most Recent Import'!$F60:$Q60, 1, MATCH(11 - (COLUMN(F:F) - 5), {0, 1, 2, 3, 4, 5, 6, 7, 8, 9, 10, 11}, 0)),
    IF(
      DATEDIF($B60, TODAY(), "M") + 1 &gt;= COLUMN(F:F) - 5,
      INDEX('Most Recent Import'!$F60:$Q60, 1, MATCH(DATEDIF($B60, TODAY(), "M") + 1 - (COLUMN(F:F) - 5), {0, 1, 2, 3, 4, 5, 6, 7, 8, 9, 10, 11}, 0)),
      ""
    )
  )
</f>
        <v/>
      </c>
      <c r="G60" s="412" t="str">
        <f t="array" ref="G60">IF(
    DATEDIF($B60, TODAY(), "M") &gt;= 11,
    INDEX('Most Recent Import'!$F60:$Q60, 1, MATCH(11 - (COLUMN(G:G) - 5), {0, 1, 2, 3, 4, 5, 6, 7, 8, 9, 10, 11}, 0)),
    IF(
      DATEDIF($B60, TODAY(), "M") + 1 &gt;= COLUMN(G:G) - 5,
      INDEX('Most Recent Import'!$F60:$Q60, 1, MATCH(DATEDIF($B60, TODAY(), "M") + 1 - (COLUMN(G:G) - 5), {0, 1, 2, 3, 4, 5, 6, 7, 8, 9, 10, 11}, 0)),
      ""
    )
  )
</f>
        <v/>
      </c>
      <c r="H60" s="412" t="str">
        <f t="array" ref="H60">IF(
    DATEDIF($B60, TODAY(), "M") &gt;= 11,
    INDEX('Most Recent Import'!$F60:$Q60, 1, MATCH(11 - (COLUMN(H:H) - 5), {0, 1, 2, 3, 4, 5, 6, 7, 8, 9, 10, 11}, 0)),
    IF(
      DATEDIF($B60, TODAY(), "M") + 1 &gt;= COLUMN(H:H) - 5,
      INDEX('Most Recent Import'!$F60:$Q60, 1, MATCH(DATEDIF($B60, TODAY(), "M") + 1 - (COLUMN(H:H) - 5), {0, 1, 2, 3, 4, 5, 6, 7, 8, 9, 10, 11}, 0)),
      ""
    )
  )
</f>
        <v/>
      </c>
      <c r="I60" s="412" t="str">
        <f t="array" ref="I60">IF(
    DATEDIF($B60, TODAY(), "M") &gt;= 11,
    INDEX('Most Recent Import'!$F60:$Q60, 1, MATCH(11 - (COLUMN(I:I) - 5), {0, 1, 2, 3, 4, 5, 6, 7, 8, 9, 10, 11}, 0)),
    IF(
      DATEDIF($B60, TODAY(), "M") + 1 &gt;= COLUMN(I:I) - 5,
      INDEX('Most Recent Import'!$F60:$Q60, 1, MATCH(DATEDIF($B60, TODAY(), "M") + 1 - (COLUMN(I:I) - 5), {0, 1, 2, 3, 4, 5, 6, 7, 8, 9, 10, 11}, 0)),
      ""
    )
  )
</f>
        <v/>
      </c>
      <c r="J60" s="412" t="str">
        <f t="array" ref="J60">IF(
    DATEDIF($B60, TODAY(), "M") &gt;= 11,
    INDEX('Most Recent Import'!$F60:$Q60, 1, MATCH(11 - (COLUMN(J:J) - 5), {0, 1, 2, 3, 4, 5, 6, 7, 8, 9, 10, 11}, 0)),
    IF(
      DATEDIF($B60, TODAY(), "M") + 1 &gt;= COLUMN(J:J) - 5,
      INDEX('Most Recent Import'!$F60:$Q60, 1, MATCH(DATEDIF($B60, TODAY(), "M") + 1 - (COLUMN(J:J) - 5), {0, 1, 2, 3, 4, 5, 6, 7, 8, 9, 10, 11}, 0)),
      ""
    )
  )
</f>
        <v/>
      </c>
      <c r="K60" s="412" t="str">
        <f t="array" ref="K60">IF(
    DATEDIF($B60, TODAY(), "M") &gt;= 11,
    INDEX('Most Recent Import'!$F60:$Q60, 1, MATCH(11 - (COLUMN(K:K) - 5), {0, 1, 2, 3, 4, 5, 6, 7, 8, 9, 10, 11}, 0)),
    IF(
      DATEDIF($B60, TODAY(), "M") + 1 &gt;= COLUMN(K:K) - 5,
      INDEX('Most Recent Import'!$F60:$Q60, 1, MATCH(DATEDIF($B60, TODAY(), "M") + 1 - (COLUMN(K:K) - 5), {0, 1, 2, 3, 4, 5, 6, 7, 8, 9, 10, 11}, 0)),
      ""
    )
  )
</f>
        <v/>
      </c>
      <c r="L60" s="412" t="str">
        <f t="array" ref="L60">IF(
    DATEDIF($B60, TODAY(), "M") &gt;= 11,
    INDEX('Most Recent Import'!$F60:$Q60, 1, MATCH(11 - (COLUMN(L:L) - 5), {0, 1, 2, 3, 4, 5, 6, 7, 8, 9, 10, 11}, 0)),
    IF(
      DATEDIF($B60, TODAY(), "M") + 1 &gt;= COLUMN(L:L) - 5,
      INDEX('Most Recent Import'!$F60:$Q60, 1, MATCH(DATEDIF($B60, TODAY(), "M") + 1 - (COLUMN(L:L) - 5), {0, 1, 2, 3, 4, 5, 6, 7, 8, 9, 10, 11}, 0)),
      ""
    )
  )
</f>
        <v/>
      </c>
      <c r="M60" s="412" t="str">
        <f t="array" ref="M60">IF(
    DATEDIF($B60, TODAY(), "M") &gt;= 11,
    INDEX('Most Recent Import'!$F60:$Q60, 1, MATCH(11 - (COLUMN(M:M) - 5), {0, 1, 2, 3, 4, 5, 6, 7, 8, 9, 10, 11}, 0)),
    IF(
      DATEDIF($B60, TODAY(), "M") + 1 &gt;= COLUMN(M:M) - 5,
      INDEX('Most Recent Import'!$F60:$Q60, 1, MATCH(DATEDIF($B60, TODAY(), "M") + 1 - (COLUMN(M:M) - 5), {0, 1, 2, 3, 4, 5, 6, 7, 8, 9, 10, 11}, 0)),
      ""
    )
  )
</f>
        <v/>
      </c>
      <c r="N60" s="412" t="str">
        <f t="array" ref="N60">IF(
    DATEDIF($B60, TODAY(), "M") &gt;= 11,
    INDEX('Most Recent Import'!$F60:$Q60, 1, MATCH(11 - (COLUMN(N:N) - 5), {0, 1, 2, 3, 4, 5, 6, 7, 8, 9, 10, 11}, 0)),
    IF(
      DATEDIF($B60, TODAY(), "M") + 1 &gt;= COLUMN(N:N) - 5,
      INDEX('Most Recent Import'!$F60:$Q60, 1, MATCH(DATEDIF($B60, TODAY(), "M") + 1 - (COLUMN(N:N) - 5), {0, 1, 2, 3, 4, 5, 6, 7, 8, 9, 10, 11}, 0)),
      ""
    )
  )
</f>
        <v/>
      </c>
      <c r="O60" s="412" t="str">
        <f t="array" ref="O60">IF(
    DATEDIF($B60, TODAY(), "M") &gt;= 11,
    INDEX('Most Recent Import'!$F60:$Q60, 1, MATCH(11 - (COLUMN(O:O) - 5), {0, 1, 2, 3, 4, 5, 6, 7, 8, 9, 10, 11}, 0)),
    IF(
      DATEDIF($B60, TODAY(), "M") + 1 &gt;= COLUMN(O:O) - 5,
      INDEX('Most Recent Import'!$F60:$Q60, 1, MATCH(DATEDIF($B60, TODAY(), "M") + 1 - (COLUMN(O:O) - 5), {0, 1, 2, 3, 4, 5, 6, 7, 8, 9, 10, 11}, 0)),
      ""
    )
  )
</f>
        <v/>
      </c>
      <c r="P60" s="412" t="str">
        <f t="array" ref="P60">IF(
    DATEDIF($B60, TODAY(), "M") &gt;= 11,
    INDEX('Most Recent Import'!$F60:$Q60, 1, MATCH(11 - (COLUMN(P:P) - 5), {0, 1, 2, 3, 4, 5, 6, 7, 8, 9, 10, 11}, 0)),
    IF(
      DATEDIF($B60, TODAY(), "M") + 1 &gt;= COLUMN(P:P) - 5,
      INDEX('Most Recent Import'!$F60:$Q60, 1, MATCH(DATEDIF($B60, TODAY(), "M") + 1 - (COLUMN(P:P) - 5), {0, 1, 2, 3, 4, 5, 6, 7, 8, 9, 10, 11}, 0)),
      ""
    )
  )
</f>
        <v/>
      </c>
    </row>
    <row r="61">
      <c r="A61" s="412" t="str">
        <f>'Most Recent Import'!A61</f>
        <v/>
      </c>
      <c r="B61" s="412" t="str">
        <f>IF(ISBLANK(A61), "", DATE(LEFT('Most Recent Import'!C61, 4), RIGHT('Most Recent Import'!C61, 2), 1))</f>
        <v/>
      </c>
      <c r="C61" s="414" t="str">
        <f>'Most Recent Import'!B61</f>
        <v/>
      </c>
      <c r="D61" s="412" t="str">
        <f>'Most Recent Import'!D61</f>
        <v/>
      </c>
      <c r="E61" s="412" t="str">
        <f t="array" ref="E61">IF(
    DATEDIF($B61, TODAY(), "M") &gt;= 11,
    INDEX('Most Recent Import'!$F61:$Q61, 1, MATCH(11 - (COLUMN(E:E) - 5), {0, 1, 2, 3, 4, 5, 6, 7, 8, 9, 10, 11}, 0)),
    IF(
      DATEDIF($B61, TODAY(), "M") + 1 &gt;= COLUMN(E:E) - 5,
      INDEX('Most Recent Import'!$F61:$Q61, 1, MATCH(DATEDIF($B61, TODAY(), "M") + 1 - (COLUMN(E:E) - 5), {0, 1, 2, 3, 4, 5, 6, 7, 8, 9, 10, 11}, 0)),
      ""
    )
  )
</f>
        <v/>
      </c>
      <c r="F61" s="412" t="str">
        <f t="array" ref="F61">IF(
    DATEDIF($B61, TODAY(), "M") &gt;= 11,
    INDEX('Most Recent Import'!$F61:$Q61, 1, MATCH(11 - (COLUMN(F:F) - 5), {0, 1, 2, 3, 4, 5, 6, 7, 8, 9, 10, 11}, 0)),
    IF(
      DATEDIF($B61, TODAY(), "M") + 1 &gt;= COLUMN(F:F) - 5,
      INDEX('Most Recent Import'!$F61:$Q61, 1, MATCH(DATEDIF($B61, TODAY(), "M") + 1 - (COLUMN(F:F) - 5), {0, 1, 2, 3, 4, 5, 6, 7, 8, 9, 10, 11}, 0)),
      ""
    )
  )
</f>
        <v/>
      </c>
      <c r="G61" s="412" t="str">
        <f t="array" ref="G61">IF(
    DATEDIF($B61, TODAY(), "M") &gt;= 11,
    INDEX('Most Recent Import'!$F61:$Q61, 1, MATCH(11 - (COLUMN(G:G) - 5), {0, 1, 2, 3, 4, 5, 6, 7, 8, 9, 10, 11}, 0)),
    IF(
      DATEDIF($B61, TODAY(), "M") + 1 &gt;= COLUMN(G:G) - 5,
      INDEX('Most Recent Import'!$F61:$Q61, 1, MATCH(DATEDIF($B61, TODAY(), "M") + 1 - (COLUMN(G:G) - 5), {0, 1, 2, 3, 4, 5, 6, 7, 8, 9, 10, 11}, 0)),
      ""
    )
  )
</f>
        <v/>
      </c>
      <c r="H61" s="412" t="str">
        <f t="array" ref="H61">IF(
    DATEDIF($B61, TODAY(), "M") &gt;= 11,
    INDEX('Most Recent Import'!$F61:$Q61, 1, MATCH(11 - (COLUMN(H:H) - 5), {0, 1, 2, 3, 4, 5, 6, 7, 8, 9, 10, 11}, 0)),
    IF(
      DATEDIF($B61, TODAY(), "M") + 1 &gt;= COLUMN(H:H) - 5,
      INDEX('Most Recent Import'!$F61:$Q61, 1, MATCH(DATEDIF($B61, TODAY(), "M") + 1 - (COLUMN(H:H) - 5), {0, 1, 2, 3, 4, 5, 6, 7, 8, 9, 10, 11}, 0)),
      ""
    )
  )
</f>
        <v/>
      </c>
      <c r="I61" s="412" t="str">
        <f t="array" ref="I61">IF(
    DATEDIF($B61, TODAY(), "M") &gt;= 11,
    INDEX('Most Recent Import'!$F61:$Q61, 1, MATCH(11 - (COLUMN(I:I) - 5), {0, 1, 2, 3, 4, 5, 6, 7, 8, 9, 10, 11}, 0)),
    IF(
      DATEDIF($B61, TODAY(), "M") + 1 &gt;= COLUMN(I:I) - 5,
      INDEX('Most Recent Import'!$F61:$Q61, 1, MATCH(DATEDIF($B61, TODAY(), "M") + 1 - (COLUMN(I:I) - 5), {0, 1, 2, 3, 4, 5, 6, 7, 8, 9, 10, 11}, 0)),
      ""
    )
  )
</f>
        <v/>
      </c>
      <c r="J61" s="412" t="str">
        <f t="array" ref="J61">IF(
    DATEDIF($B61, TODAY(), "M") &gt;= 11,
    INDEX('Most Recent Import'!$F61:$Q61, 1, MATCH(11 - (COLUMN(J:J) - 5), {0, 1, 2, 3, 4, 5, 6, 7, 8, 9, 10, 11}, 0)),
    IF(
      DATEDIF($B61, TODAY(), "M") + 1 &gt;= COLUMN(J:J) - 5,
      INDEX('Most Recent Import'!$F61:$Q61, 1, MATCH(DATEDIF($B61, TODAY(), "M") + 1 - (COLUMN(J:J) - 5), {0, 1, 2, 3, 4, 5, 6, 7, 8, 9, 10, 11}, 0)),
      ""
    )
  )
</f>
        <v/>
      </c>
      <c r="K61" s="412" t="str">
        <f t="array" ref="K61">IF(
    DATEDIF($B61, TODAY(), "M") &gt;= 11,
    INDEX('Most Recent Import'!$F61:$Q61, 1, MATCH(11 - (COLUMN(K:K) - 5), {0, 1, 2, 3, 4, 5, 6, 7, 8, 9, 10, 11}, 0)),
    IF(
      DATEDIF($B61, TODAY(), "M") + 1 &gt;= COLUMN(K:K) - 5,
      INDEX('Most Recent Import'!$F61:$Q61, 1, MATCH(DATEDIF($B61, TODAY(), "M") + 1 - (COLUMN(K:K) - 5), {0, 1, 2, 3, 4, 5, 6, 7, 8, 9, 10, 11}, 0)),
      ""
    )
  )
</f>
        <v/>
      </c>
      <c r="L61" s="412" t="str">
        <f t="array" ref="L61">IF(
    DATEDIF($B61, TODAY(), "M") &gt;= 11,
    INDEX('Most Recent Import'!$F61:$Q61, 1, MATCH(11 - (COLUMN(L:L) - 5), {0, 1, 2, 3, 4, 5, 6, 7, 8, 9, 10, 11}, 0)),
    IF(
      DATEDIF($B61, TODAY(), "M") + 1 &gt;= COLUMN(L:L) - 5,
      INDEX('Most Recent Import'!$F61:$Q61, 1, MATCH(DATEDIF($B61, TODAY(), "M") + 1 - (COLUMN(L:L) - 5), {0, 1, 2, 3, 4, 5, 6, 7, 8, 9, 10, 11}, 0)),
      ""
    )
  )
</f>
        <v/>
      </c>
      <c r="M61" s="412" t="str">
        <f t="array" ref="M61">IF(
    DATEDIF($B61, TODAY(), "M") &gt;= 11,
    INDEX('Most Recent Import'!$F61:$Q61, 1, MATCH(11 - (COLUMN(M:M) - 5), {0, 1, 2, 3, 4, 5, 6, 7, 8, 9, 10, 11}, 0)),
    IF(
      DATEDIF($B61, TODAY(), "M") + 1 &gt;= COLUMN(M:M) - 5,
      INDEX('Most Recent Import'!$F61:$Q61, 1, MATCH(DATEDIF($B61, TODAY(), "M") + 1 - (COLUMN(M:M) - 5), {0, 1, 2, 3, 4, 5, 6, 7, 8, 9, 10, 11}, 0)),
      ""
    )
  )
</f>
        <v/>
      </c>
      <c r="N61" s="412" t="str">
        <f t="array" ref="N61">IF(
    DATEDIF($B61, TODAY(), "M") &gt;= 11,
    INDEX('Most Recent Import'!$F61:$Q61, 1, MATCH(11 - (COLUMN(N:N) - 5), {0, 1, 2, 3, 4, 5, 6, 7, 8, 9, 10, 11}, 0)),
    IF(
      DATEDIF($B61, TODAY(), "M") + 1 &gt;= COLUMN(N:N) - 5,
      INDEX('Most Recent Import'!$F61:$Q61, 1, MATCH(DATEDIF($B61, TODAY(), "M") + 1 - (COLUMN(N:N) - 5), {0, 1, 2, 3, 4, 5, 6, 7, 8, 9, 10, 11}, 0)),
      ""
    )
  )
</f>
        <v/>
      </c>
      <c r="O61" s="412" t="str">
        <f t="array" ref="O61">IF(
    DATEDIF($B61, TODAY(), "M") &gt;= 11,
    INDEX('Most Recent Import'!$F61:$Q61, 1, MATCH(11 - (COLUMN(O:O) - 5), {0, 1, 2, 3, 4, 5, 6, 7, 8, 9, 10, 11}, 0)),
    IF(
      DATEDIF($B61, TODAY(), "M") + 1 &gt;= COLUMN(O:O) - 5,
      INDEX('Most Recent Import'!$F61:$Q61, 1, MATCH(DATEDIF($B61, TODAY(), "M") + 1 - (COLUMN(O:O) - 5), {0, 1, 2, 3, 4, 5, 6, 7, 8, 9, 10, 11}, 0)),
      ""
    )
  )
</f>
        <v/>
      </c>
      <c r="P61" s="412" t="str">
        <f t="array" ref="P61">IF(
    DATEDIF($B61, TODAY(), "M") &gt;= 11,
    INDEX('Most Recent Import'!$F61:$Q61, 1, MATCH(11 - (COLUMN(P:P) - 5), {0, 1, 2, 3, 4, 5, 6, 7, 8, 9, 10, 11}, 0)),
    IF(
      DATEDIF($B61, TODAY(), "M") + 1 &gt;= COLUMN(P:P) - 5,
      INDEX('Most Recent Import'!$F61:$Q61, 1, MATCH(DATEDIF($B61, TODAY(), "M") + 1 - (COLUMN(P:P) - 5), {0, 1, 2, 3, 4, 5, 6, 7, 8, 9, 10, 11}, 0)),
      ""
    )
  )
</f>
        <v/>
      </c>
    </row>
    <row r="62">
      <c r="A62" s="412" t="str">
        <f>'Most Recent Import'!A62</f>
        <v/>
      </c>
      <c r="B62" s="412" t="str">
        <f>IF(ISBLANK(A62), "", DATE(LEFT('Most Recent Import'!C62, 4), RIGHT('Most Recent Import'!C62, 2), 1))</f>
        <v/>
      </c>
      <c r="C62" s="414" t="str">
        <f>'Most Recent Import'!B62</f>
        <v/>
      </c>
      <c r="D62" s="412" t="str">
        <f>'Most Recent Import'!D62</f>
        <v/>
      </c>
      <c r="E62" s="412" t="str">
        <f t="array" ref="E62">IF(
    DATEDIF($B62, TODAY(), "M") &gt;= 11,
    INDEX('Most Recent Import'!$F62:$Q62, 1, MATCH(11 - (COLUMN(E:E) - 5), {0, 1, 2, 3, 4, 5, 6, 7, 8, 9, 10, 11}, 0)),
    IF(
      DATEDIF($B62, TODAY(), "M") + 1 &gt;= COLUMN(E:E) - 5,
      INDEX('Most Recent Import'!$F62:$Q62, 1, MATCH(DATEDIF($B62, TODAY(), "M") + 1 - (COLUMN(E:E) - 5), {0, 1, 2, 3, 4, 5, 6, 7, 8, 9, 10, 11}, 0)),
      ""
    )
  )
</f>
        <v/>
      </c>
      <c r="F62" s="412" t="str">
        <f t="array" ref="F62">IF(
    DATEDIF($B62, TODAY(), "M") &gt;= 11,
    INDEX('Most Recent Import'!$F62:$Q62, 1, MATCH(11 - (COLUMN(F:F) - 5), {0, 1, 2, 3, 4, 5, 6, 7, 8, 9, 10, 11}, 0)),
    IF(
      DATEDIF($B62, TODAY(), "M") + 1 &gt;= COLUMN(F:F) - 5,
      INDEX('Most Recent Import'!$F62:$Q62, 1, MATCH(DATEDIF($B62, TODAY(), "M") + 1 - (COLUMN(F:F) - 5), {0, 1, 2, 3, 4, 5, 6, 7, 8, 9, 10, 11}, 0)),
      ""
    )
  )
</f>
        <v/>
      </c>
      <c r="G62" s="412" t="str">
        <f t="array" ref="G62">IF(
    DATEDIF($B62, TODAY(), "M") &gt;= 11,
    INDEX('Most Recent Import'!$F62:$Q62, 1, MATCH(11 - (COLUMN(G:G) - 5), {0, 1, 2, 3, 4, 5, 6, 7, 8, 9, 10, 11}, 0)),
    IF(
      DATEDIF($B62, TODAY(), "M") + 1 &gt;= COLUMN(G:G) - 5,
      INDEX('Most Recent Import'!$F62:$Q62, 1, MATCH(DATEDIF($B62, TODAY(), "M") + 1 - (COLUMN(G:G) - 5), {0, 1, 2, 3, 4, 5, 6, 7, 8, 9, 10, 11}, 0)),
      ""
    )
  )
</f>
        <v/>
      </c>
      <c r="H62" s="412" t="str">
        <f t="array" ref="H62">IF(
    DATEDIF($B62, TODAY(), "M") &gt;= 11,
    INDEX('Most Recent Import'!$F62:$Q62, 1, MATCH(11 - (COLUMN(H:H) - 5), {0, 1, 2, 3, 4, 5, 6, 7, 8, 9, 10, 11}, 0)),
    IF(
      DATEDIF($B62, TODAY(), "M") + 1 &gt;= COLUMN(H:H) - 5,
      INDEX('Most Recent Import'!$F62:$Q62, 1, MATCH(DATEDIF($B62, TODAY(), "M") + 1 - (COLUMN(H:H) - 5), {0, 1, 2, 3, 4, 5, 6, 7, 8, 9, 10, 11}, 0)),
      ""
    )
  )
</f>
        <v/>
      </c>
      <c r="I62" s="412" t="str">
        <f t="array" ref="I62">IF(
    DATEDIF($B62, TODAY(), "M") &gt;= 11,
    INDEX('Most Recent Import'!$F62:$Q62, 1, MATCH(11 - (COLUMN(I:I) - 5), {0, 1, 2, 3, 4, 5, 6, 7, 8, 9, 10, 11}, 0)),
    IF(
      DATEDIF($B62, TODAY(), "M") + 1 &gt;= COLUMN(I:I) - 5,
      INDEX('Most Recent Import'!$F62:$Q62, 1, MATCH(DATEDIF($B62, TODAY(), "M") + 1 - (COLUMN(I:I) - 5), {0, 1, 2, 3, 4, 5, 6, 7, 8, 9, 10, 11}, 0)),
      ""
    )
  )
</f>
        <v/>
      </c>
      <c r="J62" s="412" t="str">
        <f t="array" ref="J62">IF(
    DATEDIF($B62, TODAY(), "M") &gt;= 11,
    INDEX('Most Recent Import'!$F62:$Q62, 1, MATCH(11 - (COLUMN(J:J) - 5), {0, 1, 2, 3, 4, 5, 6, 7, 8, 9, 10, 11}, 0)),
    IF(
      DATEDIF($B62, TODAY(), "M") + 1 &gt;= COLUMN(J:J) - 5,
      INDEX('Most Recent Import'!$F62:$Q62, 1, MATCH(DATEDIF($B62, TODAY(), "M") + 1 - (COLUMN(J:J) - 5), {0, 1, 2, 3, 4, 5, 6, 7, 8, 9, 10, 11}, 0)),
      ""
    )
  )
</f>
        <v/>
      </c>
      <c r="K62" s="412" t="str">
        <f t="array" ref="K62">IF(
    DATEDIF($B62, TODAY(), "M") &gt;= 11,
    INDEX('Most Recent Import'!$F62:$Q62, 1, MATCH(11 - (COLUMN(K:K) - 5), {0, 1, 2, 3, 4, 5, 6, 7, 8, 9, 10, 11}, 0)),
    IF(
      DATEDIF($B62, TODAY(), "M") + 1 &gt;= COLUMN(K:K) - 5,
      INDEX('Most Recent Import'!$F62:$Q62, 1, MATCH(DATEDIF($B62, TODAY(), "M") + 1 - (COLUMN(K:K) - 5), {0, 1, 2, 3, 4, 5, 6, 7, 8, 9, 10, 11}, 0)),
      ""
    )
  )
</f>
        <v/>
      </c>
      <c r="L62" s="412" t="str">
        <f t="array" ref="L62">IF(
    DATEDIF($B62, TODAY(), "M") &gt;= 11,
    INDEX('Most Recent Import'!$F62:$Q62, 1, MATCH(11 - (COLUMN(L:L) - 5), {0, 1, 2, 3, 4, 5, 6, 7, 8, 9, 10, 11}, 0)),
    IF(
      DATEDIF($B62, TODAY(), "M") + 1 &gt;= COLUMN(L:L) - 5,
      INDEX('Most Recent Import'!$F62:$Q62, 1, MATCH(DATEDIF($B62, TODAY(), "M") + 1 - (COLUMN(L:L) - 5), {0, 1, 2, 3, 4, 5, 6, 7, 8, 9, 10, 11}, 0)),
      ""
    )
  )
</f>
        <v/>
      </c>
      <c r="M62" s="412" t="str">
        <f t="array" ref="M62">IF(
    DATEDIF($B62, TODAY(), "M") &gt;= 11,
    INDEX('Most Recent Import'!$F62:$Q62, 1, MATCH(11 - (COLUMN(M:M) - 5), {0, 1, 2, 3, 4, 5, 6, 7, 8, 9, 10, 11}, 0)),
    IF(
      DATEDIF($B62, TODAY(), "M") + 1 &gt;= COLUMN(M:M) - 5,
      INDEX('Most Recent Import'!$F62:$Q62, 1, MATCH(DATEDIF($B62, TODAY(), "M") + 1 - (COLUMN(M:M) - 5), {0, 1, 2, 3, 4, 5, 6, 7, 8, 9, 10, 11}, 0)),
      ""
    )
  )
</f>
        <v/>
      </c>
      <c r="N62" s="412" t="str">
        <f t="array" ref="N62">IF(
    DATEDIF($B62, TODAY(), "M") &gt;= 11,
    INDEX('Most Recent Import'!$F62:$Q62, 1, MATCH(11 - (COLUMN(N:N) - 5), {0, 1, 2, 3, 4, 5, 6, 7, 8, 9, 10, 11}, 0)),
    IF(
      DATEDIF($B62, TODAY(), "M") + 1 &gt;= COLUMN(N:N) - 5,
      INDEX('Most Recent Import'!$F62:$Q62, 1, MATCH(DATEDIF($B62, TODAY(), "M") + 1 - (COLUMN(N:N) - 5), {0, 1, 2, 3, 4, 5, 6, 7, 8, 9, 10, 11}, 0)),
      ""
    )
  )
</f>
        <v/>
      </c>
      <c r="O62" s="412" t="str">
        <f t="array" ref="O62">IF(
    DATEDIF($B62, TODAY(), "M") &gt;= 11,
    INDEX('Most Recent Import'!$F62:$Q62, 1, MATCH(11 - (COLUMN(O:O) - 5), {0, 1, 2, 3, 4, 5, 6, 7, 8, 9, 10, 11}, 0)),
    IF(
      DATEDIF($B62, TODAY(), "M") + 1 &gt;= COLUMN(O:O) - 5,
      INDEX('Most Recent Import'!$F62:$Q62, 1, MATCH(DATEDIF($B62, TODAY(), "M") + 1 - (COLUMN(O:O) - 5), {0, 1, 2, 3, 4, 5, 6, 7, 8, 9, 10, 11}, 0)),
      ""
    )
  )
</f>
        <v/>
      </c>
      <c r="P62" s="412" t="str">
        <f t="array" ref="P62">IF(
    DATEDIF($B62, TODAY(), "M") &gt;= 11,
    INDEX('Most Recent Import'!$F62:$Q62, 1, MATCH(11 - (COLUMN(P:P) - 5), {0, 1, 2, 3, 4, 5, 6, 7, 8, 9, 10, 11}, 0)),
    IF(
      DATEDIF($B62, TODAY(), "M") + 1 &gt;= COLUMN(P:P) - 5,
      INDEX('Most Recent Import'!$F62:$Q62, 1, MATCH(DATEDIF($B62, TODAY(), "M") + 1 - (COLUMN(P:P) - 5), {0, 1, 2, 3, 4, 5, 6, 7, 8, 9, 10, 11}, 0)),
      ""
    )
  )
</f>
        <v/>
      </c>
    </row>
    <row r="63">
      <c r="A63" s="412" t="str">
        <f>'Most Recent Import'!A63</f>
        <v/>
      </c>
      <c r="B63" s="412" t="str">
        <f>IF(ISBLANK(A63), "", DATE(LEFT('Most Recent Import'!C63, 4), RIGHT('Most Recent Import'!C63, 2), 1))</f>
        <v/>
      </c>
      <c r="C63" s="414" t="str">
        <f>'Most Recent Import'!B63</f>
        <v/>
      </c>
      <c r="D63" s="412" t="str">
        <f>'Most Recent Import'!D63</f>
        <v/>
      </c>
      <c r="E63" s="412" t="str">
        <f t="array" ref="E63">IF(
    DATEDIF($B63, TODAY(), "M") &gt;= 11,
    INDEX('Most Recent Import'!$F63:$Q63, 1, MATCH(11 - (COLUMN(E:E) - 5), {0, 1, 2, 3, 4, 5, 6, 7, 8, 9, 10, 11}, 0)),
    IF(
      DATEDIF($B63, TODAY(), "M") + 1 &gt;= COLUMN(E:E) - 5,
      INDEX('Most Recent Import'!$F63:$Q63, 1, MATCH(DATEDIF($B63, TODAY(), "M") + 1 - (COLUMN(E:E) - 5), {0, 1, 2, 3, 4, 5, 6, 7, 8, 9, 10, 11}, 0)),
      ""
    )
  )
</f>
        <v/>
      </c>
      <c r="F63" s="412" t="str">
        <f t="array" ref="F63">IF(
    DATEDIF($B63, TODAY(), "M") &gt;= 11,
    INDEX('Most Recent Import'!$F63:$Q63, 1, MATCH(11 - (COLUMN(F:F) - 5), {0, 1, 2, 3, 4, 5, 6, 7, 8, 9, 10, 11}, 0)),
    IF(
      DATEDIF($B63, TODAY(), "M") + 1 &gt;= COLUMN(F:F) - 5,
      INDEX('Most Recent Import'!$F63:$Q63, 1, MATCH(DATEDIF($B63, TODAY(), "M") + 1 - (COLUMN(F:F) - 5), {0, 1, 2, 3, 4, 5, 6, 7, 8, 9, 10, 11}, 0)),
      ""
    )
  )
</f>
        <v/>
      </c>
      <c r="G63" s="412" t="str">
        <f t="array" ref="G63">IF(
    DATEDIF($B63, TODAY(), "M") &gt;= 11,
    INDEX('Most Recent Import'!$F63:$Q63, 1, MATCH(11 - (COLUMN(G:G) - 5), {0, 1, 2, 3, 4, 5, 6, 7, 8, 9, 10, 11}, 0)),
    IF(
      DATEDIF($B63, TODAY(), "M") + 1 &gt;= COLUMN(G:G) - 5,
      INDEX('Most Recent Import'!$F63:$Q63, 1, MATCH(DATEDIF($B63, TODAY(), "M") + 1 - (COLUMN(G:G) - 5), {0, 1, 2, 3, 4, 5, 6, 7, 8, 9, 10, 11}, 0)),
      ""
    )
  )
</f>
        <v/>
      </c>
      <c r="H63" s="412" t="str">
        <f t="array" ref="H63">IF(
    DATEDIF($B63, TODAY(), "M") &gt;= 11,
    INDEX('Most Recent Import'!$F63:$Q63, 1, MATCH(11 - (COLUMN(H:H) - 5), {0, 1, 2, 3, 4, 5, 6, 7, 8, 9, 10, 11}, 0)),
    IF(
      DATEDIF($B63, TODAY(), "M") + 1 &gt;= COLUMN(H:H) - 5,
      INDEX('Most Recent Import'!$F63:$Q63, 1, MATCH(DATEDIF($B63, TODAY(), "M") + 1 - (COLUMN(H:H) - 5), {0, 1, 2, 3, 4, 5, 6, 7, 8, 9, 10, 11}, 0)),
      ""
    )
  )
</f>
        <v/>
      </c>
      <c r="I63" s="412" t="str">
        <f t="array" ref="I63">IF(
    DATEDIF($B63, TODAY(), "M") &gt;= 11,
    INDEX('Most Recent Import'!$F63:$Q63, 1, MATCH(11 - (COLUMN(I:I) - 5), {0, 1, 2, 3, 4, 5, 6, 7, 8, 9, 10, 11}, 0)),
    IF(
      DATEDIF($B63, TODAY(), "M") + 1 &gt;= COLUMN(I:I) - 5,
      INDEX('Most Recent Import'!$F63:$Q63, 1, MATCH(DATEDIF($B63, TODAY(), "M") + 1 - (COLUMN(I:I) - 5), {0, 1, 2, 3, 4, 5, 6, 7, 8, 9, 10, 11}, 0)),
      ""
    )
  )
</f>
        <v/>
      </c>
      <c r="J63" s="412" t="str">
        <f t="array" ref="J63">IF(
    DATEDIF($B63, TODAY(), "M") &gt;= 11,
    INDEX('Most Recent Import'!$F63:$Q63, 1, MATCH(11 - (COLUMN(J:J) - 5), {0, 1, 2, 3, 4, 5, 6, 7, 8, 9, 10, 11}, 0)),
    IF(
      DATEDIF($B63, TODAY(), "M") + 1 &gt;= COLUMN(J:J) - 5,
      INDEX('Most Recent Import'!$F63:$Q63, 1, MATCH(DATEDIF($B63, TODAY(), "M") + 1 - (COLUMN(J:J) - 5), {0, 1, 2, 3, 4, 5, 6, 7, 8, 9, 10, 11}, 0)),
      ""
    )
  )
</f>
        <v/>
      </c>
      <c r="K63" s="412" t="str">
        <f t="array" ref="K63">IF(
    DATEDIF($B63, TODAY(), "M") &gt;= 11,
    INDEX('Most Recent Import'!$F63:$Q63, 1, MATCH(11 - (COLUMN(K:K) - 5), {0, 1, 2, 3, 4, 5, 6, 7, 8, 9, 10, 11}, 0)),
    IF(
      DATEDIF($B63, TODAY(), "M") + 1 &gt;= COLUMN(K:K) - 5,
      INDEX('Most Recent Import'!$F63:$Q63, 1, MATCH(DATEDIF($B63, TODAY(), "M") + 1 - (COLUMN(K:K) - 5), {0, 1, 2, 3, 4, 5, 6, 7, 8, 9, 10, 11}, 0)),
      ""
    )
  )
</f>
        <v/>
      </c>
      <c r="L63" s="412" t="str">
        <f t="array" ref="L63">IF(
    DATEDIF($B63, TODAY(), "M") &gt;= 11,
    INDEX('Most Recent Import'!$F63:$Q63, 1, MATCH(11 - (COLUMN(L:L) - 5), {0, 1, 2, 3, 4, 5, 6, 7, 8, 9, 10, 11}, 0)),
    IF(
      DATEDIF($B63, TODAY(), "M") + 1 &gt;= COLUMN(L:L) - 5,
      INDEX('Most Recent Import'!$F63:$Q63, 1, MATCH(DATEDIF($B63, TODAY(), "M") + 1 - (COLUMN(L:L) - 5), {0, 1, 2, 3, 4, 5, 6, 7, 8, 9, 10, 11}, 0)),
      ""
    )
  )
</f>
        <v/>
      </c>
      <c r="M63" s="412" t="str">
        <f t="array" ref="M63">IF(
    DATEDIF($B63, TODAY(), "M") &gt;= 11,
    INDEX('Most Recent Import'!$F63:$Q63, 1, MATCH(11 - (COLUMN(M:M) - 5), {0, 1, 2, 3, 4, 5, 6, 7, 8, 9, 10, 11}, 0)),
    IF(
      DATEDIF($B63, TODAY(), "M") + 1 &gt;= COLUMN(M:M) - 5,
      INDEX('Most Recent Import'!$F63:$Q63, 1, MATCH(DATEDIF($B63, TODAY(), "M") + 1 - (COLUMN(M:M) - 5), {0, 1, 2, 3, 4, 5, 6, 7, 8, 9, 10, 11}, 0)),
      ""
    )
  )
</f>
        <v/>
      </c>
      <c r="N63" s="412" t="str">
        <f t="array" ref="N63">IF(
    DATEDIF($B63, TODAY(), "M") &gt;= 11,
    INDEX('Most Recent Import'!$F63:$Q63, 1, MATCH(11 - (COLUMN(N:N) - 5), {0, 1, 2, 3, 4, 5, 6, 7, 8, 9, 10, 11}, 0)),
    IF(
      DATEDIF($B63, TODAY(), "M") + 1 &gt;= COLUMN(N:N) - 5,
      INDEX('Most Recent Import'!$F63:$Q63, 1, MATCH(DATEDIF($B63, TODAY(), "M") + 1 - (COLUMN(N:N) - 5), {0, 1, 2, 3, 4, 5, 6, 7, 8, 9, 10, 11}, 0)),
      ""
    )
  )
</f>
        <v/>
      </c>
      <c r="O63" s="412" t="str">
        <f t="array" ref="O63">IF(
    DATEDIF($B63, TODAY(), "M") &gt;= 11,
    INDEX('Most Recent Import'!$F63:$Q63, 1, MATCH(11 - (COLUMN(O:O) - 5), {0, 1, 2, 3, 4, 5, 6, 7, 8, 9, 10, 11}, 0)),
    IF(
      DATEDIF($B63, TODAY(), "M") + 1 &gt;= COLUMN(O:O) - 5,
      INDEX('Most Recent Import'!$F63:$Q63, 1, MATCH(DATEDIF($B63, TODAY(), "M") + 1 - (COLUMN(O:O) - 5), {0, 1, 2, 3, 4, 5, 6, 7, 8, 9, 10, 11}, 0)),
      ""
    )
  )
</f>
        <v/>
      </c>
      <c r="P63" s="412" t="str">
        <f t="array" ref="P63">IF(
    DATEDIF($B63, TODAY(), "M") &gt;= 11,
    INDEX('Most Recent Import'!$F63:$Q63, 1, MATCH(11 - (COLUMN(P:P) - 5), {0, 1, 2, 3, 4, 5, 6, 7, 8, 9, 10, 11}, 0)),
    IF(
      DATEDIF($B63, TODAY(), "M") + 1 &gt;= COLUMN(P:P) - 5,
      INDEX('Most Recent Import'!$F63:$Q63, 1, MATCH(DATEDIF($B63, TODAY(), "M") + 1 - (COLUMN(P:P) - 5), {0, 1, 2, 3, 4, 5, 6, 7, 8, 9, 10, 11}, 0)),
      ""
    )
  )
</f>
        <v/>
      </c>
    </row>
    <row r="64">
      <c r="A64" s="412" t="str">
        <f>'Most Recent Import'!A64</f>
        <v/>
      </c>
      <c r="B64" s="412" t="str">
        <f>IF(ISBLANK(A64), "", DATE(LEFT('Most Recent Import'!C64, 4), RIGHT('Most Recent Import'!C64, 2), 1))</f>
        <v/>
      </c>
      <c r="C64" s="414" t="str">
        <f>'Most Recent Import'!B64</f>
        <v/>
      </c>
      <c r="D64" s="412" t="str">
        <f>'Most Recent Import'!D64</f>
        <v/>
      </c>
      <c r="E64" s="412" t="str">
        <f t="array" ref="E64">IF(
    DATEDIF($B64, TODAY(), "M") &gt;= 11,
    INDEX('Most Recent Import'!$F64:$Q64, 1, MATCH(11 - (COLUMN(E:E) - 5), {0, 1, 2, 3, 4, 5, 6, 7, 8, 9, 10, 11}, 0)),
    IF(
      DATEDIF($B64, TODAY(), "M") + 1 &gt;= COLUMN(E:E) - 5,
      INDEX('Most Recent Import'!$F64:$Q64, 1, MATCH(DATEDIF($B64, TODAY(), "M") + 1 - (COLUMN(E:E) - 5), {0, 1, 2, 3, 4, 5, 6, 7, 8, 9, 10, 11}, 0)),
      ""
    )
  )
</f>
        <v/>
      </c>
      <c r="F64" s="412" t="str">
        <f t="array" ref="F64">IF(
    DATEDIF($B64, TODAY(), "M") &gt;= 11,
    INDEX('Most Recent Import'!$F64:$Q64, 1, MATCH(11 - (COLUMN(F:F) - 5), {0, 1, 2, 3, 4, 5, 6, 7, 8, 9, 10, 11}, 0)),
    IF(
      DATEDIF($B64, TODAY(), "M") + 1 &gt;= COLUMN(F:F) - 5,
      INDEX('Most Recent Import'!$F64:$Q64, 1, MATCH(DATEDIF($B64, TODAY(), "M") + 1 - (COLUMN(F:F) - 5), {0, 1, 2, 3, 4, 5, 6, 7, 8, 9, 10, 11}, 0)),
      ""
    )
  )
</f>
        <v/>
      </c>
      <c r="G64" s="412" t="str">
        <f t="array" ref="G64">IF(
    DATEDIF($B64, TODAY(), "M") &gt;= 11,
    INDEX('Most Recent Import'!$F64:$Q64, 1, MATCH(11 - (COLUMN(G:G) - 5), {0, 1, 2, 3, 4, 5, 6, 7, 8, 9, 10, 11}, 0)),
    IF(
      DATEDIF($B64, TODAY(), "M") + 1 &gt;= COLUMN(G:G) - 5,
      INDEX('Most Recent Import'!$F64:$Q64, 1, MATCH(DATEDIF($B64, TODAY(), "M") + 1 - (COLUMN(G:G) - 5), {0, 1, 2, 3, 4, 5, 6, 7, 8, 9, 10, 11}, 0)),
      ""
    )
  )
</f>
        <v/>
      </c>
      <c r="H64" s="412" t="str">
        <f t="array" ref="H64">IF(
    DATEDIF($B64, TODAY(), "M") &gt;= 11,
    INDEX('Most Recent Import'!$F64:$Q64, 1, MATCH(11 - (COLUMN(H:H) - 5), {0, 1, 2, 3, 4, 5, 6, 7, 8, 9, 10, 11}, 0)),
    IF(
      DATEDIF($B64, TODAY(), "M") + 1 &gt;= COLUMN(H:H) - 5,
      INDEX('Most Recent Import'!$F64:$Q64, 1, MATCH(DATEDIF($B64, TODAY(), "M") + 1 - (COLUMN(H:H) - 5), {0, 1, 2, 3, 4, 5, 6, 7, 8, 9, 10, 11}, 0)),
      ""
    )
  )
</f>
        <v/>
      </c>
      <c r="I64" s="412" t="str">
        <f t="array" ref="I64">IF(
    DATEDIF($B64, TODAY(), "M") &gt;= 11,
    INDEX('Most Recent Import'!$F64:$Q64, 1, MATCH(11 - (COLUMN(I:I) - 5), {0, 1, 2, 3, 4, 5, 6, 7, 8, 9, 10, 11}, 0)),
    IF(
      DATEDIF($B64, TODAY(), "M") + 1 &gt;= COLUMN(I:I) - 5,
      INDEX('Most Recent Import'!$F64:$Q64, 1, MATCH(DATEDIF($B64, TODAY(), "M") + 1 - (COLUMN(I:I) - 5), {0, 1, 2, 3, 4, 5, 6, 7, 8, 9, 10, 11}, 0)),
      ""
    )
  )
</f>
        <v/>
      </c>
      <c r="J64" s="412" t="str">
        <f t="array" ref="J64">IF(
    DATEDIF($B64, TODAY(), "M") &gt;= 11,
    INDEX('Most Recent Import'!$F64:$Q64, 1, MATCH(11 - (COLUMN(J:J) - 5), {0, 1, 2, 3, 4, 5, 6, 7, 8, 9, 10, 11}, 0)),
    IF(
      DATEDIF($B64, TODAY(), "M") + 1 &gt;= COLUMN(J:J) - 5,
      INDEX('Most Recent Import'!$F64:$Q64, 1, MATCH(DATEDIF($B64, TODAY(), "M") + 1 - (COLUMN(J:J) - 5), {0, 1, 2, 3, 4, 5, 6, 7, 8, 9, 10, 11}, 0)),
      ""
    )
  )
</f>
        <v/>
      </c>
      <c r="K64" s="412" t="str">
        <f t="array" ref="K64">IF(
    DATEDIF($B64, TODAY(), "M") &gt;= 11,
    INDEX('Most Recent Import'!$F64:$Q64, 1, MATCH(11 - (COLUMN(K:K) - 5), {0, 1, 2, 3, 4, 5, 6, 7, 8, 9, 10, 11}, 0)),
    IF(
      DATEDIF($B64, TODAY(), "M") + 1 &gt;= COLUMN(K:K) - 5,
      INDEX('Most Recent Import'!$F64:$Q64, 1, MATCH(DATEDIF($B64, TODAY(), "M") + 1 - (COLUMN(K:K) - 5), {0, 1, 2, 3, 4, 5, 6, 7, 8, 9, 10, 11}, 0)),
      ""
    )
  )
</f>
        <v/>
      </c>
      <c r="L64" s="412" t="str">
        <f t="array" ref="L64">IF(
    DATEDIF($B64, TODAY(), "M") &gt;= 11,
    INDEX('Most Recent Import'!$F64:$Q64, 1, MATCH(11 - (COLUMN(L:L) - 5), {0, 1, 2, 3, 4, 5, 6, 7, 8, 9, 10, 11}, 0)),
    IF(
      DATEDIF($B64, TODAY(), "M") + 1 &gt;= COLUMN(L:L) - 5,
      INDEX('Most Recent Import'!$F64:$Q64, 1, MATCH(DATEDIF($B64, TODAY(), "M") + 1 - (COLUMN(L:L) - 5), {0, 1, 2, 3, 4, 5, 6, 7, 8, 9, 10, 11}, 0)),
      ""
    )
  )
</f>
        <v/>
      </c>
      <c r="M64" s="412" t="str">
        <f t="array" ref="M64">IF(
    DATEDIF($B64, TODAY(), "M") &gt;= 11,
    INDEX('Most Recent Import'!$F64:$Q64, 1, MATCH(11 - (COLUMN(M:M) - 5), {0, 1, 2, 3, 4, 5, 6, 7, 8, 9, 10, 11}, 0)),
    IF(
      DATEDIF($B64, TODAY(), "M") + 1 &gt;= COLUMN(M:M) - 5,
      INDEX('Most Recent Import'!$F64:$Q64, 1, MATCH(DATEDIF($B64, TODAY(), "M") + 1 - (COLUMN(M:M) - 5), {0, 1, 2, 3, 4, 5, 6, 7, 8, 9, 10, 11}, 0)),
      ""
    )
  )
</f>
        <v/>
      </c>
      <c r="N64" s="412" t="str">
        <f t="array" ref="N64">IF(
    DATEDIF($B64, TODAY(), "M") &gt;= 11,
    INDEX('Most Recent Import'!$F64:$Q64, 1, MATCH(11 - (COLUMN(N:N) - 5), {0, 1, 2, 3, 4, 5, 6, 7, 8, 9, 10, 11}, 0)),
    IF(
      DATEDIF($B64, TODAY(), "M") + 1 &gt;= COLUMN(N:N) - 5,
      INDEX('Most Recent Import'!$F64:$Q64, 1, MATCH(DATEDIF($B64, TODAY(), "M") + 1 - (COLUMN(N:N) - 5), {0, 1, 2, 3, 4, 5, 6, 7, 8, 9, 10, 11}, 0)),
      ""
    )
  )
</f>
        <v/>
      </c>
      <c r="O64" s="412" t="str">
        <f t="array" ref="O64">IF(
    DATEDIF($B64, TODAY(), "M") &gt;= 11,
    INDEX('Most Recent Import'!$F64:$Q64, 1, MATCH(11 - (COLUMN(O:O) - 5), {0, 1, 2, 3, 4, 5, 6, 7, 8, 9, 10, 11}, 0)),
    IF(
      DATEDIF($B64, TODAY(), "M") + 1 &gt;= COLUMN(O:O) - 5,
      INDEX('Most Recent Import'!$F64:$Q64, 1, MATCH(DATEDIF($B64, TODAY(), "M") + 1 - (COLUMN(O:O) - 5), {0, 1, 2, 3, 4, 5, 6, 7, 8, 9, 10, 11}, 0)),
      ""
    )
  )
</f>
        <v/>
      </c>
      <c r="P64" s="412" t="str">
        <f t="array" ref="P64">IF(
    DATEDIF($B64, TODAY(), "M") &gt;= 11,
    INDEX('Most Recent Import'!$F64:$Q64, 1, MATCH(11 - (COLUMN(P:P) - 5), {0, 1, 2, 3, 4, 5, 6, 7, 8, 9, 10, 11}, 0)),
    IF(
      DATEDIF($B64, TODAY(), "M") + 1 &gt;= COLUMN(P:P) - 5,
      INDEX('Most Recent Import'!$F64:$Q64, 1, MATCH(DATEDIF($B64, TODAY(), "M") + 1 - (COLUMN(P:P) - 5), {0, 1, 2, 3, 4, 5, 6, 7, 8, 9, 10, 11}, 0)),
      ""
    )
  )
</f>
        <v/>
      </c>
    </row>
    <row r="65">
      <c r="A65" s="412" t="str">
        <f>'Most Recent Import'!A65</f>
        <v/>
      </c>
      <c r="B65" s="412" t="str">
        <f>IF(ISBLANK(A65), "", DATE(LEFT('Most Recent Import'!C65, 4), RIGHT('Most Recent Import'!C65, 2), 1))</f>
        <v/>
      </c>
      <c r="C65" s="414" t="str">
        <f>'Most Recent Import'!B65</f>
        <v/>
      </c>
      <c r="D65" s="412" t="str">
        <f>'Most Recent Import'!D65</f>
        <v/>
      </c>
      <c r="E65" s="412" t="str">
        <f t="array" ref="E65">IF(
    DATEDIF($B65, TODAY(), "M") &gt;= 11,
    INDEX('Most Recent Import'!$F65:$Q65, 1, MATCH(11 - (COLUMN(E:E) - 5), {0, 1, 2, 3, 4, 5, 6, 7, 8, 9, 10, 11}, 0)),
    IF(
      DATEDIF($B65, TODAY(), "M") + 1 &gt;= COLUMN(E:E) - 5,
      INDEX('Most Recent Import'!$F65:$Q65, 1, MATCH(DATEDIF($B65, TODAY(), "M") + 1 - (COLUMN(E:E) - 5), {0, 1, 2, 3, 4, 5, 6, 7, 8, 9, 10, 11}, 0)),
      ""
    )
  )
</f>
        <v/>
      </c>
      <c r="F65" s="412" t="str">
        <f t="array" ref="F65">IF(
    DATEDIF($B65, TODAY(), "M") &gt;= 11,
    INDEX('Most Recent Import'!$F65:$Q65, 1, MATCH(11 - (COLUMN(F:F) - 5), {0, 1, 2, 3, 4, 5, 6, 7, 8, 9, 10, 11}, 0)),
    IF(
      DATEDIF($B65, TODAY(), "M") + 1 &gt;= COLUMN(F:F) - 5,
      INDEX('Most Recent Import'!$F65:$Q65, 1, MATCH(DATEDIF($B65, TODAY(), "M") + 1 - (COLUMN(F:F) - 5), {0, 1, 2, 3, 4, 5, 6, 7, 8, 9, 10, 11}, 0)),
      ""
    )
  )
</f>
        <v/>
      </c>
      <c r="G65" s="412" t="str">
        <f t="array" ref="G65">IF(
    DATEDIF($B65, TODAY(), "M") &gt;= 11,
    INDEX('Most Recent Import'!$F65:$Q65, 1, MATCH(11 - (COLUMN(G:G) - 5), {0, 1, 2, 3, 4, 5, 6, 7, 8, 9, 10, 11}, 0)),
    IF(
      DATEDIF($B65, TODAY(), "M") + 1 &gt;= COLUMN(G:G) - 5,
      INDEX('Most Recent Import'!$F65:$Q65, 1, MATCH(DATEDIF($B65, TODAY(), "M") + 1 - (COLUMN(G:G) - 5), {0, 1, 2, 3, 4, 5, 6, 7, 8, 9, 10, 11}, 0)),
      ""
    )
  )
</f>
        <v/>
      </c>
      <c r="H65" s="412" t="str">
        <f t="array" ref="H65">IF(
    DATEDIF($B65, TODAY(), "M") &gt;= 11,
    INDEX('Most Recent Import'!$F65:$Q65, 1, MATCH(11 - (COLUMN(H:H) - 5), {0, 1, 2, 3, 4, 5, 6, 7, 8, 9, 10, 11}, 0)),
    IF(
      DATEDIF($B65, TODAY(), "M") + 1 &gt;= COLUMN(H:H) - 5,
      INDEX('Most Recent Import'!$F65:$Q65, 1, MATCH(DATEDIF($B65, TODAY(), "M") + 1 - (COLUMN(H:H) - 5), {0, 1, 2, 3, 4, 5, 6, 7, 8, 9, 10, 11}, 0)),
      ""
    )
  )
</f>
        <v/>
      </c>
      <c r="I65" s="412" t="str">
        <f t="array" ref="I65">IF(
    DATEDIF($B65, TODAY(), "M") &gt;= 11,
    INDEX('Most Recent Import'!$F65:$Q65, 1, MATCH(11 - (COLUMN(I:I) - 5), {0, 1, 2, 3, 4, 5, 6, 7, 8, 9, 10, 11}, 0)),
    IF(
      DATEDIF($B65, TODAY(), "M") + 1 &gt;= COLUMN(I:I) - 5,
      INDEX('Most Recent Import'!$F65:$Q65, 1, MATCH(DATEDIF($B65, TODAY(), "M") + 1 - (COLUMN(I:I) - 5), {0, 1, 2, 3, 4, 5, 6, 7, 8, 9, 10, 11}, 0)),
      ""
    )
  )
</f>
        <v/>
      </c>
      <c r="J65" s="412" t="str">
        <f t="array" ref="J65">IF(
    DATEDIF($B65, TODAY(), "M") &gt;= 11,
    INDEX('Most Recent Import'!$F65:$Q65, 1, MATCH(11 - (COLUMN(J:J) - 5), {0, 1, 2, 3, 4, 5, 6, 7, 8, 9, 10, 11}, 0)),
    IF(
      DATEDIF($B65, TODAY(), "M") + 1 &gt;= COLUMN(J:J) - 5,
      INDEX('Most Recent Import'!$F65:$Q65, 1, MATCH(DATEDIF($B65, TODAY(), "M") + 1 - (COLUMN(J:J) - 5), {0, 1, 2, 3, 4, 5, 6, 7, 8, 9, 10, 11}, 0)),
      ""
    )
  )
</f>
        <v/>
      </c>
      <c r="K65" s="412" t="str">
        <f t="array" ref="K65">IF(
    DATEDIF($B65, TODAY(), "M") &gt;= 11,
    INDEX('Most Recent Import'!$F65:$Q65, 1, MATCH(11 - (COLUMN(K:K) - 5), {0, 1, 2, 3, 4, 5, 6, 7, 8, 9, 10, 11}, 0)),
    IF(
      DATEDIF($B65, TODAY(), "M") + 1 &gt;= COLUMN(K:K) - 5,
      INDEX('Most Recent Import'!$F65:$Q65, 1, MATCH(DATEDIF($B65, TODAY(), "M") + 1 - (COLUMN(K:K) - 5), {0, 1, 2, 3, 4, 5, 6, 7, 8, 9, 10, 11}, 0)),
      ""
    )
  )
</f>
        <v/>
      </c>
      <c r="L65" s="412" t="str">
        <f t="array" ref="L65">IF(
    DATEDIF($B65, TODAY(), "M") &gt;= 11,
    INDEX('Most Recent Import'!$F65:$Q65, 1, MATCH(11 - (COLUMN(L:L) - 5), {0, 1, 2, 3, 4, 5, 6, 7, 8, 9, 10, 11}, 0)),
    IF(
      DATEDIF($B65, TODAY(), "M") + 1 &gt;= COLUMN(L:L) - 5,
      INDEX('Most Recent Import'!$F65:$Q65, 1, MATCH(DATEDIF($B65, TODAY(), "M") + 1 - (COLUMN(L:L) - 5), {0, 1, 2, 3, 4, 5, 6, 7, 8, 9, 10, 11}, 0)),
      ""
    )
  )
</f>
        <v/>
      </c>
      <c r="M65" s="412" t="str">
        <f t="array" ref="M65">IF(
    DATEDIF($B65, TODAY(), "M") &gt;= 11,
    INDEX('Most Recent Import'!$F65:$Q65, 1, MATCH(11 - (COLUMN(M:M) - 5), {0, 1, 2, 3, 4, 5, 6, 7, 8, 9, 10, 11}, 0)),
    IF(
      DATEDIF($B65, TODAY(), "M") + 1 &gt;= COLUMN(M:M) - 5,
      INDEX('Most Recent Import'!$F65:$Q65, 1, MATCH(DATEDIF($B65, TODAY(), "M") + 1 - (COLUMN(M:M) - 5), {0, 1, 2, 3, 4, 5, 6, 7, 8, 9, 10, 11}, 0)),
      ""
    )
  )
</f>
        <v/>
      </c>
      <c r="N65" s="412" t="str">
        <f t="array" ref="N65">IF(
    DATEDIF($B65, TODAY(), "M") &gt;= 11,
    INDEX('Most Recent Import'!$F65:$Q65, 1, MATCH(11 - (COLUMN(N:N) - 5), {0, 1, 2, 3, 4, 5, 6, 7, 8, 9, 10, 11}, 0)),
    IF(
      DATEDIF($B65, TODAY(), "M") + 1 &gt;= COLUMN(N:N) - 5,
      INDEX('Most Recent Import'!$F65:$Q65, 1, MATCH(DATEDIF($B65, TODAY(), "M") + 1 - (COLUMN(N:N) - 5), {0, 1, 2, 3, 4, 5, 6, 7, 8, 9, 10, 11}, 0)),
      ""
    )
  )
</f>
        <v/>
      </c>
      <c r="O65" s="412" t="str">
        <f t="array" ref="O65">IF(
    DATEDIF($B65, TODAY(), "M") &gt;= 11,
    INDEX('Most Recent Import'!$F65:$Q65, 1, MATCH(11 - (COLUMN(O:O) - 5), {0, 1, 2, 3, 4, 5, 6, 7, 8, 9, 10, 11}, 0)),
    IF(
      DATEDIF($B65, TODAY(), "M") + 1 &gt;= COLUMN(O:O) - 5,
      INDEX('Most Recent Import'!$F65:$Q65, 1, MATCH(DATEDIF($B65, TODAY(), "M") + 1 - (COLUMN(O:O) - 5), {0, 1, 2, 3, 4, 5, 6, 7, 8, 9, 10, 11}, 0)),
      ""
    )
  )
</f>
        <v/>
      </c>
      <c r="P65" s="412" t="str">
        <f t="array" ref="P65">IF(
    DATEDIF($B65, TODAY(), "M") &gt;= 11,
    INDEX('Most Recent Import'!$F65:$Q65, 1, MATCH(11 - (COLUMN(P:P) - 5), {0, 1, 2, 3, 4, 5, 6, 7, 8, 9, 10, 11}, 0)),
    IF(
      DATEDIF($B65, TODAY(), "M") + 1 &gt;= COLUMN(P:P) - 5,
      INDEX('Most Recent Import'!$F65:$Q65, 1, MATCH(DATEDIF($B65, TODAY(), "M") + 1 - (COLUMN(P:P) - 5), {0, 1, 2, 3, 4, 5, 6, 7, 8, 9, 10, 11}, 0)),
      ""
    )
  )
</f>
        <v/>
      </c>
    </row>
    <row r="66">
      <c r="A66" s="412" t="str">
        <f>'Most Recent Import'!A66</f>
        <v/>
      </c>
      <c r="B66" s="412" t="str">
        <f>IF(ISBLANK(A66), "", DATE(LEFT('Most Recent Import'!C66, 4), RIGHT('Most Recent Import'!C66, 2), 1))</f>
        <v/>
      </c>
      <c r="C66" s="414" t="str">
        <f>'Most Recent Import'!B66</f>
        <v/>
      </c>
      <c r="D66" s="412" t="str">
        <f>'Most Recent Import'!D66</f>
        <v/>
      </c>
      <c r="E66" s="412" t="str">
        <f t="array" ref="E66">IF(
    DATEDIF($B66, TODAY(), "M") &gt;= 11,
    INDEX('Most Recent Import'!$F66:$Q66, 1, MATCH(11 - (COLUMN(E:E) - 5), {0, 1, 2, 3, 4, 5, 6, 7, 8, 9, 10, 11}, 0)),
    IF(
      DATEDIF($B66, TODAY(), "M") + 1 &gt;= COLUMN(E:E) - 5,
      INDEX('Most Recent Import'!$F66:$Q66, 1, MATCH(DATEDIF($B66, TODAY(), "M") + 1 - (COLUMN(E:E) - 5), {0, 1, 2, 3, 4, 5, 6, 7, 8, 9, 10, 11}, 0)),
      ""
    )
  )
</f>
        <v/>
      </c>
      <c r="F66" s="412" t="str">
        <f t="array" ref="F66">IF(
    DATEDIF($B66, TODAY(), "M") &gt;= 11,
    INDEX('Most Recent Import'!$F66:$Q66, 1, MATCH(11 - (COLUMN(F:F) - 5), {0, 1, 2, 3, 4, 5, 6, 7, 8, 9, 10, 11}, 0)),
    IF(
      DATEDIF($B66, TODAY(), "M") + 1 &gt;= COLUMN(F:F) - 5,
      INDEX('Most Recent Import'!$F66:$Q66, 1, MATCH(DATEDIF($B66, TODAY(), "M") + 1 - (COLUMN(F:F) - 5), {0, 1, 2, 3, 4, 5, 6, 7, 8, 9, 10, 11}, 0)),
      ""
    )
  )
</f>
        <v/>
      </c>
      <c r="G66" s="412" t="str">
        <f t="array" ref="G66">IF(
    DATEDIF($B66, TODAY(), "M") &gt;= 11,
    INDEX('Most Recent Import'!$F66:$Q66, 1, MATCH(11 - (COLUMN(G:G) - 5), {0, 1, 2, 3, 4, 5, 6, 7, 8, 9, 10, 11}, 0)),
    IF(
      DATEDIF($B66, TODAY(), "M") + 1 &gt;= COLUMN(G:G) - 5,
      INDEX('Most Recent Import'!$F66:$Q66, 1, MATCH(DATEDIF($B66, TODAY(), "M") + 1 - (COLUMN(G:G) - 5), {0, 1, 2, 3, 4, 5, 6, 7, 8, 9, 10, 11}, 0)),
      ""
    )
  )
</f>
        <v/>
      </c>
      <c r="H66" s="412" t="str">
        <f t="array" ref="H66">IF(
    DATEDIF($B66, TODAY(), "M") &gt;= 11,
    INDEX('Most Recent Import'!$F66:$Q66, 1, MATCH(11 - (COLUMN(H:H) - 5), {0, 1, 2, 3, 4, 5, 6, 7, 8, 9, 10, 11}, 0)),
    IF(
      DATEDIF($B66, TODAY(), "M") + 1 &gt;= COLUMN(H:H) - 5,
      INDEX('Most Recent Import'!$F66:$Q66, 1, MATCH(DATEDIF($B66, TODAY(), "M") + 1 - (COLUMN(H:H) - 5), {0, 1, 2, 3, 4, 5, 6, 7, 8, 9, 10, 11}, 0)),
      ""
    )
  )
</f>
        <v/>
      </c>
      <c r="I66" s="412" t="str">
        <f t="array" ref="I66">IF(
    DATEDIF($B66, TODAY(), "M") &gt;= 11,
    INDEX('Most Recent Import'!$F66:$Q66, 1, MATCH(11 - (COLUMN(I:I) - 5), {0, 1, 2, 3, 4, 5, 6, 7, 8, 9, 10, 11}, 0)),
    IF(
      DATEDIF($B66, TODAY(), "M") + 1 &gt;= COLUMN(I:I) - 5,
      INDEX('Most Recent Import'!$F66:$Q66, 1, MATCH(DATEDIF($B66, TODAY(), "M") + 1 - (COLUMN(I:I) - 5), {0, 1, 2, 3, 4, 5, 6, 7, 8, 9, 10, 11}, 0)),
      ""
    )
  )
</f>
        <v/>
      </c>
      <c r="J66" s="412" t="str">
        <f t="array" ref="J66">IF(
    DATEDIF($B66, TODAY(), "M") &gt;= 11,
    INDEX('Most Recent Import'!$F66:$Q66, 1, MATCH(11 - (COLUMN(J:J) - 5), {0, 1, 2, 3, 4, 5, 6, 7, 8, 9, 10, 11}, 0)),
    IF(
      DATEDIF($B66, TODAY(), "M") + 1 &gt;= COLUMN(J:J) - 5,
      INDEX('Most Recent Import'!$F66:$Q66, 1, MATCH(DATEDIF($B66, TODAY(), "M") + 1 - (COLUMN(J:J) - 5), {0, 1, 2, 3, 4, 5, 6, 7, 8, 9, 10, 11}, 0)),
      ""
    )
  )
</f>
        <v/>
      </c>
      <c r="K66" s="412" t="str">
        <f t="array" ref="K66">IF(
    DATEDIF($B66, TODAY(), "M") &gt;= 11,
    INDEX('Most Recent Import'!$F66:$Q66, 1, MATCH(11 - (COLUMN(K:K) - 5), {0, 1, 2, 3, 4, 5, 6, 7, 8, 9, 10, 11}, 0)),
    IF(
      DATEDIF($B66, TODAY(), "M") + 1 &gt;= COLUMN(K:K) - 5,
      INDEX('Most Recent Import'!$F66:$Q66, 1, MATCH(DATEDIF($B66, TODAY(), "M") + 1 - (COLUMN(K:K) - 5), {0, 1, 2, 3, 4, 5, 6, 7, 8, 9, 10, 11}, 0)),
      ""
    )
  )
</f>
        <v/>
      </c>
      <c r="L66" s="412" t="str">
        <f t="array" ref="L66">IF(
    DATEDIF($B66, TODAY(), "M") &gt;= 11,
    INDEX('Most Recent Import'!$F66:$Q66, 1, MATCH(11 - (COLUMN(L:L) - 5), {0, 1, 2, 3, 4, 5, 6, 7, 8, 9, 10, 11}, 0)),
    IF(
      DATEDIF($B66, TODAY(), "M") + 1 &gt;= COLUMN(L:L) - 5,
      INDEX('Most Recent Import'!$F66:$Q66, 1, MATCH(DATEDIF($B66, TODAY(), "M") + 1 - (COLUMN(L:L) - 5), {0, 1, 2, 3, 4, 5, 6, 7, 8, 9, 10, 11}, 0)),
      ""
    )
  )
</f>
        <v/>
      </c>
      <c r="M66" s="412" t="str">
        <f t="array" ref="M66">IF(
    DATEDIF($B66, TODAY(), "M") &gt;= 11,
    INDEX('Most Recent Import'!$F66:$Q66, 1, MATCH(11 - (COLUMN(M:M) - 5), {0, 1, 2, 3, 4, 5, 6, 7, 8, 9, 10, 11}, 0)),
    IF(
      DATEDIF($B66, TODAY(), "M") + 1 &gt;= COLUMN(M:M) - 5,
      INDEX('Most Recent Import'!$F66:$Q66, 1, MATCH(DATEDIF($B66, TODAY(), "M") + 1 - (COLUMN(M:M) - 5), {0, 1, 2, 3, 4, 5, 6, 7, 8, 9, 10, 11}, 0)),
      ""
    )
  )
</f>
        <v/>
      </c>
      <c r="N66" s="412" t="str">
        <f t="array" ref="N66">IF(
    DATEDIF($B66, TODAY(), "M") &gt;= 11,
    INDEX('Most Recent Import'!$F66:$Q66, 1, MATCH(11 - (COLUMN(N:N) - 5), {0, 1, 2, 3, 4, 5, 6, 7, 8, 9, 10, 11}, 0)),
    IF(
      DATEDIF($B66, TODAY(), "M") + 1 &gt;= COLUMN(N:N) - 5,
      INDEX('Most Recent Import'!$F66:$Q66, 1, MATCH(DATEDIF($B66, TODAY(), "M") + 1 - (COLUMN(N:N) - 5), {0, 1, 2, 3, 4, 5, 6, 7, 8, 9, 10, 11}, 0)),
      ""
    )
  )
</f>
        <v/>
      </c>
      <c r="O66" s="412" t="str">
        <f t="array" ref="O66">IF(
    DATEDIF($B66, TODAY(), "M") &gt;= 11,
    INDEX('Most Recent Import'!$F66:$Q66, 1, MATCH(11 - (COLUMN(O:O) - 5), {0, 1, 2, 3, 4, 5, 6, 7, 8, 9, 10, 11}, 0)),
    IF(
      DATEDIF($B66, TODAY(), "M") + 1 &gt;= COLUMN(O:O) - 5,
      INDEX('Most Recent Import'!$F66:$Q66, 1, MATCH(DATEDIF($B66, TODAY(), "M") + 1 - (COLUMN(O:O) - 5), {0, 1, 2, 3, 4, 5, 6, 7, 8, 9, 10, 11}, 0)),
      ""
    )
  )
</f>
        <v/>
      </c>
      <c r="P66" s="412" t="str">
        <f t="array" ref="P66">IF(
    DATEDIF($B66, TODAY(), "M") &gt;= 11,
    INDEX('Most Recent Import'!$F66:$Q66, 1, MATCH(11 - (COLUMN(P:P) - 5), {0, 1, 2, 3, 4, 5, 6, 7, 8, 9, 10, 11}, 0)),
    IF(
      DATEDIF($B66, TODAY(), "M") + 1 &gt;= COLUMN(P:P) - 5,
      INDEX('Most Recent Import'!$F66:$Q66, 1, MATCH(DATEDIF($B66, TODAY(), "M") + 1 - (COLUMN(P:P) - 5), {0, 1, 2, 3, 4, 5, 6, 7, 8, 9, 10, 11}, 0)),
      ""
    )
  )
</f>
        <v/>
      </c>
    </row>
    <row r="67">
      <c r="A67" s="412" t="str">
        <f>'Most Recent Import'!A67</f>
        <v/>
      </c>
      <c r="B67" s="412" t="str">
        <f>IF(ISBLANK(A67), "", DATE(LEFT('Most Recent Import'!C67, 4), RIGHT('Most Recent Import'!C67, 2), 1))</f>
        <v/>
      </c>
      <c r="C67" s="414" t="str">
        <f>'Most Recent Import'!B67</f>
        <v/>
      </c>
      <c r="D67" s="412" t="str">
        <f>'Most Recent Import'!D67</f>
        <v/>
      </c>
      <c r="E67" s="412" t="str">
        <f t="array" ref="E67">IF(
    DATEDIF($B67, TODAY(), "M") &gt;= 11,
    INDEX('Most Recent Import'!$F67:$Q67, 1, MATCH(11 - (COLUMN(E:E) - 5), {0, 1, 2, 3, 4, 5, 6, 7, 8, 9, 10, 11}, 0)),
    IF(
      DATEDIF($B67, TODAY(), "M") + 1 &gt;= COLUMN(E:E) - 5,
      INDEX('Most Recent Import'!$F67:$Q67, 1, MATCH(DATEDIF($B67, TODAY(), "M") + 1 - (COLUMN(E:E) - 5), {0, 1, 2, 3, 4, 5, 6, 7, 8, 9, 10, 11}, 0)),
      ""
    )
  )
</f>
        <v/>
      </c>
      <c r="F67" s="412" t="str">
        <f t="array" ref="F67">IF(
    DATEDIF($B67, TODAY(), "M") &gt;= 11,
    INDEX('Most Recent Import'!$F67:$Q67, 1, MATCH(11 - (COLUMN(F:F) - 5), {0, 1, 2, 3, 4, 5, 6, 7, 8, 9, 10, 11}, 0)),
    IF(
      DATEDIF($B67, TODAY(), "M") + 1 &gt;= COLUMN(F:F) - 5,
      INDEX('Most Recent Import'!$F67:$Q67, 1, MATCH(DATEDIF($B67, TODAY(), "M") + 1 - (COLUMN(F:F) - 5), {0, 1, 2, 3, 4, 5, 6, 7, 8, 9, 10, 11}, 0)),
      ""
    )
  )
</f>
        <v/>
      </c>
      <c r="G67" s="412" t="str">
        <f t="array" ref="G67">IF(
    DATEDIF($B67, TODAY(), "M") &gt;= 11,
    INDEX('Most Recent Import'!$F67:$Q67, 1, MATCH(11 - (COLUMN(G:G) - 5), {0, 1, 2, 3, 4, 5, 6, 7, 8, 9, 10, 11}, 0)),
    IF(
      DATEDIF($B67, TODAY(), "M") + 1 &gt;= COLUMN(G:G) - 5,
      INDEX('Most Recent Import'!$F67:$Q67, 1, MATCH(DATEDIF($B67, TODAY(), "M") + 1 - (COLUMN(G:G) - 5), {0, 1, 2, 3, 4, 5, 6, 7, 8, 9, 10, 11}, 0)),
      ""
    )
  )
</f>
        <v/>
      </c>
      <c r="H67" s="412" t="str">
        <f t="array" ref="H67">IF(
    DATEDIF($B67, TODAY(), "M") &gt;= 11,
    INDEX('Most Recent Import'!$F67:$Q67, 1, MATCH(11 - (COLUMN(H:H) - 5), {0, 1, 2, 3, 4, 5, 6, 7, 8, 9, 10, 11}, 0)),
    IF(
      DATEDIF($B67, TODAY(), "M") + 1 &gt;= COLUMN(H:H) - 5,
      INDEX('Most Recent Import'!$F67:$Q67, 1, MATCH(DATEDIF($B67, TODAY(), "M") + 1 - (COLUMN(H:H) - 5), {0, 1, 2, 3, 4, 5, 6, 7, 8, 9, 10, 11}, 0)),
      ""
    )
  )
</f>
        <v/>
      </c>
      <c r="I67" s="412" t="str">
        <f t="array" ref="I67">IF(
    DATEDIF($B67, TODAY(), "M") &gt;= 11,
    INDEX('Most Recent Import'!$F67:$Q67, 1, MATCH(11 - (COLUMN(I:I) - 5), {0, 1, 2, 3, 4, 5, 6, 7, 8, 9, 10, 11}, 0)),
    IF(
      DATEDIF($B67, TODAY(), "M") + 1 &gt;= COLUMN(I:I) - 5,
      INDEX('Most Recent Import'!$F67:$Q67, 1, MATCH(DATEDIF($B67, TODAY(), "M") + 1 - (COLUMN(I:I) - 5), {0, 1, 2, 3, 4, 5, 6, 7, 8, 9, 10, 11}, 0)),
      ""
    )
  )
</f>
        <v/>
      </c>
      <c r="J67" s="412" t="str">
        <f t="array" ref="J67">IF(
    DATEDIF($B67, TODAY(), "M") &gt;= 11,
    INDEX('Most Recent Import'!$F67:$Q67, 1, MATCH(11 - (COLUMN(J:J) - 5), {0, 1, 2, 3, 4, 5, 6, 7, 8, 9, 10, 11}, 0)),
    IF(
      DATEDIF($B67, TODAY(), "M") + 1 &gt;= COLUMN(J:J) - 5,
      INDEX('Most Recent Import'!$F67:$Q67, 1, MATCH(DATEDIF($B67, TODAY(), "M") + 1 - (COLUMN(J:J) - 5), {0, 1, 2, 3, 4, 5, 6, 7, 8, 9, 10, 11}, 0)),
      ""
    )
  )
</f>
        <v/>
      </c>
      <c r="K67" s="412" t="str">
        <f t="array" ref="K67">IF(
    DATEDIF($B67, TODAY(), "M") &gt;= 11,
    INDEX('Most Recent Import'!$F67:$Q67, 1, MATCH(11 - (COLUMN(K:K) - 5), {0, 1, 2, 3, 4, 5, 6, 7, 8, 9, 10, 11}, 0)),
    IF(
      DATEDIF($B67, TODAY(), "M") + 1 &gt;= COLUMN(K:K) - 5,
      INDEX('Most Recent Import'!$F67:$Q67, 1, MATCH(DATEDIF($B67, TODAY(), "M") + 1 - (COLUMN(K:K) - 5), {0, 1, 2, 3, 4, 5, 6, 7, 8, 9, 10, 11}, 0)),
      ""
    )
  )
</f>
        <v/>
      </c>
      <c r="L67" s="412" t="str">
        <f t="array" ref="L67">IF(
    DATEDIF($B67, TODAY(), "M") &gt;= 11,
    INDEX('Most Recent Import'!$F67:$Q67, 1, MATCH(11 - (COLUMN(L:L) - 5), {0, 1, 2, 3, 4, 5, 6, 7, 8, 9, 10, 11}, 0)),
    IF(
      DATEDIF($B67, TODAY(), "M") + 1 &gt;= COLUMN(L:L) - 5,
      INDEX('Most Recent Import'!$F67:$Q67, 1, MATCH(DATEDIF($B67, TODAY(), "M") + 1 - (COLUMN(L:L) - 5), {0, 1, 2, 3, 4, 5, 6, 7, 8, 9, 10, 11}, 0)),
      ""
    )
  )
</f>
        <v/>
      </c>
      <c r="M67" s="412" t="str">
        <f t="array" ref="M67">IF(
    DATEDIF($B67, TODAY(), "M") &gt;= 11,
    INDEX('Most Recent Import'!$F67:$Q67, 1, MATCH(11 - (COLUMN(M:M) - 5), {0, 1, 2, 3, 4, 5, 6, 7, 8, 9, 10, 11}, 0)),
    IF(
      DATEDIF($B67, TODAY(), "M") + 1 &gt;= COLUMN(M:M) - 5,
      INDEX('Most Recent Import'!$F67:$Q67, 1, MATCH(DATEDIF($B67, TODAY(), "M") + 1 - (COLUMN(M:M) - 5), {0, 1, 2, 3, 4, 5, 6, 7, 8, 9, 10, 11}, 0)),
      ""
    )
  )
</f>
        <v/>
      </c>
      <c r="N67" s="412" t="str">
        <f t="array" ref="N67">IF(
    DATEDIF($B67, TODAY(), "M") &gt;= 11,
    INDEX('Most Recent Import'!$F67:$Q67, 1, MATCH(11 - (COLUMN(N:N) - 5), {0, 1, 2, 3, 4, 5, 6, 7, 8, 9, 10, 11}, 0)),
    IF(
      DATEDIF($B67, TODAY(), "M") + 1 &gt;= COLUMN(N:N) - 5,
      INDEX('Most Recent Import'!$F67:$Q67, 1, MATCH(DATEDIF($B67, TODAY(), "M") + 1 - (COLUMN(N:N) - 5), {0, 1, 2, 3, 4, 5, 6, 7, 8, 9, 10, 11}, 0)),
      ""
    )
  )
</f>
        <v/>
      </c>
      <c r="O67" s="412" t="str">
        <f t="array" ref="O67">IF(
    DATEDIF($B67, TODAY(), "M") &gt;= 11,
    INDEX('Most Recent Import'!$F67:$Q67, 1, MATCH(11 - (COLUMN(O:O) - 5), {0, 1, 2, 3, 4, 5, 6, 7, 8, 9, 10, 11}, 0)),
    IF(
      DATEDIF($B67, TODAY(), "M") + 1 &gt;= COLUMN(O:O) - 5,
      INDEX('Most Recent Import'!$F67:$Q67, 1, MATCH(DATEDIF($B67, TODAY(), "M") + 1 - (COLUMN(O:O) - 5), {0, 1, 2, 3, 4, 5, 6, 7, 8, 9, 10, 11}, 0)),
      ""
    )
  )
</f>
        <v/>
      </c>
      <c r="P67" s="412" t="str">
        <f t="array" ref="P67">IF(
    DATEDIF($B67, TODAY(), "M") &gt;= 11,
    INDEX('Most Recent Import'!$F67:$Q67, 1, MATCH(11 - (COLUMN(P:P) - 5), {0, 1, 2, 3, 4, 5, 6, 7, 8, 9, 10, 11}, 0)),
    IF(
      DATEDIF($B67, TODAY(), "M") + 1 &gt;= COLUMN(P:P) - 5,
      INDEX('Most Recent Import'!$F67:$Q67, 1, MATCH(DATEDIF($B67, TODAY(), "M") + 1 - (COLUMN(P:P) - 5), {0, 1, 2, 3, 4, 5, 6, 7, 8, 9, 10, 11}, 0)),
      ""
    )
  )
</f>
        <v/>
      </c>
    </row>
    <row r="68">
      <c r="A68" s="412" t="str">
        <f>'Most Recent Import'!A68</f>
        <v/>
      </c>
      <c r="B68" s="412" t="str">
        <f>IF(ISBLANK(A68), "", DATE(LEFT('Most Recent Import'!C68, 4), RIGHT('Most Recent Import'!C68, 2), 1))</f>
        <v/>
      </c>
      <c r="C68" s="414" t="str">
        <f>'Most Recent Import'!B68</f>
        <v/>
      </c>
      <c r="D68" s="412" t="str">
        <f>'Most Recent Import'!D68</f>
        <v/>
      </c>
      <c r="E68" s="412" t="str">
        <f t="array" ref="E68">IF(
    DATEDIF($B68, TODAY(), "M") &gt;= 11,
    INDEX('Most Recent Import'!$F68:$Q68, 1, MATCH(11 - (COLUMN(E:E) - 5), {0, 1, 2, 3, 4, 5, 6, 7, 8, 9, 10, 11}, 0)),
    IF(
      DATEDIF($B68, TODAY(), "M") + 1 &gt;= COLUMN(E:E) - 5,
      INDEX('Most Recent Import'!$F68:$Q68, 1, MATCH(DATEDIF($B68, TODAY(), "M") + 1 - (COLUMN(E:E) - 5), {0, 1, 2, 3, 4, 5, 6, 7, 8, 9, 10, 11}, 0)),
      ""
    )
  )
</f>
        <v/>
      </c>
      <c r="F68" s="412" t="str">
        <f t="array" ref="F68">IF(
    DATEDIF($B68, TODAY(), "M") &gt;= 11,
    INDEX('Most Recent Import'!$F68:$Q68, 1, MATCH(11 - (COLUMN(F:F) - 5), {0, 1, 2, 3, 4, 5, 6, 7, 8, 9, 10, 11}, 0)),
    IF(
      DATEDIF($B68, TODAY(), "M") + 1 &gt;= COLUMN(F:F) - 5,
      INDEX('Most Recent Import'!$F68:$Q68, 1, MATCH(DATEDIF($B68, TODAY(), "M") + 1 - (COLUMN(F:F) - 5), {0, 1, 2, 3, 4, 5, 6, 7, 8, 9, 10, 11}, 0)),
      ""
    )
  )
</f>
        <v/>
      </c>
      <c r="G68" s="412" t="str">
        <f t="array" ref="G68">IF(
    DATEDIF($B68, TODAY(), "M") &gt;= 11,
    INDEX('Most Recent Import'!$F68:$Q68, 1, MATCH(11 - (COLUMN(G:G) - 5), {0, 1, 2, 3, 4, 5, 6, 7, 8, 9, 10, 11}, 0)),
    IF(
      DATEDIF($B68, TODAY(), "M") + 1 &gt;= COLUMN(G:G) - 5,
      INDEX('Most Recent Import'!$F68:$Q68, 1, MATCH(DATEDIF($B68, TODAY(), "M") + 1 - (COLUMN(G:G) - 5), {0, 1, 2, 3, 4, 5, 6, 7, 8, 9, 10, 11}, 0)),
      ""
    )
  )
</f>
        <v/>
      </c>
      <c r="H68" s="412" t="str">
        <f t="array" ref="H68">IF(
    DATEDIF($B68, TODAY(), "M") &gt;= 11,
    INDEX('Most Recent Import'!$F68:$Q68, 1, MATCH(11 - (COLUMN(H:H) - 5), {0, 1, 2, 3, 4, 5, 6, 7, 8, 9, 10, 11}, 0)),
    IF(
      DATEDIF($B68, TODAY(), "M") + 1 &gt;= COLUMN(H:H) - 5,
      INDEX('Most Recent Import'!$F68:$Q68, 1, MATCH(DATEDIF($B68, TODAY(), "M") + 1 - (COLUMN(H:H) - 5), {0, 1, 2, 3, 4, 5, 6, 7, 8, 9, 10, 11}, 0)),
      ""
    )
  )
</f>
        <v/>
      </c>
      <c r="I68" s="412" t="str">
        <f t="array" ref="I68">IF(
    DATEDIF($B68, TODAY(), "M") &gt;= 11,
    INDEX('Most Recent Import'!$F68:$Q68, 1, MATCH(11 - (COLUMN(I:I) - 5), {0, 1, 2, 3, 4, 5, 6, 7, 8, 9, 10, 11}, 0)),
    IF(
      DATEDIF($B68, TODAY(), "M") + 1 &gt;= COLUMN(I:I) - 5,
      INDEX('Most Recent Import'!$F68:$Q68, 1, MATCH(DATEDIF($B68, TODAY(), "M") + 1 - (COLUMN(I:I) - 5), {0, 1, 2, 3, 4, 5, 6, 7, 8, 9, 10, 11}, 0)),
      ""
    )
  )
</f>
        <v/>
      </c>
      <c r="J68" s="412" t="str">
        <f t="array" ref="J68">IF(
    DATEDIF($B68, TODAY(), "M") &gt;= 11,
    INDEX('Most Recent Import'!$F68:$Q68, 1, MATCH(11 - (COLUMN(J:J) - 5), {0, 1, 2, 3, 4, 5, 6, 7, 8, 9, 10, 11}, 0)),
    IF(
      DATEDIF($B68, TODAY(), "M") + 1 &gt;= COLUMN(J:J) - 5,
      INDEX('Most Recent Import'!$F68:$Q68, 1, MATCH(DATEDIF($B68, TODAY(), "M") + 1 - (COLUMN(J:J) - 5), {0, 1, 2, 3, 4, 5, 6, 7, 8, 9, 10, 11}, 0)),
      ""
    )
  )
</f>
        <v/>
      </c>
      <c r="K68" s="412" t="str">
        <f t="array" ref="K68">IF(
    DATEDIF($B68, TODAY(), "M") &gt;= 11,
    INDEX('Most Recent Import'!$F68:$Q68, 1, MATCH(11 - (COLUMN(K:K) - 5), {0, 1, 2, 3, 4, 5, 6, 7, 8, 9, 10, 11}, 0)),
    IF(
      DATEDIF($B68, TODAY(), "M") + 1 &gt;= COLUMN(K:K) - 5,
      INDEX('Most Recent Import'!$F68:$Q68, 1, MATCH(DATEDIF($B68, TODAY(), "M") + 1 - (COLUMN(K:K) - 5), {0, 1, 2, 3, 4, 5, 6, 7, 8, 9, 10, 11}, 0)),
      ""
    )
  )
</f>
        <v/>
      </c>
      <c r="L68" s="412" t="str">
        <f t="array" ref="L68">IF(
    DATEDIF($B68, TODAY(), "M") &gt;= 11,
    INDEX('Most Recent Import'!$F68:$Q68, 1, MATCH(11 - (COLUMN(L:L) - 5), {0, 1, 2, 3, 4, 5, 6, 7, 8, 9, 10, 11}, 0)),
    IF(
      DATEDIF($B68, TODAY(), "M") + 1 &gt;= COLUMN(L:L) - 5,
      INDEX('Most Recent Import'!$F68:$Q68, 1, MATCH(DATEDIF($B68, TODAY(), "M") + 1 - (COLUMN(L:L) - 5), {0, 1, 2, 3, 4, 5, 6, 7, 8, 9, 10, 11}, 0)),
      ""
    )
  )
</f>
        <v/>
      </c>
      <c r="M68" s="412" t="str">
        <f t="array" ref="M68">IF(
    DATEDIF($B68, TODAY(), "M") &gt;= 11,
    INDEX('Most Recent Import'!$F68:$Q68, 1, MATCH(11 - (COLUMN(M:M) - 5), {0, 1, 2, 3, 4, 5, 6, 7, 8, 9, 10, 11}, 0)),
    IF(
      DATEDIF($B68, TODAY(), "M") + 1 &gt;= COLUMN(M:M) - 5,
      INDEX('Most Recent Import'!$F68:$Q68, 1, MATCH(DATEDIF($B68, TODAY(), "M") + 1 - (COLUMN(M:M) - 5), {0, 1, 2, 3, 4, 5, 6, 7, 8, 9, 10, 11}, 0)),
      ""
    )
  )
</f>
        <v/>
      </c>
      <c r="N68" s="412" t="str">
        <f t="array" ref="N68">IF(
    DATEDIF($B68, TODAY(), "M") &gt;= 11,
    INDEX('Most Recent Import'!$F68:$Q68, 1, MATCH(11 - (COLUMN(N:N) - 5), {0, 1, 2, 3, 4, 5, 6, 7, 8, 9, 10, 11}, 0)),
    IF(
      DATEDIF($B68, TODAY(), "M") + 1 &gt;= COLUMN(N:N) - 5,
      INDEX('Most Recent Import'!$F68:$Q68, 1, MATCH(DATEDIF($B68, TODAY(), "M") + 1 - (COLUMN(N:N) - 5), {0, 1, 2, 3, 4, 5, 6, 7, 8, 9, 10, 11}, 0)),
      ""
    )
  )
</f>
        <v/>
      </c>
      <c r="O68" s="412" t="str">
        <f t="array" ref="O68">IF(
    DATEDIF($B68, TODAY(), "M") &gt;= 11,
    INDEX('Most Recent Import'!$F68:$Q68, 1, MATCH(11 - (COLUMN(O:O) - 5), {0, 1, 2, 3, 4, 5, 6, 7, 8, 9, 10, 11}, 0)),
    IF(
      DATEDIF($B68, TODAY(), "M") + 1 &gt;= COLUMN(O:O) - 5,
      INDEX('Most Recent Import'!$F68:$Q68, 1, MATCH(DATEDIF($B68, TODAY(), "M") + 1 - (COLUMN(O:O) - 5), {0, 1, 2, 3, 4, 5, 6, 7, 8, 9, 10, 11}, 0)),
      ""
    )
  )
</f>
        <v/>
      </c>
      <c r="P68" s="412" t="str">
        <f t="array" ref="P68">IF(
    DATEDIF($B68, TODAY(), "M") &gt;= 11,
    INDEX('Most Recent Import'!$F68:$Q68, 1, MATCH(11 - (COLUMN(P:P) - 5), {0, 1, 2, 3, 4, 5, 6, 7, 8, 9, 10, 11}, 0)),
    IF(
      DATEDIF($B68, TODAY(), "M") + 1 &gt;= COLUMN(P:P) - 5,
      INDEX('Most Recent Import'!$F68:$Q68, 1, MATCH(DATEDIF($B68, TODAY(), "M") + 1 - (COLUMN(P:P) - 5), {0, 1, 2, 3, 4, 5, 6, 7, 8, 9, 10, 11}, 0)),
      ""
    )
  )
</f>
        <v/>
      </c>
    </row>
    <row r="69">
      <c r="A69" s="412" t="str">
        <f>'Most Recent Import'!A69</f>
        <v/>
      </c>
      <c r="B69" s="412" t="str">
        <f>IF(ISBLANK(A69), "", DATE(LEFT('Most Recent Import'!C69, 4), RIGHT('Most Recent Import'!C69, 2), 1))</f>
        <v/>
      </c>
      <c r="C69" s="414" t="str">
        <f>'Most Recent Import'!B69</f>
        <v/>
      </c>
      <c r="D69" s="412" t="str">
        <f>'Most Recent Import'!D69</f>
        <v/>
      </c>
      <c r="E69" s="412" t="str">
        <f t="array" ref="E69">IF(
    DATEDIF($B69, TODAY(), "M") &gt;= 11,
    INDEX('Most Recent Import'!$F69:$Q69, 1, MATCH(11 - (COLUMN(E:E) - 5), {0, 1, 2, 3, 4, 5, 6, 7, 8, 9, 10, 11}, 0)),
    IF(
      DATEDIF($B69, TODAY(), "M") + 1 &gt;= COLUMN(E:E) - 5,
      INDEX('Most Recent Import'!$F69:$Q69, 1, MATCH(DATEDIF($B69, TODAY(), "M") + 1 - (COLUMN(E:E) - 5), {0, 1, 2, 3, 4, 5, 6, 7, 8, 9, 10, 11}, 0)),
      ""
    )
  )
</f>
        <v/>
      </c>
      <c r="F69" s="412" t="str">
        <f t="array" ref="F69">IF(
    DATEDIF($B69, TODAY(), "M") &gt;= 11,
    INDEX('Most Recent Import'!$F69:$Q69, 1, MATCH(11 - (COLUMN(F:F) - 5), {0, 1, 2, 3, 4, 5, 6, 7, 8, 9, 10, 11}, 0)),
    IF(
      DATEDIF($B69, TODAY(), "M") + 1 &gt;= COLUMN(F:F) - 5,
      INDEX('Most Recent Import'!$F69:$Q69, 1, MATCH(DATEDIF($B69, TODAY(), "M") + 1 - (COLUMN(F:F) - 5), {0, 1, 2, 3, 4, 5, 6, 7, 8, 9, 10, 11}, 0)),
      ""
    )
  )
</f>
        <v/>
      </c>
      <c r="G69" s="412" t="str">
        <f t="array" ref="G69">IF(
    DATEDIF($B69, TODAY(), "M") &gt;= 11,
    INDEX('Most Recent Import'!$F69:$Q69, 1, MATCH(11 - (COLUMN(G:G) - 5), {0, 1, 2, 3, 4, 5, 6, 7, 8, 9, 10, 11}, 0)),
    IF(
      DATEDIF($B69, TODAY(), "M") + 1 &gt;= COLUMN(G:G) - 5,
      INDEX('Most Recent Import'!$F69:$Q69, 1, MATCH(DATEDIF($B69, TODAY(), "M") + 1 - (COLUMN(G:G) - 5), {0, 1, 2, 3, 4, 5, 6, 7, 8, 9, 10, 11}, 0)),
      ""
    )
  )
</f>
        <v/>
      </c>
      <c r="H69" s="412" t="str">
        <f t="array" ref="H69">IF(
    DATEDIF($B69, TODAY(), "M") &gt;= 11,
    INDEX('Most Recent Import'!$F69:$Q69, 1, MATCH(11 - (COLUMN(H:H) - 5), {0, 1, 2, 3, 4, 5, 6, 7, 8, 9, 10, 11}, 0)),
    IF(
      DATEDIF($B69, TODAY(), "M") + 1 &gt;= COLUMN(H:H) - 5,
      INDEX('Most Recent Import'!$F69:$Q69, 1, MATCH(DATEDIF($B69, TODAY(), "M") + 1 - (COLUMN(H:H) - 5), {0, 1, 2, 3, 4, 5, 6, 7, 8, 9, 10, 11}, 0)),
      ""
    )
  )
</f>
        <v/>
      </c>
      <c r="I69" s="412" t="str">
        <f t="array" ref="I69">IF(
    DATEDIF($B69, TODAY(), "M") &gt;= 11,
    INDEX('Most Recent Import'!$F69:$Q69, 1, MATCH(11 - (COLUMN(I:I) - 5), {0, 1, 2, 3, 4, 5, 6, 7, 8, 9, 10, 11}, 0)),
    IF(
      DATEDIF($B69, TODAY(), "M") + 1 &gt;= COLUMN(I:I) - 5,
      INDEX('Most Recent Import'!$F69:$Q69, 1, MATCH(DATEDIF($B69, TODAY(), "M") + 1 - (COLUMN(I:I) - 5), {0, 1, 2, 3, 4, 5, 6, 7, 8, 9, 10, 11}, 0)),
      ""
    )
  )
</f>
        <v/>
      </c>
      <c r="J69" s="412" t="str">
        <f t="array" ref="J69">IF(
    DATEDIF($B69, TODAY(), "M") &gt;= 11,
    INDEX('Most Recent Import'!$F69:$Q69, 1, MATCH(11 - (COLUMN(J:J) - 5), {0, 1, 2, 3, 4, 5, 6, 7, 8, 9, 10, 11}, 0)),
    IF(
      DATEDIF($B69, TODAY(), "M") + 1 &gt;= COLUMN(J:J) - 5,
      INDEX('Most Recent Import'!$F69:$Q69, 1, MATCH(DATEDIF($B69, TODAY(), "M") + 1 - (COLUMN(J:J) - 5), {0, 1, 2, 3, 4, 5, 6, 7, 8, 9, 10, 11}, 0)),
      ""
    )
  )
</f>
        <v/>
      </c>
      <c r="K69" s="412" t="str">
        <f t="array" ref="K69">IF(
    DATEDIF($B69, TODAY(), "M") &gt;= 11,
    INDEX('Most Recent Import'!$F69:$Q69, 1, MATCH(11 - (COLUMN(K:K) - 5), {0, 1, 2, 3, 4, 5, 6, 7, 8, 9, 10, 11}, 0)),
    IF(
      DATEDIF($B69, TODAY(), "M") + 1 &gt;= COLUMN(K:K) - 5,
      INDEX('Most Recent Import'!$F69:$Q69, 1, MATCH(DATEDIF($B69, TODAY(), "M") + 1 - (COLUMN(K:K) - 5), {0, 1, 2, 3, 4, 5, 6, 7, 8, 9, 10, 11}, 0)),
      ""
    )
  )
</f>
        <v/>
      </c>
      <c r="L69" s="412" t="str">
        <f t="array" ref="L69">IF(
    DATEDIF($B69, TODAY(), "M") &gt;= 11,
    INDEX('Most Recent Import'!$F69:$Q69, 1, MATCH(11 - (COLUMN(L:L) - 5), {0, 1, 2, 3, 4, 5, 6, 7, 8, 9, 10, 11}, 0)),
    IF(
      DATEDIF($B69, TODAY(), "M") + 1 &gt;= COLUMN(L:L) - 5,
      INDEX('Most Recent Import'!$F69:$Q69, 1, MATCH(DATEDIF($B69, TODAY(), "M") + 1 - (COLUMN(L:L) - 5), {0, 1, 2, 3, 4, 5, 6, 7, 8, 9, 10, 11}, 0)),
      ""
    )
  )
</f>
        <v/>
      </c>
      <c r="M69" s="412" t="str">
        <f t="array" ref="M69">IF(
    DATEDIF($B69, TODAY(), "M") &gt;= 11,
    INDEX('Most Recent Import'!$F69:$Q69, 1, MATCH(11 - (COLUMN(M:M) - 5), {0, 1, 2, 3, 4, 5, 6, 7, 8, 9, 10, 11}, 0)),
    IF(
      DATEDIF($B69, TODAY(), "M") + 1 &gt;= COLUMN(M:M) - 5,
      INDEX('Most Recent Import'!$F69:$Q69, 1, MATCH(DATEDIF($B69, TODAY(), "M") + 1 - (COLUMN(M:M) - 5), {0, 1, 2, 3, 4, 5, 6, 7, 8, 9, 10, 11}, 0)),
      ""
    )
  )
</f>
        <v/>
      </c>
      <c r="N69" s="412" t="str">
        <f t="array" ref="N69">IF(
    DATEDIF($B69, TODAY(), "M") &gt;= 11,
    INDEX('Most Recent Import'!$F69:$Q69, 1, MATCH(11 - (COLUMN(N:N) - 5), {0, 1, 2, 3, 4, 5, 6, 7, 8, 9, 10, 11}, 0)),
    IF(
      DATEDIF($B69, TODAY(), "M") + 1 &gt;= COLUMN(N:N) - 5,
      INDEX('Most Recent Import'!$F69:$Q69, 1, MATCH(DATEDIF($B69, TODAY(), "M") + 1 - (COLUMN(N:N) - 5), {0, 1, 2, 3, 4, 5, 6, 7, 8, 9, 10, 11}, 0)),
      ""
    )
  )
</f>
        <v/>
      </c>
      <c r="O69" s="412" t="str">
        <f t="array" ref="O69">IF(
    DATEDIF($B69, TODAY(), "M") &gt;= 11,
    INDEX('Most Recent Import'!$F69:$Q69, 1, MATCH(11 - (COLUMN(O:O) - 5), {0, 1, 2, 3, 4, 5, 6, 7, 8, 9, 10, 11}, 0)),
    IF(
      DATEDIF($B69, TODAY(), "M") + 1 &gt;= COLUMN(O:O) - 5,
      INDEX('Most Recent Import'!$F69:$Q69, 1, MATCH(DATEDIF($B69, TODAY(), "M") + 1 - (COLUMN(O:O) - 5), {0, 1, 2, 3, 4, 5, 6, 7, 8, 9, 10, 11}, 0)),
      ""
    )
  )
</f>
        <v/>
      </c>
      <c r="P69" s="412" t="str">
        <f t="array" ref="P69">IF(
    DATEDIF($B69, TODAY(), "M") &gt;= 11,
    INDEX('Most Recent Import'!$F69:$Q69, 1, MATCH(11 - (COLUMN(P:P) - 5), {0, 1, 2, 3, 4, 5, 6, 7, 8, 9, 10, 11}, 0)),
    IF(
      DATEDIF($B69, TODAY(), "M") + 1 &gt;= COLUMN(P:P) - 5,
      INDEX('Most Recent Import'!$F69:$Q69, 1, MATCH(DATEDIF($B69, TODAY(), "M") + 1 - (COLUMN(P:P) - 5), {0, 1, 2, 3, 4, 5, 6, 7, 8, 9, 10, 11}, 0)),
      ""
    )
  )
</f>
        <v/>
      </c>
    </row>
    <row r="70">
      <c r="A70" s="412" t="str">
        <f>'Most Recent Import'!A70</f>
        <v/>
      </c>
      <c r="B70" s="412" t="str">
        <f>IF(ISBLANK(A70), "", DATE(LEFT('Most Recent Import'!C70, 4), RIGHT('Most Recent Import'!C70, 2), 1))</f>
        <v/>
      </c>
      <c r="C70" s="414" t="str">
        <f>'Most Recent Import'!B70</f>
        <v/>
      </c>
      <c r="D70" s="412" t="str">
        <f>'Most Recent Import'!D70</f>
        <v/>
      </c>
      <c r="E70" s="412" t="str">
        <f t="array" ref="E70">IF(
    DATEDIF($B70, TODAY(), "M") &gt;= 11,
    INDEX('Most Recent Import'!$F70:$Q70, 1, MATCH(11 - (COLUMN(E:E) - 5), {0, 1, 2, 3, 4, 5, 6, 7, 8, 9, 10, 11}, 0)),
    IF(
      DATEDIF($B70, TODAY(), "M") + 1 &gt;= COLUMN(E:E) - 5,
      INDEX('Most Recent Import'!$F70:$Q70, 1, MATCH(DATEDIF($B70, TODAY(), "M") + 1 - (COLUMN(E:E) - 5), {0, 1, 2, 3, 4, 5, 6, 7, 8, 9, 10, 11}, 0)),
      ""
    )
  )
</f>
        <v/>
      </c>
      <c r="F70" s="412" t="str">
        <f t="array" ref="F70">IF(
    DATEDIF($B70, TODAY(), "M") &gt;= 11,
    INDEX('Most Recent Import'!$F70:$Q70, 1, MATCH(11 - (COLUMN(F:F) - 5), {0, 1, 2, 3, 4, 5, 6, 7, 8, 9, 10, 11}, 0)),
    IF(
      DATEDIF($B70, TODAY(), "M") + 1 &gt;= COLUMN(F:F) - 5,
      INDEX('Most Recent Import'!$F70:$Q70, 1, MATCH(DATEDIF($B70, TODAY(), "M") + 1 - (COLUMN(F:F) - 5), {0, 1, 2, 3, 4, 5, 6, 7, 8, 9, 10, 11}, 0)),
      ""
    )
  )
</f>
        <v/>
      </c>
      <c r="G70" s="412" t="str">
        <f t="array" ref="G70">IF(
    DATEDIF($B70, TODAY(), "M") &gt;= 11,
    INDEX('Most Recent Import'!$F70:$Q70, 1, MATCH(11 - (COLUMN(G:G) - 5), {0, 1, 2, 3, 4, 5, 6, 7, 8, 9, 10, 11}, 0)),
    IF(
      DATEDIF($B70, TODAY(), "M") + 1 &gt;= COLUMN(G:G) - 5,
      INDEX('Most Recent Import'!$F70:$Q70, 1, MATCH(DATEDIF($B70, TODAY(), "M") + 1 - (COLUMN(G:G) - 5), {0, 1, 2, 3, 4, 5, 6, 7, 8, 9, 10, 11}, 0)),
      ""
    )
  )
</f>
        <v/>
      </c>
      <c r="H70" s="412" t="str">
        <f t="array" ref="H70">IF(
    DATEDIF($B70, TODAY(), "M") &gt;= 11,
    INDEX('Most Recent Import'!$F70:$Q70, 1, MATCH(11 - (COLUMN(H:H) - 5), {0, 1, 2, 3, 4, 5, 6, 7, 8, 9, 10, 11}, 0)),
    IF(
      DATEDIF($B70, TODAY(), "M") + 1 &gt;= COLUMN(H:H) - 5,
      INDEX('Most Recent Import'!$F70:$Q70, 1, MATCH(DATEDIF($B70, TODAY(), "M") + 1 - (COLUMN(H:H) - 5), {0, 1, 2, 3, 4, 5, 6, 7, 8, 9, 10, 11}, 0)),
      ""
    )
  )
</f>
        <v/>
      </c>
      <c r="I70" s="412" t="str">
        <f t="array" ref="I70">IF(
    DATEDIF($B70, TODAY(), "M") &gt;= 11,
    INDEX('Most Recent Import'!$F70:$Q70, 1, MATCH(11 - (COLUMN(I:I) - 5), {0, 1, 2, 3, 4, 5, 6, 7, 8, 9, 10, 11}, 0)),
    IF(
      DATEDIF($B70, TODAY(), "M") + 1 &gt;= COLUMN(I:I) - 5,
      INDEX('Most Recent Import'!$F70:$Q70, 1, MATCH(DATEDIF($B70, TODAY(), "M") + 1 - (COLUMN(I:I) - 5), {0, 1, 2, 3, 4, 5, 6, 7, 8, 9, 10, 11}, 0)),
      ""
    )
  )
</f>
        <v/>
      </c>
      <c r="J70" s="412" t="str">
        <f t="array" ref="J70">IF(
    DATEDIF($B70, TODAY(), "M") &gt;= 11,
    INDEX('Most Recent Import'!$F70:$Q70, 1, MATCH(11 - (COLUMN(J:J) - 5), {0, 1, 2, 3, 4, 5, 6, 7, 8, 9, 10, 11}, 0)),
    IF(
      DATEDIF($B70, TODAY(), "M") + 1 &gt;= COLUMN(J:J) - 5,
      INDEX('Most Recent Import'!$F70:$Q70, 1, MATCH(DATEDIF($B70, TODAY(), "M") + 1 - (COLUMN(J:J) - 5), {0, 1, 2, 3, 4, 5, 6, 7, 8, 9, 10, 11}, 0)),
      ""
    )
  )
</f>
        <v/>
      </c>
      <c r="K70" s="412" t="str">
        <f t="array" ref="K70">IF(
    DATEDIF($B70, TODAY(), "M") &gt;= 11,
    INDEX('Most Recent Import'!$F70:$Q70, 1, MATCH(11 - (COLUMN(K:K) - 5), {0, 1, 2, 3, 4, 5, 6, 7, 8, 9, 10, 11}, 0)),
    IF(
      DATEDIF($B70, TODAY(), "M") + 1 &gt;= COLUMN(K:K) - 5,
      INDEX('Most Recent Import'!$F70:$Q70, 1, MATCH(DATEDIF($B70, TODAY(), "M") + 1 - (COLUMN(K:K) - 5), {0, 1, 2, 3, 4, 5, 6, 7, 8, 9, 10, 11}, 0)),
      ""
    )
  )
</f>
        <v/>
      </c>
      <c r="L70" s="412" t="str">
        <f t="array" ref="L70">IF(
    DATEDIF($B70, TODAY(), "M") &gt;= 11,
    INDEX('Most Recent Import'!$F70:$Q70, 1, MATCH(11 - (COLUMN(L:L) - 5), {0, 1, 2, 3, 4, 5, 6, 7, 8, 9, 10, 11}, 0)),
    IF(
      DATEDIF($B70, TODAY(), "M") + 1 &gt;= COLUMN(L:L) - 5,
      INDEX('Most Recent Import'!$F70:$Q70, 1, MATCH(DATEDIF($B70, TODAY(), "M") + 1 - (COLUMN(L:L) - 5), {0, 1, 2, 3, 4, 5, 6, 7, 8, 9, 10, 11}, 0)),
      ""
    )
  )
</f>
        <v/>
      </c>
      <c r="M70" s="412" t="str">
        <f t="array" ref="M70">IF(
    DATEDIF($B70, TODAY(), "M") &gt;= 11,
    INDEX('Most Recent Import'!$F70:$Q70, 1, MATCH(11 - (COLUMN(M:M) - 5), {0, 1, 2, 3, 4, 5, 6, 7, 8, 9, 10, 11}, 0)),
    IF(
      DATEDIF($B70, TODAY(), "M") + 1 &gt;= COLUMN(M:M) - 5,
      INDEX('Most Recent Import'!$F70:$Q70, 1, MATCH(DATEDIF($B70, TODAY(), "M") + 1 - (COLUMN(M:M) - 5), {0, 1, 2, 3, 4, 5, 6, 7, 8, 9, 10, 11}, 0)),
      ""
    )
  )
</f>
        <v/>
      </c>
      <c r="N70" s="412" t="str">
        <f t="array" ref="N70">IF(
    DATEDIF($B70, TODAY(), "M") &gt;= 11,
    INDEX('Most Recent Import'!$F70:$Q70, 1, MATCH(11 - (COLUMN(N:N) - 5), {0, 1, 2, 3, 4, 5, 6, 7, 8, 9, 10, 11}, 0)),
    IF(
      DATEDIF($B70, TODAY(), "M") + 1 &gt;= COLUMN(N:N) - 5,
      INDEX('Most Recent Import'!$F70:$Q70, 1, MATCH(DATEDIF($B70, TODAY(), "M") + 1 - (COLUMN(N:N) - 5), {0, 1, 2, 3, 4, 5, 6, 7, 8, 9, 10, 11}, 0)),
      ""
    )
  )
</f>
        <v/>
      </c>
      <c r="O70" s="412" t="str">
        <f t="array" ref="O70">IF(
    DATEDIF($B70, TODAY(), "M") &gt;= 11,
    INDEX('Most Recent Import'!$F70:$Q70, 1, MATCH(11 - (COLUMN(O:O) - 5), {0, 1, 2, 3, 4, 5, 6, 7, 8, 9, 10, 11}, 0)),
    IF(
      DATEDIF($B70, TODAY(), "M") + 1 &gt;= COLUMN(O:O) - 5,
      INDEX('Most Recent Import'!$F70:$Q70, 1, MATCH(DATEDIF($B70, TODAY(), "M") + 1 - (COLUMN(O:O) - 5), {0, 1, 2, 3, 4, 5, 6, 7, 8, 9, 10, 11}, 0)),
      ""
    )
  )
</f>
        <v/>
      </c>
      <c r="P70" s="412" t="str">
        <f t="array" ref="P70">IF(
    DATEDIF($B70, TODAY(), "M") &gt;= 11,
    INDEX('Most Recent Import'!$F70:$Q70, 1, MATCH(11 - (COLUMN(P:P) - 5), {0, 1, 2, 3, 4, 5, 6, 7, 8, 9, 10, 11}, 0)),
    IF(
      DATEDIF($B70, TODAY(), "M") + 1 &gt;= COLUMN(P:P) - 5,
      INDEX('Most Recent Import'!$F70:$Q70, 1, MATCH(DATEDIF($B70, TODAY(), "M") + 1 - (COLUMN(P:P) - 5), {0, 1, 2, 3, 4, 5, 6, 7, 8, 9, 10, 11}, 0)),
      ""
    )
  )
</f>
        <v/>
      </c>
    </row>
    <row r="71">
      <c r="A71" s="412" t="str">
        <f>'Most Recent Import'!A71</f>
        <v/>
      </c>
      <c r="B71" s="412" t="str">
        <f>IF(ISBLANK(A71), "", DATE(LEFT('Most Recent Import'!C71, 4), RIGHT('Most Recent Import'!C71, 2), 1))</f>
        <v/>
      </c>
      <c r="C71" s="414" t="str">
        <f>'Most Recent Import'!B71</f>
        <v/>
      </c>
      <c r="D71" s="412" t="str">
        <f>'Most Recent Import'!D71</f>
        <v/>
      </c>
      <c r="E71" s="412" t="str">
        <f t="array" ref="E71">IF(
    DATEDIF($B71, TODAY(), "M") &gt;= 11,
    INDEX('Most Recent Import'!$F71:$Q71, 1, MATCH(11 - (COLUMN(E:E) - 5), {0, 1, 2, 3, 4, 5, 6, 7, 8, 9, 10, 11}, 0)),
    IF(
      DATEDIF($B71, TODAY(), "M") + 1 &gt;= COLUMN(E:E) - 5,
      INDEX('Most Recent Import'!$F71:$Q71, 1, MATCH(DATEDIF($B71, TODAY(), "M") + 1 - (COLUMN(E:E) - 5), {0, 1, 2, 3, 4, 5, 6, 7, 8, 9, 10, 11}, 0)),
      ""
    )
  )
</f>
        <v/>
      </c>
      <c r="F71" s="412" t="str">
        <f t="array" ref="F71">IF(
    DATEDIF($B71, TODAY(), "M") &gt;= 11,
    INDEX('Most Recent Import'!$F71:$Q71, 1, MATCH(11 - (COLUMN(F:F) - 5), {0, 1, 2, 3, 4, 5, 6, 7, 8, 9, 10, 11}, 0)),
    IF(
      DATEDIF($B71, TODAY(), "M") + 1 &gt;= COLUMN(F:F) - 5,
      INDEX('Most Recent Import'!$F71:$Q71, 1, MATCH(DATEDIF($B71, TODAY(), "M") + 1 - (COLUMN(F:F) - 5), {0, 1, 2, 3, 4, 5, 6, 7, 8, 9, 10, 11}, 0)),
      ""
    )
  )
</f>
        <v/>
      </c>
      <c r="G71" s="412" t="str">
        <f t="array" ref="G71">IF(
    DATEDIF($B71, TODAY(), "M") &gt;= 11,
    INDEX('Most Recent Import'!$F71:$Q71, 1, MATCH(11 - (COLUMN(G:G) - 5), {0, 1, 2, 3, 4, 5, 6, 7, 8, 9, 10, 11}, 0)),
    IF(
      DATEDIF($B71, TODAY(), "M") + 1 &gt;= COLUMN(G:G) - 5,
      INDEX('Most Recent Import'!$F71:$Q71, 1, MATCH(DATEDIF($B71, TODAY(), "M") + 1 - (COLUMN(G:G) - 5), {0, 1, 2, 3, 4, 5, 6, 7, 8, 9, 10, 11}, 0)),
      ""
    )
  )
</f>
        <v/>
      </c>
      <c r="H71" s="412" t="str">
        <f t="array" ref="H71">IF(
    DATEDIF($B71, TODAY(), "M") &gt;= 11,
    INDEX('Most Recent Import'!$F71:$Q71, 1, MATCH(11 - (COLUMN(H:H) - 5), {0, 1, 2, 3, 4, 5, 6, 7, 8, 9, 10, 11}, 0)),
    IF(
      DATEDIF($B71, TODAY(), "M") + 1 &gt;= COLUMN(H:H) - 5,
      INDEX('Most Recent Import'!$F71:$Q71, 1, MATCH(DATEDIF($B71, TODAY(), "M") + 1 - (COLUMN(H:H) - 5), {0, 1, 2, 3, 4, 5, 6, 7, 8, 9, 10, 11}, 0)),
      ""
    )
  )
</f>
        <v/>
      </c>
      <c r="I71" s="412" t="str">
        <f t="array" ref="I71">IF(
    DATEDIF($B71, TODAY(), "M") &gt;= 11,
    INDEX('Most Recent Import'!$F71:$Q71, 1, MATCH(11 - (COLUMN(I:I) - 5), {0, 1, 2, 3, 4, 5, 6, 7, 8, 9, 10, 11}, 0)),
    IF(
      DATEDIF($B71, TODAY(), "M") + 1 &gt;= COLUMN(I:I) - 5,
      INDEX('Most Recent Import'!$F71:$Q71, 1, MATCH(DATEDIF($B71, TODAY(), "M") + 1 - (COLUMN(I:I) - 5), {0, 1, 2, 3, 4, 5, 6, 7, 8, 9, 10, 11}, 0)),
      ""
    )
  )
</f>
        <v/>
      </c>
      <c r="J71" s="412" t="str">
        <f t="array" ref="J71">IF(
    DATEDIF($B71, TODAY(), "M") &gt;= 11,
    INDEX('Most Recent Import'!$F71:$Q71, 1, MATCH(11 - (COLUMN(J:J) - 5), {0, 1, 2, 3, 4, 5, 6, 7, 8, 9, 10, 11}, 0)),
    IF(
      DATEDIF($B71, TODAY(), "M") + 1 &gt;= COLUMN(J:J) - 5,
      INDEX('Most Recent Import'!$F71:$Q71, 1, MATCH(DATEDIF($B71, TODAY(), "M") + 1 - (COLUMN(J:J) - 5), {0, 1, 2, 3, 4, 5, 6, 7, 8, 9, 10, 11}, 0)),
      ""
    )
  )
</f>
        <v/>
      </c>
      <c r="K71" s="412" t="str">
        <f t="array" ref="K71">IF(
    DATEDIF($B71, TODAY(), "M") &gt;= 11,
    INDEX('Most Recent Import'!$F71:$Q71, 1, MATCH(11 - (COLUMN(K:K) - 5), {0, 1, 2, 3, 4, 5, 6, 7, 8, 9, 10, 11}, 0)),
    IF(
      DATEDIF($B71, TODAY(), "M") + 1 &gt;= COLUMN(K:K) - 5,
      INDEX('Most Recent Import'!$F71:$Q71, 1, MATCH(DATEDIF($B71, TODAY(), "M") + 1 - (COLUMN(K:K) - 5), {0, 1, 2, 3, 4, 5, 6, 7, 8, 9, 10, 11}, 0)),
      ""
    )
  )
</f>
        <v/>
      </c>
      <c r="L71" s="412" t="str">
        <f t="array" ref="L71">IF(
    DATEDIF($B71, TODAY(), "M") &gt;= 11,
    INDEX('Most Recent Import'!$F71:$Q71, 1, MATCH(11 - (COLUMN(L:L) - 5), {0, 1, 2, 3, 4, 5, 6, 7, 8, 9, 10, 11}, 0)),
    IF(
      DATEDIF($B71, TODAY(), "M") + 1 &gt;= COLUMN(L:L) - 5,
      INDEX('Most Recent Import'!$F71:$Q71, 1, MATCH(DATEDIF($B71, TODAY(), "M") + 1 - (COLUMN(L:L) - 5), {0, 1, 2, 3, 4, 5, 6, 7, 8, 9, 10, 11}, 0)),
      ""
    )
  )
</f>
        <v/>
      </c>
      <c r="M71" s="412" t="str">
        <f t="array" ref="M71">IF(
    DATEDIF($B71, TODAY(), "M") &gt;= 11,
    INDEX('Most Recent Import'!$F71:$Q71, 1, MATCH(11 - (COLUMN(M:M) - 5), {0, 1, 2, 3, 4, 5, 6, 7, 8, 9, 10, 11}, 0)),
    IF(
      DATEDIF($B71, TODAY(), "M") + 1 &gt;= COLUMN(M:M) - 5,
      INDEX('Most Recent Import'!$F71:$Q71, 1, MATCH(DATEDIF($B71, TODAY(), "M") + 1 - (COLUMN(M:M) - 5), {0, 1, 2, 3, 4, 5, 6, 7, 8, 9, 10, 11}, 0)),
      ""
    )
  )
</f>
        <v/>
      </c>
      <c r="N71" s="412" t="str">
        <f t="array" ref="N71">IF(
    DATEDIF($B71, TODAY(), "M") &gt;= 11,
    INDEX('Most Recent Import'!$F71:$Q71, 1, MATCH(11 - (COLUMN(N:N) - 5), {0, 1, 2, 3, 4, 5, 6, 7, 8, 9, 10, 11}, 0)),
    IF(
      DATEDIF($B71, TODAY(), "M") + 1 &gt;= COLUMN(N:N) - 5,
      INDEX('Most Recent Import'!$F71:$Q71, 1, MATCH(DATEDIF($B71, TODAY(), "M") + 1 - (COLUMN(N:N) - 5), {0, 1, 2, 3, 4, 5, 6, 7, 8, 9, 10, 11}, 0)),
      ""
    )
  )
</f>
        <v/>
      </c>
      <c r="O71" s="412" t="str">
        <f t="array" ref="O71">IF(
    DATEDIF($B71, TODAY(), "M") &gt;= 11,
    INDEX('Most Recent Import'!$F71:$Q71, 1, MATCH(11 - (COLUMN(O:O) - 5), {0, 1, 2, 3, 4, 5, 6, 7, 8, 9, 10, 11}, 0)),
    IF(
      DATEDIF($B71, TODAY(), "M") + 1 &gt;= COLUMN(O:O) - 5,
      INDEX('Most Recent Import'!$F71:$Q71, 1, MATCH(DATEDIF($B71, TODAY(), "M") + 1 - (COLUMN(O:O) - 5), {0, 1, 2, 3, 4, 5, 6, 7, 8, 9, 10, 11}, 0)),
      ""
    )
  )
</f>
        <v/>
      </c>
      <c r="P71" s="412" t="str">
        <f t="array" ref="P71">IF(
    DATEDIF($B71, TODAY(), "M") &gt;= 11,
    INDEX('Most Recent Import'!$F71:$Q71, 1, MATCH(11 - (COLUMN(P:P) - 5), {0, 1, 2, 3, 4, 5, 6, 7, 8, 9, 10, 11}, 0)),
    IF(
      DATEDIF($B71, TODAY(), "M") + 1 &gt;= COLUMN(P:P) - 5,
      INDEX('Most Recent Import'!$F71:$Q71, 1, MATCH(DATEDIF($B71, TODAY(), "M") + 1 - (COLUMN(P:P) - 5), {0, 1, 2, 3, 4, 5, 6, 7, 8, 9, 10, 11}, 0)),
      ""
    )
  )
</f>
        <v/>
      </c>
    </row>
    <row r="72">
      <c r="A72" s="412" t="str">
        <f>'Most Recent Import'!A72</f>
        <v/>
      </c>
      <c r="B72" s="412" t="str">
        <f>IF(ISBLANK(A72), "", DATE(LEFT('Most Recent Import'!C72, 4), RIGHT('Most Recent Import'!C72, 2), 1))</f>
        <v/>
      </c>
      <c r="C72" s="414" t="str">
        <f>'Most Recent Import'!B72</f>
        <v/>
      </c>
      <c r="D72" s="412" t="str">
        <f>'Most Recent Import'!D72</f>
        <v/>
      </c>
      <c r="E72" s="412" t="str">
        <f t="array" ref="E72">IF(
    DATEDIF($B72, TODAY(), "M") &gt;= 11,
    INDEX('Most Recent Import'!$F72:$Q72, 1, MATCH(11 - (COLUMN(E:E) - 5), {0, 1, 2, 3, 4, 5, 6, 7, 8, 9, 10, 11}, 0)),
    IF(
      DATEDIF($B72, TODAY(), "M") + 1 &gt;= COLUMN(E:E) - 5,
      INDEX('Most Recent Import'!$F72:$Q72, 1, MATCH(DATEDIF($B72, TODAY(), "M") + 1 - (COLUMN(E:E) - 5), {0, 1, 2, 3, 4, 5, 6, 7, 8, 9, 10, 11}, 0)),
      ""
    )
  )
</f>
        <v/>
      </c>
      <c r="F72" s="412" t="str">
        <f t="array" ref="F72">IF(
    DATEDIF($B72, TODAY(), "M") &gt;= 11,
    INDEX('Most Recent Import'!$F72:$Q72, 1, MATCH(11 - (COLUMN(F:F) - 5), {0, 1, 2, 3, 4, 5, 6, 7, 8, 9, 10, 11}, 0)),
    IF(
      DATEDIF($B72, TODAY(), "M") + 1 &gt;= COLUMN(F:F) - 5,
      INDEX('Most Recent Import'!$F72:$Q72, 1, MATCH(DATEDIF($B72, TODAY(), "M") + 1 - (COLUMN(F:F) - 5), {0, 1, 2, 3, 4, 5, 6, 7, 8, 9, 10, 11}, 0)),
      ""
    )
  )
</f>
        <v/>
      </c>
      <c r="G72" s="412" t="str">
        <f t="array" ref="G72">IF(
    DATEDIF($B72, TODAY(), "M") &gt;= 11,
    INDEX('Most Recent Import'!$F72:$Q72, 1, MATCH(11 - (COLUMN(G:G) - 5), {0, 1, 2, 3, 4, 5, 6, 7, 8, 9, 10, 11}, 0)),
    IF(
      DATEDIF($B72, TODAY(), "M") + 1 &gt;= COLUMN(G:G) - 5,
      INDEX('Most Recent Import'!$F72:$Q72, 1, MATCH(DATEDIF($B72, TODAY(), "M") + 1 - (COLUMN(G:G) - 5), {0, 1, 2, 3, 4, 5, 6, 7, 8, 9, 10, 11}, 0)),
      ""
    )
  )
</f>
        <v/>
      </c>
      <c r="H72" s="412" t="str">
        <f t="array" ref="H72">IF(
    DATEDIF($B72, TODAY(), "M") &gt;= 11,
    INDEX('Most Recent Import'!$F72:$Q72, 1, MATCH(11 - (COLUMN(H:H) - 5), {0, 1, 2, 3, 4, 5, 6, 7, 8, 9, 10, 11}, 0)),
    IF(
      DATEDIF($B72, TODAY(), "M") + 1 &gt;= COLUMN(H:H) - 5,
      INDEX('Most Recent Import'!$F72:$Q72, 1, MATCH(DATEDIF($B72, TODAY(), "M") + 1 - (COLUMN(H:H) - 5), {0, 1, 2, 3, 4, 5, 6, 7, 8, 9, 10, 11}, 0)),
      ""
    )
  )
</f>
        <v/>
      </c>
      <c r="I72" s="412" t="str">
        <f t="array" ref="I72">IF(
    DATEDIF($B72, TODAY(), "M") &gt;= 11,
    INDEX('Most Recent Import'!$F72:$Q72, 1, MATCH(11 - (COLUMN(I:I) - 5), {0, 1, 2, 3, 4, 5, 6, 7, 8, 9, 10, 11}, 0)),
    IF(
      DATEDIF($B72, TODAY(), "M") + 1 &gt;= COLUMN(I:I) - 5,
      INDEX('Most Recent Import'!$F72:$Q72, 1, MATCH(DATEDIF($B72, TODAY(), "M") + 1 - (COLUMN(I:I) - 5), {0, 1, 2, 3, 4, 5, 6, 7, 8, 9, 10, 11}, 0)),
      ""
    )
  )
</f>
        <v/>
      </c>
      <c r="J72" s="412" t="str">
        <f t="array" ref="J72">IF(
    DATEDIF($B72, TODAY(), "M") &gt;= 11,
    INDEX('Most Recent Import'!$F72:$Q72, 1, MATCH(11 - (COLUMN(J:J) - 5), {0, 1, 2, 3, 4, 5, 6, 7, 8, 9, 10, 11}, 0)),
    IF(
      DATEDIF($B72, TODAY(), "M") + 1 &gt;= COLUMN(J:J) - 5,
      INDEX('Most Recent Import'!$F72:$Q72, 1, MATCH(DATEDIF($B72, TODAY(), "M") + 1 - (COLUMN(J:J) - 5), {0, 1, 2, 3, 4, 5, 6, 7, 8, 9, 10, 11}, 0)),
      ""
    )
  )
</f>
        <v/>
      </c>
      <c r="K72" s="412" t="str">
        <f t="array" ref="K72">IF(
    DATEDIF($B72, TODAY(), "M") &gt;= 11,
    INDEX('Most Recent Import'!$F72:$Q72, 1, MATCH(11 - (COLUMN(K:K) - 5), {0, 1, 2, 3, 4, 5, 6, 7, 8, 9, 10, 11}, 0)),
    IF(
      DATEDIF($B72, TODAY(), "M") + 1 &gt;= COLUMN(K:K) - 5,
      INDEX('Most Recent Import'!$F72:$Q72, 1, MATCH(DATEDIF($B72, TODAY(), "M") + 1 - (COLUMN(K:K) - 5), {0, 1, 2, 3, 4, 5, 6, 7, 8, 9, 10, 11}, 0)),
      ""
    )
  )
</f>
        <v/>
      </c>
      <c r="L72" s="412" t="str">
        <f t="array" ref="L72">IF(
    DATEDIF($B72, TODAY(), "M") &gt;= 11,
    INDEX('Most Recent Import'!$F72:$Q72, 1, MATCH(11 - (COLUMN(L:L) - 5), {0, 1, 2, 3, 4, 5, 6, 7, 8, 9, 10, 11}, 0)),
    IF(
      DATEDIF($B72, TODAY(), "M") + 1 &gt;= COLUMN(L:L) - 5,
      INDEX('Most Recent Import'!$F72:$Q72, 1, MATCH(DATEDIF($B72, TODAY(), "M") + 1 - (COLUMN(L:L) - 5), {0, 1, 2, 3, 4, 5, 6, 7, 8, 9, 10, 11}, 0)),
      ""
    )
  )
</f>
        <v/>
      </c>
      <c r="M72" s="412" t="str">
        <f t="array" ref="M72">IF(
    DATEDIF($B72, TODAY(), "M") &gt;= 11,
    INDEX('Most Recent Import'!$F72:$Q72, 1, MATCH(11 - (COLUMN(M:M) - 5), {0, 1, 2, 3, 4, 5, 6, 7, 8, 9, 10, 11}, 0)),
    IF(
      DATEDIF($B72, TODAY(), "M") + 1 &gt;= COLUMN(M:M) - 5,
      INDEX('Most Recent Import'!$F72:$Q72, 1, MATCH(DATEDIF($B72, TODAY(), "M") + 1 - (COLUMN(M:M) - 5), {0, 1, 2, 3, 4, 5, 6, 7, 8, 9, 10, 11}, 0)),
      ""
    )
  )
</f>
        <v/>
      </c>
      <c r="N72" s="412" t="str">
        <f t="array" ref="N72">IF(
    DATEDIF($B72, TODAY(), "M") &gt;= 11,
    INDEX('Most Recent Import'!$F72:$Q72, 1, MATCH(11 - (COLUMN(N:N) - 5), {0, 1, 2, 3, 4, 5, 6, 7, 8, 9, 10, 11}, 0)),
    IF(
      DATEDIF($B72, TODAY(), "M") + 1 &gt;= COLUMN(N:N) - 5,
      INDEX('Most Recent Import'!$F72:$Q72, 1, MATCH(DATEDIF($B72, TODAY(), "M") + 1 - (COLUMN(N:N) - 5), {0, 1, 2, 3, 4, 5, 6, 7, 8, 9, 10, 11}, 0)),
      ""
    )
  )
</f>
        <v/>
      </c>
      <c r="O72" s="412" t="str">
        <f t="array" ref="O72">IF(
    DATEDIF($B72, TODAY(), "M") &gt;= 11,
    INDEX('Most Recent Import'!$F72:$Q72, 1, MATCH(11 - (COLUMN(O:O) - 5), {0, 1, 2, 3, 4, 5, 6, 7, 8, 9, 10, 11}, 0)),
    IF(
      DATEDIF($B72, TODAY(), "M") + 1 &gt;= COLUMN(O:O) - 5,
      INDEX('Most Recent Import'!$F72:$Q72, 1, MATCH(DATEDIF($B72, TODAY(), "M") + 1 - (COLUMN(O:O) - 5), {0, 1, 2, 3, 4, 5, 6, 7, 8, 9, 10, 11}, 0)),
      ""
    )
  )
</f>
        <v/>
      </c>
      <c r="P72" s="412" t="str">
        <f t="array" ref="P72">IF(
    DATEDIF($B72, TODAY(), "M") &gt;= 11,
    INDEX('Most Recent Import'!$F72:$Q72, 1, MATCH(11 - (COLUMN(P:P) - 5), {0, 1, 2, 3, 4, 5, 6, 7, 8, 9, 10, 11}, 0)),
    IF(
      DATEDIF($B72, TODAY(), "M") + 1 &gt;= COLUMN(P:P) - 5,
      INDEX('Most Recent Import'!$F72:$Q72, 1, MATCH(DATEDIF($B72, TODAY(), "M") + 1 - (COLUMN(P:P) - 5), {0, 1, 2, 3, 4, 5, 6, 7, 8, 9, 10, 11}, 0)),
      ""
    )
  )
</f>
        <v/>
      </c>
    </row>
    <row r="73">
      <c r="A73" s="412" t="str">
        <f>'Most Recent Import'!A73</f>
        <v/>
      </c>
      <c r="B73" s="412" t="str">
        <f>IF(ISBLANK(A73), "", DATE(LEFT('Most Recent Import'!C73, 4), RIGHT('Most Recent Import'!C73, 2), 1))</f>
        <v/>
      </c>
      <c r="C73" s="414" t="str">
        <f>'Most Recent Import'!B73</f>
        <v/>
      </c>
      <c r="D73" s="412" t="str">
        <f>'Most Recent Import'!D73</f>
        <v/>
      </c>
      <c r="E73" s="412" t="str">
        <f t="array" ref="E73">IF(
    DATEDIF($B73, TODAY(), "M") &gt;= 11,
    INDEX('Most Recent Import'!$F73:$Q73, 1, MATCH(11 - (COLUMN(E:E) - 5), {0, 1, 2, 3, 4, 5, 6, 7, 8, 9, 10, 11}, 0)),
    IF(
      DATEDIF($B73, TODAY(), "M") + 1 &gt;= COLUMN(E:E) - 5,
      INDEX('Most Recent Import'!$F73:$Q73, 1, MATCH(DATEDIF($B73, TODAY(), "M") + 1 - (COLUMN(E:E) - 5), {0, 1, 2, 3, 4, 5, 6, 7, 8, 9, 10, 11}, 0)),
      ""
    )
  )
</f>
        <v/>
      </c>
      <c r="F73" s="412" t="str">
        <f t="array" ref="F73">IF(
    DATEDIF($B73, TODAY(), "M") &gt;= 11,
    INDEX('Most Recent Import'!$F73:$Q73, 1, MATCH(11 - (COLUMN(F:F) - 5), {0, 1, 2, 3, 4, 5, 6, 7, 8, 9, 10, 11}, 0)),
    IF(
      DATEDIF($B73, TODAY(), "M") + 1 &gt;= COLUMN(F:F) - 5,
      INDEX('Most Recent Import'!$F73:$Q73, 1, MATCH(DATEDIF($B73, TODAY(), "M") + 1 - (COLUMN(F:F) - 5), {0, 1, 2, 3, 4, 5, 6, 7, 8, 9, 10, 11}, 0)),
      ""
    )
  )
</f>
        <v/>
      </c>
      <c r="G73" s="412" t="str">
        <f t="array" ref="G73">IF(
    DATEDIF($B73, TODAY(), "M") &gt;= 11,
    INDEX('Most Recent Import'!$F73:$Q73, 1, MATCH(11 - (COLUMN(G:G) - 5), {0, 1, 2, 3, 4, 5, 6, 7, 8, 9, 10, 11}, 0)),
    IF(
      DATEDIF($B73, TODAY(), "M") + 1 &gt;= COLUMN(G:G) - 5,
      INDEX('Most Recent Import'!$F73:$Q73, 1, MATCH(DATEDIF($B73, TODAY(), "M") + 1 - (COLUMN(G:G) - 5), {0, 1, 2, 3, 4, 5, 6, 7, 8, 9, 10, 11}, 0)),
      ""
    )
  )
</f>
        <v/>
      </c>
      <c r="H73" s="412" t="str">
        <f t="array" ref="H73">IF(
    DATEDIF($B73, TODAY(), "M") &gt;= 11,
    INDEX('Most Recent Import'!$F73:$Q73, 1, MATCH(11 - (COLUMN(H:H) - 5), {0, 1, 2, 3, 4, 5, 6, 7, 8, 9, 10, 11}, 0)),
    IF(
      DATEDIF($B73, TODAY(), "M") + 1 &gt;= COLUMN(H:H) - 5,
      INDEX('Most Recent Import'!$F73:$Q73, 1, MATCH(DATEDIF($B73, TODAY(), "M") + 1 - (COLUMN(H:H) - 5), {0, 1, 2, 3, 4, 5, 6, 7, 8, 9, 10, 11}, 0)),
      ""
    )
  )
</f>
        <v/>
      </c>
      <c r="I73" s="412" t="str">
        <f t="array" ref="I73">IF(
    DATEDIF($B73, TODAY(), "M") &gt;= 11,
    INDEX('Most Recent Import'!$F73:$Q73, 1, MATCH(11 - (COLUMN(I:I) - 5), {0, 1, 2, 3, 4, 5, 6, 7, 8, 9, 10, 11}, 0)),
    IF(
      DATEDIF($B73, TODAY(), "M") + 1 &gt;= COLUMN(I:I) - 5,
      INDEX('Most Recent Import'!$F73:$Q73, 1, MATCH(DATEDIF($B73, TODAY(), "M") + 1 - (COLUMN(I:I) - 5), {0, 1, 2, 3, 4, 5, 6, 7, 8, 9, 10, 11}, 0)),
      ""
    )
  )
</f>
        <v/>
      </c>
      <c r="J73" s="412" t="str">
        <f t="array" ref="J73">IF(
    DATEDIF($B73, TODAY(), "M") &gt;= 11,
    INDEX('Most Recent Import'!$F73:$Q73, 1, MATCH(11 - (COLUMN(J:J) - 5), {0, 1, 2, 3, 4, 5, 6, 7, 8, 9, 10, 11}, 0)),
    IF(
      DATEDIF($B73, TODAY(), "M") + 1 &gt;= COLUMN(J:J) - 5,
      INDEX('Most Recent Import'!$F73:$Q73, 1, MATCH(DATEDIF($B73, TODAY(), "M") + 1 - (COLUMN(J:J) - 5), {0, 1, 2, 3, 4, 5, 6, 7, 8, 9, 10, 11}, 0)),
      ""
    )
  )
</f>
        <v/>
      </c>
      <c r="K73" s="412" t="str">
        <f t="array" ref="K73">IF(
    DATEDIF($B73, TODAY(), "M") &gt;= 11,
    INDEX('Most Recent Import'!$F73:$Q73, 1, MATCH(11 - (COLUMN(K:K) - 5), {0, 1, 2, 3, 4, 5, 6, 7, 8, 9, 10, 11}, 0)),
    IF(
      DATEDIF($B73, TODAY(), "M") + 1 &gt;= COLUMN(K:K) - 5,
      INDEX('Most Recent Import'!$F73:$Q73, 1, MATCH(DATEDIF($B73, TODAY(), "M") + 1 - (COLUMN(K:K) - 5), {0, 1, 2, 3, 4, 5, 6, 7, 8, 9, 10, 11}, 0)),
      ""
    )
  )
</f>
        <v/>
      </c>
      <c r="L73" s="412" t="str">
        <f t="array" ref="L73">IF(
    DATEDIF($B73, TODAY(), "M") &gt;= 11,
    INDEX('Most Recent Import'!$F73:$Q73, 1, MATCH(11 - (COLUMN(L:L) - 5), {0, 1, 2, 3, 4, 5, 6, 7, 8, 9, 10, 11}, 0)),
    IF(
      DATEDIF($B73, TODAY(), "M") + 1 &gt;= COLUMN(L:L) - 5,
      INDEX('Most Recent Import'!$F73:$Q73, 1, MATCH(DATEDIF($B73, TODAY(), "M") + 1 - (COLUMN(L:L) - 5), {0, 1, 2, 3, 4, 5, 6, 7, 8, 9, 10, 11}, 0)),
      ""
    )
  )
</f>
        <v/>
      </c>
      <c r="M73" s="412" t="str">
        <f t="array" ref="M73">IF(
    DATEDIF($B73, TODAY(), "M") &gt;= 11,
    INDEX('Most Recent Import'!$F73:$Q73, 1, MATCH(11 - (COLUMN(M:M) - 5), {0, 1, 2, 3, 4, 5, 6, 7, 8, 9, 10, 11}, 0)),
    IF(
      DATEDIF($B73, TODAY(), "M") + 1 &gt;= COLUMN(M:M) - 5,
      INDEX('Most Recent Import'!$F73:$Q73, 1, MATCH(DATEDIF($B73, TODAY(), "M") + 1 - (COLUMN(M:M) - 5), {0, 1, 2, 3, 4, 5, 6, 7, 8, 9, 10, 11}, 0)),
      ""
    )
  )
</f>
        <v/>
      </c>
      <c r="N73" s="412" t="str">
        <f t="array" ref="N73">IF(
    DATEDIF($B73, TODAY(), "M") &gt;= 11,
    INDEX('Most Recent Import'!$F73:$Q73, 1, MATCH(11 - (COLUMN(N:N) - 5), {0, 1, 2, 3, 4, 5, 6, 7, 8, 9, 10, 11}, 0)),
    IF(
      DATEDIF($B73, TODAY(), "M") + 1 &gt;= COLUMN(N:N) - 5,
      INDEX('Most Recent Import'!$F73:$Q73, 1, MATCH(DATEDIF($B73, TODAY(), "M") + 1 - (COLUMN(N:N) - 5), {0, 1, 2, 3, 4, 5, 6, 7, 8, 9, 10, 11}, 0)),
      ""
    )
  )
</f>
        <v/>
      </c>
      <c r="O73" s="412" t="str">
        <f t="array" ref="O73">IF(
    DATEDIF($B73, TODAY(), "M") &gt;= 11,
    INDEX('Most Recent Import'!$F73:$Q73, 1, MATCH(11 - (COLUMN(O:O) - 5), {0, 1, 2, 3, 4, 5, 6, 7, 8, 9, 10, 11}, 0)),
    IF(
      DATEDIF($B73, TODAY(), "M") + 1 &gt;= COLUMN(O:O) - 5,
      INDEX('Most Recent Import'!$F73:$Q73, 1, MATCH(DATEDIF($B73, TODAY(), "M") + 1 - (COLUMN(O:O) - 5), {0, 1, 2, 3, 4, 5, 6, 7, 8, 9, 10, 11}, 0)),
      ""
    )
  )
</f>
        <v/>
      </c>
      <c r="P73" s="412" t="str">
        <f t="array" ref="P73">IF(
    DATEDIF($B73, TODAY(), "M") &gt;= 11,
    INDEX('Most Recent Import'!$F73:$Q73, 1, MATCH(11 - (COLUMN(P:P) - 5), {0, 1, 2, 3, 4, 5, 6, 7, 8, 9, 10, 11}, 0)),
    IF(
      DATEDIF($B73, TODAY(), "M") + 1 &gt;= COLUMN(P:P) - 5,
      INDEX('Most Recent Import'!$F73:$Q73, 1, MATCH(DATEDIF($B73, TODAY(), "M") + 1 - (COLUMN(P:P) - 5), {0, 1, 2, 3, 4, 5, 6, 7, 8, 9, 10, 11}, 0)),
      ""
    )
  )
</f>
        <v/>
      </c>
    </row>
    <row r="74">
      <c r="A74" s="412" t="str">
        <f>'Most Recent Import'!A74</f>
        <v/>
      </c>
      <c r="B74" s="412" t="str">
        <f>IF(ISBLANK(A74), "", DATE(LEFT('Most Recent Import'!C74, 4), RIGHT('Most Recent Import'!C74, 2), 1))</f>
        <v/>
      </c>
      <c r="C74" s="414" t="str">
        <f>'Most Recent Import'!B74</f>
        <v/>
      </c>
      <c r="D74" s="412" t="str">
        <f>'Most Recent Import'!D74</f>
        <v/>
      </c>
      <c r="E74" s="412" t="str">
        <f t="array" ref="E74">IF(
    DATEDIF($B74, TODAY(), "M") &gt;= 11,
    INDEX('Most Recent Import'!$F74:$Q74, 1, MATCH(11 - (COLUMN(E:E) - 5), {0, 1, 2, 3, 4, 5, 6, 7, 8, 9, 10, 11}, 0)),
    IF(
      DATEDIF($B74, TODAY(), "M") + 1 &gt;= COLUMN(E:E) - 5,
      INDEX('Most Recent Import'!$F74:$Q74, 1, MATCH(DATEDIF($B74, TODAY(), "M") + 1 - (COLUMN(E:E) - 5), {0, 1, 2, 3, 4, 5, 6, 7, 8, 9, 10, 11}, 0)),
      ""
    )
  )
</f>
        <v/>
      </c>
      <c r="F74" s="412" t="str">
        <f t="array" ref="F74">IF(
    DATEDIF($B74, TODAY(), "M") &gt;= 11,
    INDEX('Most Recent Import'!$F74:$Q74, 1, MATCH(11 - (COLUMN(F:F) - 5), {0, 1, 2, 3, 4, 5, 6, 7, 8, 9, 10, 11}, 0)),
    IF(
      DATEDIF($B74, TODAY(), "M") + 1 &gt;= COLUMN(F:F) - 5,
      INDEX('Most Recent Import'!$F74:$Q74, 1, MATCH(DATEDIF($B74, TODAY(), "M") + 1 - (COLUMN(F:F) - 5), {0, 1, 2, 3, 4, 5, 6, 7, 8, 9, 10, 11}, 0)),
      ""
    )
  )
</f>
        <v/>
      </c>
      <c r="G74" s="412" t="str">
        <f t="array" ref="G74">IF(
    DATEDIF($B74, TODAY(), "M") &gt;= 11,
    INDEX('Most Recent Import'!$F74:$Q74, 1, MATCH(11 - (COLUMN(G:G) - 5), {0, 1, 2, 3, 4, 5, 6, 7, 8, 9, 10, 11}, 0)),
    IF(
      DATEDIF($B74, TODAY(), "M") + 1 &gt;= COLUMN(G:G) - 5,
      INDEX('Most Recent Import'!$F74:$Q74, 1, MATCH(DATEDIF($B74, TODAY(), "M") + 1 - (COLUMN(G:G) - 5), {0, 1, 2, 3, 4, 5, 6, 7, 8, 9, 10, 11}, 0)),
      ""
    )
  )
</f>
        <v/>
      </c>
      <c r="H74" s="412" t="str">
        <f t="array" ref="H74">IF(
    DATEDIF($B74, TODAY(), "M") &gt;= 11,
    INDEX('Most Recent Import'!$F74:$Q74, 1, MATCH(11 - (COLUMN(H:H) - 5), {0, 1, 2, 3, 4, 5, 6, 7, 8, 9, 10, 11}, 0)),
    IF(
      DATEDIF($B74, TODAY(), "M") + 1 &gt;= COLUMN(H:H) - 5,
      INDEX('Most Recent Import'!$F74:$Q74, 1, MATCH(DATEDIF($B74, TODAY(), "M") + 1 - (COLUMN(H:H) - 5), {0, 1, 2, 3, 4, 5, 6, 7, 8, 9, 10, 11}, 0)),
      ""
    )
  )
</f>
        <v/>
      </c>
      <c r="I74" s="412" t="str">
        <f t="array" ref="I74">IF(
    DATEDIF($B74, TODAY(), "M") &gt;= 11,
    INDEX('Most Recent Import'!$F74:$Q74, 1, MATCH(11 - (COLUMN(I:I) - 5), {0, 1, 2, 3, 4, 5, 6, 7, 8, 9, 10, 11}, 0)),
    IF(
      DATEDIF($B74, TODAY(), "M") + 1 &gt;= COLUMN(I:I) - 5,
      INDEX('Most Recent Import'!$F74:$Q74, 1, MATCH(DATEDIF($B74, TODAY(), "M") + 1 - (COLUMN(I:I) - 5), {0, 1, 2, 3, 4, 5, 6, 7, 8, 9, 10, 11}, 0)),
      ""
    )
  )
</f>
        <v/>
      </c>
      <c r="J74" s="412" t="str">
        <f t="array" ref="J74">IF(
    DATEDIF($B74, TODAY(), "M") &gt;= 11,
    INDEX('Most Recent Import'!$F74:$Q74, 1, MATCH(11 - (COLUMN(J:J) - 5), {0, 1, 2, 3, 4, 5, 6, 7, 8, 9, 10, 11}, 0)),
    IF(
      DATEDIF($B74, TODAY(), "M") + 1 &gt;= COLUMN(J:J) - 5,
      INDEX('Most Recent Import'!$F74:$Q74, 1, MATCH(DATEDIF($B74, TODAY(), "M") + 1 - (COLUMN(J:J) - 5), {0, 1, 2, 3, 4, 5, 6, 7, 8, 9, 10, 11}, 0)),
      ""
    )
  )
</f>
        <v/>
      </c>
      <c r="K74" s="412" t="str">
        <f t="array" ref="K74">IF(
    DATEDIF($B74, TODAY(), "M") &gt;= 11,
    INDEX('Most Recent Import'!$F74:$Q74, 1, MATCH(11 - (COLUMN(K:K) - 5), {0, 1, 2, 3, 4, 5, 6, 7, 8, 9, 10, 11}, 0)),
    IF(
      DATEDIF($B74, TODAY(), "M") + 1 &gt;= COLUMN(K:K) - 5,
      INDEX('Most Recent Import'!$F74:$Q74, 1, MATCH(DATEDIF($B74, TODAY(), "M") + 1 - (COLUMN(K:K) - 5), {0, 1, 2, 3, 4, 5, 6, 7, 8, 9, 10, 11}, 0)),
      ""
    )
  )
</f>
        <v/>
      </c>
      <c r="L74" s="412" t="str">
        <f t="array" ref="L74">IF(
    DATEDIF($B74, TODAY(), "M") &gt;= 11,
    INDEX('Most Recent Import'!$F74:$Q74, 1, MATCH(11 - (COLUMN(L:L) - 5), {0, 1, 2, 3, 4, 5, 6, 7, 8, 9, 10, 11}, 0)),
    IF(
      DATEDIF($B74, TODAY(), "M") + 1 &gt;= COLUMN(L:L) - 5,
      INDEX('Most Recent Import'!$F74:$Q74, 1, MATCH(DATEDIF($B74, TODAY(), "M") + 1 - (COLUMN(L:L) - 5), {0, 1, 2, 3, 4, 5, 6, 7, 8, 9, 10, 11}, 0)),
      ""
    )
  )
</f>
        <v/>
      </c>
      <c r="M74" s="412" t="str">
        <f t="array" ref="M74">IF(
    DATEDIF($B74, TODAY(), "M") &gt;= 11,
    INDEX('Most Recent Import'!$F74:$Q74, 1, MATCH(11 - (COLUMN(M:M) - 5), {0, 1, 2, 3, 4, 5, 6, 7, 8, 9, 10, 11}, 0)),
    IF(
      DATEDIF($B74, TODAY(), "M") + 1 &gt;= COLUMN(M:M) - 5,
      INDEX('Most Recent Import'!$F74:$Q74, 1, MATCH(DATEDIF($B74, TODAY(), "M") + 1 - (COLUMN(M:M) - 5), {0, 1, 2, 3, 4, 5, 6, 7, 8, 9, 10, 11}, 0)),
      ""
    )
  )
</f>
        <v/>
      </c>
      <c r="N74" s="412" t="str">
        <f t="array" ref="N74">IF(
    DATEDIF($B74, TODAY(), "M") &gt;= 11,
    INDEX('Most Recent Import'!$F74:$Q74, 1, MATCH(11 - (COLUMN(N:N) - 5), {0, 1, 2, 3, 4, 5, 6, 7, 8, 9, 10, 11}, 0)),
    IF(
      DATEDIF($B74, TODAY(), "M") + 1 &gt;= COLUMN(N:N) - 5,
      INDEX('Most Recent Import'!$F74:$Q74, 1, MATCH(DATEDIF($B74, TODAY(), "M") + 1 - (COLUMN(N:N) - 5), {0, 1, 2, 3, 4, 5, 6, 7, 8, 9, 10, 11}, 0)),
      ""
    )
  )
</f>
        <v/>
      </c>
      <c r="O74" s="412" t="str">
        <f t="array" ref="O74">IF(
    DATEDIF($B74, TODAY(), "M") &gt;= 11,
    INDEX('Most Recent Import'!$F74:$Q74, 1, MATCH(11 - (COLUMN(O:O) - 5), {0, 1, 2, 3, 4, 5, 6, 7, 8, 9, 10, 11}, 0)),
    IF(
      DATEDIF($B74, TODAY(), "M") + 1 &gt;= COLUMN(O:O) - 5,
      INDEX('Most Recent Import'!$F74:$Q74, 1, MATCH(DATEDIF($B74, TODAY(), "M") + 1 - (COLUMN(O:O) - 5), {0, 1, 2, 3, 4, 5, 6, 7, 8, 9, 10, 11}, 0)),
      ""
    )
  )
</f>
        <v/>
      </c>
      <c r="P74" s="412" t="str">
        <f t="array" ref="P74">IF(
    DATEDIF($B74, TODAY(), "M") &gt;= 11,
    INDEX('Most Recent Import'!$F74:$Q74, 1, MATCH(11 - (COLUMN(P:P) - 5), {0, 1, 2, 3, 4, 5, 6, 7, 8, 9, 10, 11}, 0)),
    IF(
      DATEDIF($B74, TODAY(), "M") + 1 &gt;= COLUMN(P:P) - 5,
      INDEX('Most Recent Import'!$F74:$Q74, 1, MATCH(DATEDIF($B74, TODAY(), "M") + 1 - (COLUMN(P:P) - 5), {0, 1, 2, 3, 4, 5, 6, 7, 8, 9, 10, 11}, 0)),
      ""
    )
  )
</f>
        <v/>
      </c>
    </row>
    <row r="75">
      <c r="A75" s="412" t="str">
        <f>'Most Recent Import'!A75</f>
        <v/>
      </c>
      <c r="B75" s="412" t="str">
        <f>IF(ISBLANK(A75), "", DATE(LEFT('Most Recent Import'!C75, 4), RIGHT('Most Recent Import'!C75, 2), 1))</f>
        <v/>
      </c>
      <c r="C75" s="414" t="str">
        <f>'Most Recent Import'!B75</f>
        <v/>
      </c>
      <c r="D75" s="412" t="str">
        <f>'Most Recent Import'!D75</f>
        <v/>
      </c>
      <c r="E75" s="412" t="str">
        <f t="array" ref="E75">IF(
    DATEDIF($B75, TODAY(), "M") &gt;= 11,
    INDEX('Most Recent Import'!$F75:$Q75, 1, MATCH(11 - (COLUMN(E:E) - 5), {0, 1, 2, 3, 4, 5, 6, 7, 8, 9, 10, 11}, 0)),
    IF(
      DATEDIF($B75, TODAY(), "M") + 1 &gt;= COLUMN(E:E) - 5,
      INDEX('Most Recent Import'!$F75:$Q75, 1, MATCH(DATEDIF($B75, TODAY(), "M") + 1 - (COLUMN(E:E) - 5), {0, 1, 2, 3, 4, 5, 6, 7, 8, 9, 10, 11}, 0)),
      ""
    )
  )
</f>
        <v/>
      </c>
      <c r="F75" s="412" t="str">
        <f t="array" ref="F75">IF(
    DATEDIF($B75, TODAY(), "M") &gt;= 11,
    INDEX('Most Recent Import'!$F75:$Q75, 1, MATCH(11 - (COLUMN(F:F) - 5), {0, 1, 2, 3, 4, 5, 6, 7, 8, 9, 10, 11}, 0)),
    IF(
      DATEDIF($B75, TODAY(), "M") + 1 &gt;= COLUMN(F:F) - 5,
      INDEX('Most Recent Import'!$F75:$Q75, 1, MATCH(DATEDIF($B75, TODAY(), "M") + 1 - (COLUMN(F:F) - 5), {0, 1, 2, 3, 4, 5, 6, 7, 8, 9, 10, 11}, 0)),
      ""
    )
  )
</f>
        <v/>
      </c>
      <c r="G75" s="412" t="str">
        <f t="array" ref="G75">IF(
    DATEDIF($B75, TODAY(), "M") &gt;= 11,
    INDEX('Most Recent Import'!$F75:$Q75, 1, MATCH(11 - (COLUMN(G:G) - 5), {0, 1, 2, 3, 4, 5, 6, 7, 8, 9, 10, 11}, 0)),
    IF(
      DATEDIF($B75, TODAY(), "M") + 1 &gt;= COLUMN(G:G) - 5,
      INDEX('Most Recent Import'!$F75:$Q75, 1, MATCH(DATEDIF($B75, TODAY(), "M") + 1 - (COLUMN(G:G) - 5), {0, 1, 2, 3, 4, 5, 6, 7, 8, 9, 10, 11}, 0)),
      ""
    )
  )
</f>
        <v/>
      </c>
      <c r="H75" s="412" t="str">
        <f t="array" ref="H75">IF(
    DATEDIF($B75, TODAY(), "M") &gt;= 11,
    INDEX('Most Recent Import'!$F75:$Q75, 1, MATCH(11 - (COLUMN(H:H) - 5), {0, 1, 2, 3, 4, 5, 6, 7, 8, 9, 10, 11}, 0)),
    IF(
      DATEDIF($B75, TODAY(), "M") + 1 &gt;= COLUMN(H:H) - 5,
      INDEX('Most Recent Import'!$F75:$Q75, 1, MATCH(DATEDIF($B75, TODAY(), "M") + 1 - (COLUMN(H:H) - 5), {0, 1, 2, 3, 4, 5, 6, 7, 8, 9, 10, 11}, 0)),
      ""
    )
  )
</f>
        <v/>
      </c>
      <c r="I75" s="412" t="str">
        <f t="array" ref="I75">IF(
    DATEDIF($B75, TODAY(), "M") &gt;= 11,
    INDEX('Most Recent Import'!$F75:$Q75, 1, MATCH(11 - (COLUMN(I:I) - 5), {0, 1, 2, 3, 4, 5, 6, 7, 8, 9, 10, 11}, 0)),
    IF(
      DATEDIF($B75, TODAY(), "M") + 1 &gt;= COLUMN(I:I) - 5,
      INDEX('Most Recent Import'!$F75:$Q75, 1, MATCH(DATEDIF($B75, TODAY(), "M") + 1 - (COLUMN(I:I) - 5), {0, 1, 2, 3, 4, 5, 6, 7, 8, 9, 10, 11}, 0)),
      ""
    )
  )
</f>
        <v/>
      </c>
      <c r="J75" s="412" t="str">
        <f t="array" ref="J75">IF(
    DATEDIF($B75, TODAY(), "M") &gt;= 11,
    INDEX('Most Recent Import'!$F75:$Q75, 1, MATCH(11 - (COLUMN(J:J) - 5), {0, 1, 2, 3, 4, 5, 6, 7, 8, 9, 10, 11}, 0)),
    IF(
      DATEDIF($B75, TODAY(), "M") + 1 &gt;= COLUMN(J:J) - 5,
      INDEX('Most Recent Import'!$F75:$Q75, 1, MATCH(DATEDIF($B75, TODAY(), "M") + 1 - (COLUMN(J:J) - 5), {0, 1, 2, 3, 4, 5, 6, 7, 8, 9, 10, 11}, 0)),
      ""
    )
  )
</f>
        <v/>
      </c>
      <c r="K75" s="412" t="str">
        <f t="array" ref="K75">IF(
    DATEDIF($B75, TODAY(), "M") &gt;= 11,
    INDEX('Most Recent Import'!$F75:$Q75, 1, MATCH(11 - (COLUMN(K:K) - 5), {0, 1, 2, 3, 4, 5, 6, 7, 8, 9, 10, 11}, 0)),
    IF(
      DATEDIF($B75, TODAY(), "M") + 1 &gt;= COLUMN(K:K) - 5,
      INDEX('Most Recent Import'!$F75:$Q75, 1, MATCH(DATEDIF($B75, TODAY(), "M") + 1 - (COLUMN(K:K) - 5), {0, 1, 2, 3, 4, 5, 6, 7, 8, 9, 10, 11}, 0)),
      ""
    )
  )
</f>
        <v/>
      </c>
      <c r="L75" s="412" t="str">
        <f t="array" ref="L75">IF(
    DATEDIF($B75, TODAY(), "M") &gt;= 11,
    INDEX('Most Recent Import'!$F75:$Q75, 1, MATCH(11 - (COLUMN(L:L) - 5), {0, 1, 2, 3, 4, 5, 6, 7, 8, 9, 10, 11}, 0)),
    IF(
      DATEDIF($B75, TODAY(), "M") + 1 &gt;= COLUMN(L:L) - 5,
      INDEX('Most Recent Import'!$F75:$Q75, 1, MATCH(DATEDIF($B75, TODAY(), "M") + 1 - (COLUMN(L:L) - 5), {0, 1, 2, 3, 4, 5, 6, 7, 8, 9, 10, 11}, 0)),
      ""
    )
  )
</f>
        <v/>
      </c>
      <c r="M75" s="412" t="str">
        <f t="array" ref="M75">IF(
    DATEDIF($B75, TODAY(), "M") &gt;= 11,
    INDEX('Most Recent Import'!$F75:$Q75, 1, MATCH(11 - (COLUMN(M:M) - 5), {0, 1, 2, 3, 4, 5, 6, 7, 8, 9, 10, 11}, 0)),
    IF(
      DATEDIF($B75, TODAY(), "M") + 1 &gt;= COLUMN(M:M) - 5,
      INDEX('Most Recent Import'!$F75:$Q75, 1, MATCH(DATEDIF($B75, TODAY(), "M") + 1 - (COLUMN(M:M) - 5), {0, 1, 2, 3, 4, 5, 6, 7, 8, 9, 10, 11}, 0)),
      ""
    )
  )
</f>
        <v/>
      </c>
      <c r="N75" s="412" t="str">
        <f t="array" ref="N75">IF(
    DATEDIF($B75, TODAY(), "M") &gt;= 11,
    INDEX('Most Recent Import'!$F75:$Q75, 1, MATCH(11 - (COLUMN(N:N) - 5), {0, 1, 2, 3, 4, 5, 6, 7, 8, 9, 10, 11}, 0)),
    IF(
      DATEDIF($B75, TODAY(), "M") + 1 &gt;= COLUMN(N:N) - 5,
      INDEX('Most Recent Import'!$F75:$Q75, 1, MATCH(DATEDIF($B75, TODAY(), "M") + 1 - (COLUMN(N:N) - 5), {0, 1, 2, 3, 4, 5, 6, 7, 8, 9, 10, 11}, 0)),
      ""
    )
  )
</f>
        <v/>
      </c>
      <c r="O75" s="412" t="str">
        <f t="array" ref="O75">IF(
    DATEDIF($B75, TODAY(), "M") &gt;= 11,
    INDEX('Most Recent Import'!$F75:$Q75, 1, MATCH(11 - (COLUMN(O:O) - 5), {0, 1, 2, 3, 4, 5, 6, 7, 8, 9, 10, 11}, 0)),
    IF(
      DATEDIF($B75, TODAY(), "M") + 1 &gt;= COLUMN(O:O) - 5,
      INDEX('Most Recent Import'!$F75:$Q75, 1, MATCH(DATEDIF($B75, TODAY(), "M") + 1 - (COLUMN(O:O) - 5), {0, 1, 2, 3, 4, 5, 6, 7, 8, 9, 10, 11}, 0)),
      ""
    )
  )
</f>
        <v/>
      </c>
      <c r="P75" s="412" t="str">
        <f t="array" ref="P75">IF(
    DATEDIF($B75, TODAY(), "M") &gt;= 11,
    INDEX('Most Recent Import'!$F75:$Q75, 1, MATCH(11 - (COLUMN(P:P) - 5), {0, 1, 2, 3, 4, 5, 6, 7, 8, 9, 10, 11}, 0)),
    IF(
      DATEDIF($B75, TODAY(), "M") + 1 &gt;= COLUMN(P:P) - 5,
      INDEX('Most Recent Import'!$F75:$Q75, 1, MATCH(DATEDIF($B75, TODAY(), "M") + 1 - (COLUMN(P:P) - 5), {0, 1, 2, 3, 4, 5, 6, 7, 8, 9, 10, 11}, 0)),
      ""
    )
  )
</f>
        <v/>
      </c>
    </row>
    <row r="76">
      <c r="A76" s="412" t="str">
        <f>'Most Recent Import'!A76</f>
        <v/>
      </c>
      <c r="B76" s="412" t="str">
        <f>IF(ISBLANK(A76), "", DATE(LEFT('Most Recent Import'!C76, 4), RIGHT('Most Recent Import'!C76, 2), 1))</f>
        <v/>
      </c>
      <c r="C76" s="414" t="str">
        <f>'Most Recent Import'!B76</f>
        <v/>
      </c>
      <c r="D76" s="412" t="str">
        <f>'Most Recent Import'!D76</f>
        <v/>
      </c>
      <c r="E76" s="412" t="str">
        <f t="array" ref="E76">IF(
    DATEDIF($B76, TODAY(), "M") &gt;= 11,
    INDEX('Most Recent Import'!$F76:$Q76, 1, MATCH(11 - (COLUMN(E:E) - 5), {0, 1, 2, 3, 4, 5, 6, 7, 8, 9, 10, 11}, 0)),
    IF(
      DATEDIF($B76, TODAY(), "M") + 1 &gt;= COLUMN(E:E) - 5,
      INDEX('Most Recent Import'!$F76:$Q76, 1, MATCH(DATEDIF($B76, TODAY(), "M") + 1 - (COLUMN(E:E) - 5), {0, 1, 2, 3, 4, 5, 6, 7, 8, 9, 10, 11}, 0)),
      ""
    )
  )
</f>
        <v/>
      </c>
      <c r="F76" s="412" t="str">
        <f t="array" ref="F76">IF(
    DATEDIF($B76, TODAY(), "M") &gt;= 11,
    INDEX('Most Recent Import'!$F76:$Q76, 1, MATCH(11 - (COLUMN(F:F) - 5), {0, 1, 2, 3, 4, 5, 6, 7, 8, 9, 10, 11}, 0)),
    IF(
      DATEDIF($B76, TODAY(), "M") + 1 &gt;= COLUMN(F:F) - 5,
      INDEX('Most Recent Import'!$F76:$Q76, 1, MATCH(DATEDIF($B76, TODAY(), "M") + 1 - (COLUMN(F:F) - 5), {0, 1, 2, 3, 4, 5, 6, 7, 8, 9, 10, 11}, 0)),
      ""
    )
  )
</f>
        <v/>
      </c>
      <c r="G76" s="412" t="str">
        <f t="array" ref="G76">IF(
    DATEDIF($B76, TODAY(), "M") &gt;= 11,
    INDEX('Most Recent Import'!$F76:$Q76, 1, MATCH(11 - (COLUMN(G:G) - 5), {0, 1, 2, 3, 4, 5, 6, 7, 8, 9, 10, 11}, 0)),
    IF(
      DATEDIF($B76, TODAY(), "M") + 1 &gt;= COLUMN(G:G) - 5,
      INDEX('Most Recent Import'!$F76:$Q76, 1, MATCH(DATEDIF($B76, TODAY(), "M") + 1 - (COLUMN(G:G) - 5), {0, 1, 2, 3, 4, 5, 6, 7, 8, 9, 10, 11}, 0)),
      ""
    )
  )
</f>
        <v/>
      </c>
      <c r="H76" s="412" t="str">
        <f t="array" ref="H76">IF(
    DATEDIF($B76, TODAY(), "M") &gt;= 11,
    INDEX('Most Recent Import'!$F76:$Q76, 1, MATCH(11 - (COLUMN(H:H) - 5), {0, 1, 2, 3, 4, 5, 6, 7, 8, 9, 10, 11}, 0)),
    IF(
      DATEDIF($B76, TODAY(), "M") + 1 &gt;= COLUMN(H:H) - 5,
      INDEX('Most Recent Import'!$F76:$Q76, 1, MATCH(DATEDIF($B76, TODAY(), "M") + 1 - (COLUMN(H:H) - 5), {0, 1, 2, 3, 4, 5, 6, 7, 8, 9, 10, 11}, 0)),
      ""
    )
  )
</f>
        <v/>
      </c>
      <c r="I76" s="412" t="str">
        <f t="array" ref="I76">IF(
    DATEDIF($B76, TODAY(), "M") &gt;= 11,
    INDEX('Most Recent Import'!$F76:$Q76, 1, MATCH(11 - (COLUMN(I:I) - 5), {0, 1, 2, 3, 4, 5, 6, 7, 8, 9, 10, 11}, 0)),
    IF(
      DATEDIF($B76, TODAY(), "M") + 1 &gt;= COLUMN(I:I) - 5,
      INDEX('Most Recent Import'!$F76:$Q76, 1, MATCH(DATEDIF($B76, TODAY(), "M") + 1 - (COLUMN(I:I) - 5), {0, 1, 2, 3, 4, 5, 6, 7, 8, 9, 10, 11}, 0)),
      ""
    )
  )
</f>
        <v/>
      </c>
      <c r="J76" s="412" t="str">
        <f t="array" ref="J76">IF(
    DATEDIF($B76, TODAY(), "M") &gt;= 11,
    INDEX('Most Recent Import'!$F76:$Q76, 1, MATCH(11 - (COLUMN(J:J) - 5), {0, 1, 2, 3, 4, 5, 6, 7, 8, 9, 10, 11}, 0)),
    IF(
      DATEDIF($B76, TODAY(), "M") + 1 &gt;= COLUMN(J:J) - 5,
      INDEX('Most Recent Import'!$F76:$Q76, 1, MATCH(DATEDIF($B76, TODAY(), "M") + 1 - (COLUMN(J:J) - 5), {0, 1, 2, 3, 4, 5, 6, 7, 8, 9, 10, 11}, 0)),
      ""
    )
  )
</f>
        <v/>
      </c>
      <c r="K76" s="412" t="str">
        <f t="array" ref="K76">IF(
    DATEDIF($B76, TODAY(), "M") &gt;= 11,
    INDEX('Most Recent Import'!$F76:$Q76, 1, MATCH(11 - (COLUMN(K:K) - 5), {0, 1, 2, 3, 4, 5, 6, 7, 8, 9, 10, 11}, 0)),
    IF(
      DATEDIF($B76, TODAY(), "M") + 1 &gt;= COLUMN(K:K) - 5,
      INDEX('Most Recent Import'!$F76:$Q76, 1, MATCH(DATEDIF($B76, TODAY(), "M") + 1 - (COLUMN(K:K) - 5), {0, 1, 2, 3, 4, 5, 6, 7, 8, 9, 10, 11}, 0)),
      ""
    )
  )
</f>
        <v/>
      </c>
      <c r="L76" s="412" t="str">
        <f t="array" ref="L76">IF(
    DATEDIF($B76, TODAY(), "M") &gt;= 11,
    INDEX('Most Recent Import'!$F76:$Q76, 1, MATCH(11 - (COLUMN(L:L) - 5), {0, 1, 2, 3, 4, 5, 6, 7, 8, 9, 10, 11}, 0)),
    IF(
      DATEDIF($B76, TODAY(), "M") + 1 &gt;= COLUMN(L:L) - 5,
      INDEX('Most Recent Import'!$F76:$Q76, 1, MATCH(DATEDIF($B76, TODAY(), "M") + 1 - (COLUMN(L:L) - 5), {0, 1, 2, 3, 4, 5, 6, 7, 8, 9, 10, 11}, 0)),
      ""
    )
  )
</f>
        <v/>
      </c>
      <c r="M76" s="412" t="str">
        <f t="array" ref="M76">IF(
    DATEDIF($B76, TODAY(), "M") &gt;= 11,
    INDEX('Most Recent Import'!$F76:$Q76, 1, MATCH(11 - (COLUMN(M:M) - 5), {0, 1, 2, 3, 4, 5, 6, 7, 8, 9, 10, 11}, 0)),
    IF(
      DATEDIF($B76, TODAY(), "M") + 1 &gt;= COLUMN(M:M) - 5,
      INDEX('Most Recent Import'!$F76:$Q76, 1, MATCH(DATEDIF($B76, TODAY(), "M") + 1 - (COLUMN(M:M) - 5), {0, 1, 2, 3, 4, 5, 6, 7, 8, 9, 10, 11}, 0)),
      ""
    )
  )
</f>
        <v/>
      </c>
      <c r="N76" s="412" t="str">
        <f t="array" ref="N76">IF(
    DATEDIF($B76, TODAY(), "M") &gt;= 11,
    INDEX('Most Recent Import'!$F76:$Q76, 1, MATCH(11 - (COLUMN(N:N) - 5), {0, 1, 2, 3, 4, 5, 6, 7, 8, 9, 10, 11}, 0)),
    IF(
      DATEDIF($B76, TODAY(), "M") + 1 &gt;= COLUMN(N:N) - 5,
      INDEX('Most Recent Import'!$F76:$Q76, 1, MATCH(DATEDIF($B76, TODAY(), "M") + 1 - (COLUMN(N:N) - 5), {0, 1, 2, 3, 4, 5, 6, 7, 8, 9, 10, 11}, 0)),
      ""
    )
  )
</f>
        <v/>
      </c>
      <c r="O76" s="412" t="str">
        <f t="array" ref="O76">IF(
    DATEDIF($B76, TODAY(), "M") &gt;= 11,
    INDEX('Most Recent Import'!$F76:$Q76, 1, MATCH(11 - (COLUMN(O:O) - 5), {0, 1, 2, 3, 4, 5, 6, 7, 8, 9, 10, 11}, 0)),
    IF(
      DATEDIF($B76, TODAY(), "M") + 1 &gt;= COLUMN(O:O) - 5,
      INDEX('Most Recent Import'!$F76:$Q76, 1, MATCH(DATEDIF($B76, TODAY(), "M") + 1 - (COLUMN(O:O) - 5), {0, 1, 2, 3, 4, 5, 6, 7, 8, 9, 10, 11}, 0)),
      ""
    )
  )
</f>
        <v/>
      </c>
      <c r="P76" s="412" t="str">
        <f t="array" ref="P76">IF(
    DATEDIF($B76, TODAY(), "M") &gt;= 11,
    INDEX('Most Recent Import'!$F76:$Q76, 1, MATCH(11 - (COLUMN(P:P) - 5), {0, 1, 2, 3, 4, 5, 6, 7, 8, 9, 10, 11}, 0)),
    IF(
      DATEDIF($B76, TODAY(), "M") + 1 &gt;= COLUMN(P:P) - 5,
      INDEX('Most Recent Import'!$F76:$Q76, 1, MATCH(DATEDIF($B76, TODAY(), "M") + 1 - (COLUMN(P:P) - 5), {0, 1, 2, 3, 4, 5, 6, 7, 8, 9, 10, 11}, 0)),
      ""
    )
  )
</f>
        <v/>
      </c>
    </row>
    <row r="77">
      <c r="A77" s="412" t="str">
        <f>'Most Recent Import'!A77</f>
        <v/>
      </c>
      <c r="B77" s="412" t="str">
        <f>IF(ISBLANK(A77), "", DATE(LEFT('Most Recent Import'!C77, 4), RIGHT('Most Recent Import'!C77, 2), 1))</f>
        <v/>
      </c>
      <c r="C77" s="414" t="str">
        <f>'Most Recent Import'!B77</f>
        <v/>
      </c>
      <c r="D77" s="412" t="str">
        <f>'Most Recent Import'!D77</f>
        <v/>
      </c>
      <c r="E77" s="412" t="str">
        <f t="array" ref="E77">IF(
    DATEDIF($B77, TODAY(), "M") &gt;= 11,
    INDEX('Most Recent Import'!$F77:$Q77, 1, MATCH(11 - (COLUMN(E:E) - 5), {0, 1, 2, 3, 4, 5, 6, 7, 8, 9, 10, 11}, 0)),
    IF(
      DATEDIF($B77, TODAY(), "M") + 1 &gt;= COLUMN(E:E) - 5,
      INDEX('Most Recent Import'!$F77:$Q77, 1, MATCH(DATEDIF($B77, TODAY(), "M") + 1 - (COLUMN(E:E) - 5), {0, 1, 2, 3, 4, 5, 6, 7, 8, 9, 10, 11}, 0)),
      ""
    )
  )
</f>
        <v/>
      </c>
      <c r="F77" s="412" t="str">
        <f t="array" ref="F77">IF(
    DATEDIF($B77, TODAY(), "M") &gt;= 11,
    INDEX('Most Recent Import'!$F77:$Q77, 1, MATCH(11 - (COLUMN(F:F) - 5), {0, 1, 2, 3, 4, 5, 6, 7, 8, 9, 10, 11}, 0)),
    IF(
      DATEDIF($B77, TODAY(), "M") + 1 &gt;= COLUMN(F:F) - 5,
      INDEX('Most Recent Import'!$F77:$Q77, 1, MATCH(DATEDIF($B77, TODAY(), "M") + 1 - (COLUMN(F:F) - 5), {0, 1, 2, 3, 4, 5, 6, 7, 8, 9, 10, 11}, 0)),
      ""
    )
  )
</f>
        <v/>
      </c>
      <c r="G77" s="412" t="str">
        <f t="array" ref="G77">IF(
    DATEDIF($B77, TODAY(), "M") &gt;= 11,
    INDEX('Most Recent Import'!$F77:$Q77, 1, MATCH(11 - (COLUMN(G:G) - 5), {0, 1, 2, 3, 4, 5, 6, 7, 8, 9, 10, 11}, 0)),
    IF(
      DATEDIF($B77, TODAY(), "M") + 1 &gt;= COLUMN(G:G) - 5,
      INDEX('Most Recent Import'!$F77:$Q77, 1, MATCH(DATEDIF($B77, TODAY(), "M") + 1 - (COLUMN(G:G) - 5), {0, 1, 2, 3, 4, 5, 6, 7, 8, 9, 10, 11}, 0)),
      ""
    )
  )
</f>
        <v/>
      </c>
      <c r="H77" s="412" t="str">
        <f t="array" ref="H77">IF(
    DATEDIF($B77, TODAY(), "M") &gt;= 11,
    INDEX('Most Recent Import'!$F77:$Q77, 1, MATCH(11 - (COLUMN(H:H) - 5), {0, 1, 2, 3, 4, 5, 6, 7, 8, 9, 10, 11}, 0)),
    IF(
      DATEDIF($B77, TODAY(), "M") + 1 &gt;= COLUMN(H:H) - 5,
      INDEX('Most Recent Import'!$F77:$Q77, 1, MATCH(DATEDIF($B77, TODAY(), "M") + 1 - (COLUMN(H:H) - 5), {0, 1, 2, 3, 4, 5, 6, 7, 8, 9, 10, 11}, 0)),
      ""
    )
  )
</f>
        <v/>
      </c>
      <c r="I77" s="412" t="str">
        <f t="array" ref="I77">IF(
    DATEDIF($B77, TODAY(), "M") &gt;= 11,
    INDEX('Most Recent Import'!$F77:$Q77, 1, MATCH(11 - (COLUMN(I:I) - 5), {0, 1, 2, 3, 4, 5, 6, 7, 8, 9, 10, 11}, 0)),
    IF(
      DATEDIF($B77, TODAY(), "M") + 1 &gt;= COLUMN(I:I) - 5,
      INDEX('Most Recent Import'!$F77:$Q77, 1, MATCH(DATEDIF($B77, TODAY(), "M") + 1 - (COLUMN(I:I) - 5), {0, 1, 2, 3, 4, 5, 6, 7, 8, 9, 10, 11}, 0)),
      ""
    )
  )
</f>
        <v/>
      </c>
      <c r="J77" s="412" t="str">
        <f t="array" ref="J77">IF(
    DATEDIF($B77, TODAY(), "M") &gt;= 11,
    INDEX('Most Recent Import'!$F77:$Q77, 1, MATCH(11 - (COLUMN(J:J) - 5), {0, 1, 2, 3, 4, 5, 6, 7, 8, 9, 10, 11}, 0)),
    IF(
      DATEDIF($B77, TODAY(), "M") + 1 &gt;= COLUMN(J:J) - 5,
      INDEX('Most Recent Import'!$F77:$Q77, 1, MATCH(DATEDIF($B77, TODAY(), "M") + 1 - (COLUMN(J:J) - 5), {0, 1, 2, 3, 4, 5, 6, 7, 8, 9, 10, 11}, 0)),
      ""
    )
  )
</f>
        <v/>
      </c>
      <c r="K77" s="412" t="str">
        <f t="array" ref="K77">IF(
    DATEDIF($B77, TODAY(), "M") &gt;= 11,
    INDEX('Most Recent Import'!$F77:$Q77, 1, MATCH(11 - (COLUMN(K:K) - 5), {0, 1, 2, 3, 4, 5, 6, 7, 8, 9, 10, 11}, 0)),
    IF(
      DATEDIF($B77, TODAY(), "M") + 1 &gt;= COLUMN(K:K) - 5,
      INDEX('Most Recent Import'!$F77:$Q77, 1, MATCH(DATEDIF($B77, TODAY(), "M") + 1 - (COLUMN(K:K) - 5), {0, 1, 2, 3, 4, 5, 6, 7, 8, 9, 10, 11}, 0)),
      ""
    )
  )
</f>
        <v/>
      </c>
      <c r="L77" s="412" t="str">
        <f t="array" ref="L77">IF(
    DATEDIF($B77, TODAY(), "M") &gt;= 11,
    INDEX('Most Recent Import'!$F77:$Q77, 1, MATCH(11 - (COLUMN(L:L) - 5), {0, 1, 2, 3, 4, 5, 6, 7, 8, 9, 10, 11}, 0)),
    IF(
      DATEDIF($B77, TODAY(), "M") + 1 &gt;= COLUMN(L:L) - 5,
      INDEX('Most Recent Import'!$F77:$Q77, 1, MATCH(DATEDIF($B77, TODAY(), "M") + 1 - (COLUMN(L:L) - 5), {0, 1, 2, 3, 4, 5, 6, 7, 8, 9, 10, 11}, 0)),
      ""
    )
  )
</f>
        <v/>
      </c>
      <c r="M77" s="412" t="str">
        <f t="array" ref="M77">IF(
    DATEDIF($B77, TODAY(), "M") &gt;= 11,
    INDEX('Most Recent Import'!$F77:$Q77, 1, MATCH(11 - (COLUMN(M:M) - 5), {0, 1, 2, 3, 4, 5, 6, 7, 8, 9, 10, 11}, 0)),
    IF(
      DATEDIF($B77, TODAY(), "M") + 1 &gt;= COLUMN(M:M) - 5,
      INDEX('Most Recent Import'!$F77:$Q77, 1, MATCH(DATEDIF($B77, TODAY(), "M") + 1 - (COLUMN(M:M) - 5), {0, 1, 2, 3, 4, 5, 6, 7, 8, 9, 10, 11}, 0)),
      ""
    )
  )
</f>
        <v/>
      </c>
      <c r="N77" s="412" t="str">
        <f t="array" ref="N77">IF(
    DATEDIF($B77, TODAY(), "M") &gt;= 11,
    INDEX('Most Recent Import'!$F77:$Q77, 1, MATCH(11 - (COLUMN(N:N) - 5), {0, 1, 2, 3, 4, 5, 6, 7, 8, 9, 10, 11}, 0)),
    IF(
      DATEDIF($B77, TODAY(), "M") + 1 &gt;= COLUMN(N:N) - 5,
      INDEX('Most Recent Import'!$F77:$Q77, 1, MATCH(DATEDIF($B77, TODAY(), "M") + 1 - (COLUMN(N:N) - 5), {0, 1, 2, 3, 4, 5, 6, 7, 8, 9, 10, 11}, 0)),
      ""
    )
  )
</f>
        <v/>
      </c>
      <c r="O77" s="412" t="str">
        <f t="array" ref="O77">IF(
    DATEDIF($B77, TODAY(), "M") &gt;= 11,
    INDEX('Most Recent Import'!$F77:$Q77, 1, MATCH(11 - (COLUMN(O:O) - 5), {0, 1, 2, 3, 4, 5, 6, 7, 8, 9, 10, 11}, 0)),
    IF(
      DATEDIF($B77, TODAY(), "M") + 1 &gt;= COLUMN(O:O) - 5,
      INDEX('Most Recent Import'!$F77:$Q77, 1, MATCH(DATEDIF($B77, TODAY(), "M") + 1 - (COLUMN(O:O) - 5), {0, 1, 2, 3, 4, 5, 6, 7, 8, 9, 10, 11}, 0)),
      ""
    )
  )
</f>
        <v/>
      </c>
      <c r="P77" s="412" t="str">
        <f t="array" ref="P77">IF(
    DATEDIF($B77, TODAY(), "M") &gt;= 11,
    INDEX('Most Recent Import'!$F77:$Q77, 1, MATCH(11 - (COLUMN(P:P) - 5), {0, 1, 2, 3, 4, 5, 6, 7, 8, 9, 10, 11}, 0)),
    IF(
      DATEDIF($B77, TODAY(), "M") + 1 &gt;= COLUMN(P:P) - 5,
      INDEX('Most Recent Import'!$F77:$Q77, 1, MATCH(DATEDIF($B77, TODAY(), "M") + 1 - (COLUMN(P:P) - 5), {0, 1, 2, 3, 4, 5, 6, 7, 8, 9, 10, 11}, 0)),
      ""
    )
  )
</f>
        <v/>
      </c>
    </row>
    <row r="78">
      <c r="A78" s="412" t="str">
        <f>'Most Recent Import'!A78</f>
        <v/>
      </c>
      <c r="B78" s="412" t="str">
        <f>IF(ISBLANK(A78), "", DATE(LEFT('Most Recent Import'!C78, 4), RIGHT('Most Recent Import'!C78, 2), 1))</f>
        <v/>
      </c>
      <c r="C78" s="414" t="str">
        <f>'Most Recent Import'!B78</f>
        <v/>
      </c>
      <c r="D78" s="412" t="str">
        <f>'Most Recent Import'!D78</f>
        <v/>
      </c>
      <c r="E78" s="412" t="str">
        <f t="array" ref="E78">IF(
    DATEDIF($B78, TODAY(), "M") &gt;= 11,
    INDEX('Most Recent Import'!$F78:$Q78, 1, MATCH(11 - (COLUMN(E:E) - 5), {0, 1, 2, 3, 4, 5, 6, 7, 8, 9, 10, 11}, 0)),
    IF(
      DATEDIF($B78, TODAY(), "M") + 1 &gt;= COLUMN(E:E) - 5,
      INDEX('Most Recent Import'!$F78:$Q78, 1, MATCH(DATEDIF($B78, TODAY(), "M") + 1 - (COLUMN(E:E) - 5), {0, 1, 2, 3, 4, 5, 6, 7, 8, 9, 10, 11}, 0)),
      ""
    )
  )
</f>
        <v/>
      </c>
      <c r="F78" s="412" t="str">
        <f t="array" ref="F78">IF(
    DATEDIF($B78, TODAY(), "M") &gt;= 11,
    INDEX('Most Recent Import'!$F78:$Q78, 1, MATCH(11 - (COLUMN(F:F) - 5), {0, 1, 2, 3, 4, 5, 6, 7, 8, 9, 10, 11}, 0)),
    IF(
      DATEDIF($B78, TODAY(), "M") + 1 &gt;= COLUMN(F:F) - 5,
      INDEX('Most Recent Import'!$F78:$Q78, 1, MATCH(DATEDIF($B78, TODAY(), "M") + 1 - (COLUMN(F:F) - 5), {0, 1, 2, 3, 4, 5, 6, 7, 8, 9, 10, 11}, 0)),
      ""
    )
  )
</f>
        <v/>
      </c>
      <c r="G78" s="412" t="str">
        <f t="array" ref="G78">IF(
    DATEDIF($B78, TODAY(), "M") &gt;= 11,
    INDEX('Most Recent Import'!$F78:$Q78, 1, MATCH(11 - (COLUMN(G:G) - 5), {0, 1, 2, 3, 4, 5, 6, 7, 8, 9, 10, 11}, 0)),
    IF(
      DATEDIF($B78, TODAY(), "M") + 1 &gt;= COLUMN(G:G) - 5,
      INDEX('Most Recent Import'!$F78:$Q78, 1, MATCH(DATEDIF($B78, TODAY(), "M") + 1 - (COLUMN(G:G) - 5), {0, 1, 2, 3, 4, 5, 6, 7, 8, 9, 10, 11}, 0)),
      ""
    )
  )
</f>
        <v/>
      </c>
      <c r="H78" s="412" t="str">
        <f t="array" ref="H78">IF(
    DATEDIF($B78, TODAY(), "M") &gt;= 11,
    INDEX('Most Recent Import'!$F78:$Q78, 1, MATCH(11 - (COLUMN(H:H) - 5), {0, 1, 2, 3, 4, 5, 6, 7, 8, 9, 10, 11}, 0)),
    IF(
      DATEDIF($B78, TODAY(), "M") + 1 &gt;= COLUMN(H:H) - 5,
      INDEX('Most Recent Import'!$F78:$Q78, 1, MATCH(DATEDIF($B78, TODAY(), "M") + 1 - (COLUMN(H:H) - 5), {0, 1, 2, 3, 4, 5, 6, 7, 8, 9, 10, 11}, 0)),
      ""
    )
  )
</f>
        <v/>
      </c>
      <c r="I78" s="412" t="str">
        <f t="array" ref="I78">IF(
    DATEDIF($B78, TODAY(), "M") &gt;= 11,
    INDEX('Most Recent Import'!$F78:$Q78, 1, MATCH(11 - (COLUMN(I:I) - 5), {0, 1, 2, 3, 4, 5, 6, 7, 8, 9, 10, 11}, 0)),
    IF(
      DATEDIF($B78, TODAY(), "M") + 1 &gt;= COLUMN(I:I) - 5,
      INDEX('Most Recent Import'!$F78:$Q78, 1, MATCH(DATEDIF($B78, TODAY(), "M") + 1 - (COLUMN(I:I) - 5), {0, 1, 2, 3, 4, 5, 6, 7, 8, 9, 10, 11}, 0)),
      ""
    )
  )
</f>
        <v/>
      </c>
      <c r="J78" s="412" t="str">
        <f t="array" ref="J78">IF(
    DATEDIF($B78, TODAY(), "M") &gt;= 11,
    INDEX('Most Recent Import'!$F78:$Q78, 1, MATCH(11 - (COLUMN(J:J) - 5), {0, 1, 2, 3, 4, 5, 6, 7, 8, 9, 10, 11}, 0)),
    IF(
      DATEDIF($B78, TODAY(), "M") + 1 &gt;= COLUMN(J:J) - 5,
      INDEX('Most Recent Import'!$F78:$Q78, 1, MATCH(DATEDIF($B78, TODAY(), "M") + 1 - (COLUMN(J:J) - 5), {0, 1, 2, 3, 4, 5, 6, 7, 8, 9, 10, 11}, 0)),
      ""
    )
  )
</f>
        <v/>
      </c>
      <c r="K78" s="412" t="str">
        <f t="array" ref="K78">IF(
    DATEDIF($B78, TODAY(), "M") &gt;= 11,
    INDEX('Most Recent Import'!$F78:$Q78, 1, MATCH(11 - (COLUMN(K:K) - 5), {0, 1, 2, 3, 4, 5, 6, 7, 8, 9, 10, 11}, 0)),
    IF(
      DATEDIF($B78, TODAY(), "M") + 1 &gt;= COLUMN(K:K) - 5,
      INDEX('Most Recent Import'!$F78:$Q78, 1, MATCH(DATEDIF($B78, TODAY(), "M") + 1 - (COLUMN(K:K) - 5), {0, 1, 2, 3, 4, 5, 6, 7, 8, 9, 10, 11}, 0)),
      ""
    )
  )
</f>
        <v/>
      </c>
      <c r="L78" s="412" t="str">
        <f t="array" ref="L78">IF(
    DATEDIF($B78, TODAY(), "M") &gt;= 11,
    INDEX('Most Recent Import'!$F78:$Q78, 1, MATCH(11 - (COLUMN(L:L) - 5), {0, 1, 2, 3, 4, 5, 6, 7, 8, 9, 10, 11}, 0)),
    IF(
      DATEDIF($B78, TODAY(), "M") + 1 &gt;= COLUMN(L:L) - 5,
      INDEX('Most Recent Import'!$F78:$Q78, 1, MATCH(DATEDIF($B78, TODAY(), "M") + 1 - (COLUMN(L:L) - 5), {0, 1, 2, 3, 4, 5, 6, 7, 8, 9, 10, 11}, 0)),
      ""
    )
  )
</f>
        <v/>
      </c>
      <c r="M78" s="412" t="str">
        <f t="array" ref="M78">IF(
    DATEDIF($B78, TODAY(), "M") &gt;= 11,
    INDEX('Most Recent Import'!$F78:$Q78, 1, MATCH(11 - (COLUMN(M:M) - 5), {0, 1, 2, 3, 4, 5, 6, 7, 8, 9, 10, 11}, 0)),
    IF(
      DATEDIF($B78, TODAY(), "M") + 1 &gt;= COLUMN(M:M) - 5,
      INDEX('Most Recent Import'!$F78:$Q78, 1, MATCH(DATEDIF($B78, TODAY(), "M") + 1 - (COLUMN(M:M) - 5), {0, 1, 2, 3, 4, 5, 6, 7, 8, 9, 10, 11}, 0)),
      ""
    )
  )
</f>
        <v/>
      </c>
      <c r="N78" s="412" t="str">
        <f t="array" ref="N78">IF(
    DATEDIF($B78, TODAY(), "M") &gt;= 11,
    INDEX('Most Recent Import'!$F78:$Q78, 1, MATCH(11 - (COLUMN(N:N) - 5), {0, 1, 2, 3, 4, 5, 6, 7, 8, 9, 10, 11}, 0)),
    IF(
      DATEDIF($B78, TODAY(), "M") + 1 &gt;= COLUMN(N:N) - 5,
      INDEX('Most Recent Import'!$F78:$Q78, 1, MATCH(DATEDIF($B78, TODAY(), "M") + 1 - (COLUMN(N:N) - 5), {0, 1, 2, 3, 4, 5, 6, 7, 8, 9, 10, 11}, 0)),
      ""
    )
  )
</f>
        <v/>
      </c>
      <c r="O78" s="412" t="str">
        <f t="array" ref="O78">IF(
    DATEDIF($B78, TODAY(), "M") &gt;= 11,
    INDEX('Most Recent Import'!$F78:$Q78, 1, MATCH(11 - (COLUMN(O:O) - 5), {0, 1, 2, 3, 4, 5, 6, 7, 8, 9, 10, 11}, 0)),
    IF(
      DATEDIF($B78, TODAY(), "M") + 1 &gt;= COLUMN(O:O) - 5,
      INDEX('Most Recent Import'!$F78:$Q78, 1, MATCH(DATEDIF($B78, TODAY(), "M") + 1 - (COLUMN(O:O) - 5), {0, 1, 2, 3, 4, 5, 6, 7, 8, 9, 10, 11}, 0)),
      ""
    )
  )
</f>
        <v/>
      </c>
      <c r="P78" s="412" t="str">
        <f t="array" ref="P78">IF(
    DATEDIF($B78, TODAY(), "M") &gt;= 11,
    INDEX('Most Recent Import'!$F78:$Q78, 1, MATCH(11 - (COLUMN(P:P) - 5), {0, 1, 2, 3, 4, 5, 6, 7, 8, 9, 10, 11}, 0)),
    IF(
      DATEDIF($B78, TODAY(), "M") + 1 &gt;= COLUMN(P:P) - 5,
      INDEX('Most Recent Import'!$F78:$Q78, 1, MATCH(DATEDIF($B78, TODAY(), "M") + 1 - (COLUMN(P:P) - 5), {0, 1, 2, 3, 4, 5, 6, 7, 8, 9, 10, 11}, 0)),
      ""
    )
  )
</f>
        <v/>
      </c>
    </row>
    <row r="79">
      <c r="A79" s="412" t="str">
        <f>'Most Recent Import'!A79</f>
        <v/>
      </c>
      <c r="B79" s="412" t="str">
        <f>IF(ISBLANK(A79), "", DATE(LEFT('Most Recent Import'!C79, 4), RIGHT('Most Recent Import'!C79, 2), 1))</f>
        <v/>
      </c>
      <c r="C79" s="414" t="str">
        <f>'Most Recent Import'!B79</f>
        <v/>
      </c>
      <c r="D79" s="412" t="str">
        <f>'Most Recent Import'!D79</f>
        <v/>
      </c>
      <c r="E79" s="412" t="str">
        <f t="array" ref="E79">IF(
    DATEDIF($B79, TODAY(), "M") &gt;= 11,
    INDEX('Most Recent Import'!$F79:$Q79, 1, MATCH(11 - (COLUMN(E:E) - 5), {0, 1, 2, 3, 4, 5, 6, 7, 8, 9, 10, 11}, 0)),
    IF(
      DATEDIF($B79, TODAY(), "M") + 1 &gt;= COLUMN(E:E) - 5,
      INDEX('Most Recent Import'!$F79:$Q79, 1, MATCH(DATEDIF($B79, TODAY(), "M") + 1 - (COLUMN(E:E) - 5), {0, 1, 2, 3, 4, 5, 6, 7, 8, 9, 10, 11}, 0)),
      ""
    )
  )
</f>
        <v/>
      </c>
      <c r="F79" s="412" t="str">
        <f t="array" ref="F79">IF(
    DATEDIF($B79, TODAY(), "M") &gt;= 11,
    INDEX('Most Recent Import'!$F79:$Q79, 1, MATCH(11 - (COLUMN(F:F) - 5), {0, 1, 2, 3, 4, 5, 6, 7, 8, 9, 10, 11}, 0)),
    IF(
      DATEDIF($B79, TODAY(), "M") + 1 &gt;= COLUMN(F:F) - 5,
      INDEX('Most Recent Import'!$F79:$Q79, 1, MATCH(DATEDIF($B79, TODAY(), "M") + 1 - (COLUMN(F:F) - 5), {0, 1, 2, 3, 4, 5, 6, 7, 8, 9, 10, 11}, 0)),
      ""
    )
  )
</f>
        <v/>
      </c>
      <c r="G79" s="412" t="str">
        <f t="array" ref="G79">IF(
    DATEDIF($B79, TODAY(), "M") &gt;= 11,
    INDEX('Most Recent Import'!$F79:$Q79, 1, MATCH(11 - (COLUMN(G:G) - 5), {0, 1, 2, 3, 4, 5, 6, 7, 8, 9, 10, 11}, 0)),
    IF(
      DATEDIF($B79, TODAY(), "M") + 1 &gt;= COLUMN(G:G) - 5,
      INDEX('Most Recent Import'!$F79:$Q79, 1, MATCH(DATEDIF($B79, TODAY(), "M") + 1 - (COLUMN(G:G) - 5), {0, 1, 2, 3, 4, 5, 6, 7, 8, 9, 10, 11}, 0)),
      ""
    )
  )
</f>
        <v/>
      </c>
      <c r="H79" s="412" t="str">
        <f t="array" ref="H79">IF(
    DATEDIF($B79, TODAY(), "M") &gt;= 11,
    INDEX('Most Recent Import'!$F79:$Q79, 1, MATCH(11 - (COLUMN(H:H) - 5), {0, 1, 2, 3, 4, 5, 6, 7, 8, 9, 10, 11}, 0)),
    IF(
      DATEDIF($B79, TODAY(), "M") + 1 &gt;= COLUMN(H:H) - 5,
      INDEX('Most Recent Import'!$F79:$Q79, 1, MATCH(DATEDIF($B79, TODAY(), "M") + 1 - (COLUMN(H:H) - 5), {0, 1, 2, 3, 4, 5, 6, 7, 8, 9, 10, 11}, 0)),
      ""
    )
  )
</f>
        <v/>
      </c>
      <c r="I79" s="412" t="str">
        <f t="array" ref="I79">IF(
    DATEDIF($B79, TODAY(), "M") &gt;= 11,
    INDEX('Most Recent Import'!$F79:$Q79, 1, MATCH(11 - (COLUMN(I:I) - 5), {0, 1, 2, 3, 4, 5, 6, 7, 8, 9, 10, 11}, 0)),
    IF(
      DATEDIF($B79, TODAY(), "M") + 1 &gt;= COLUMN(I:I) - 5,
      INDEX('Most Recent Import'!$F79:$Q79, 1, MATCH(DATEDIF($B79, TODAY(), "M") + 1 - (COLUMN(I:I) - 5), {0, 1, 2, 3, 4, 5, 6, 7, 8, 9, 10, 11}, 0)),
      ""
    )
  )
</f>
        <v/>
      </c>
      <c r="J79" s="412" t="str">
        <f t="array" ref="J79">IF(
    DATEDIF($B79, TODAY(), "M") &gt;= 11,
    INDEX('Most Recent Import'!$F79:$Q79, 1, MATCH(11 - (COLUMN(J:J) - 5), {0, 1, 2, 3, 4, 5, 6, 7, 8, 9, 10, 11}, 0)),
    IF(
      DATEDIF($B79, TODAY(), "M") + 1 &gt;= COLUMN(J:J) - 5,
      INDEX('Most Recent Import'!$F79:$Q79, 1, MATCH(DATEDIF($B79, TODAY(), "M") + 1 - (COLUMN(J:J) - 5), {0, 1, 2, 3, 4, 5, 6, 7, 8, 9, 10, 11}, 0)),
      ""
    )
  )
</f>
        <v/>
      </c>
      <c r="K79" s="412" t="str">
        <f t="array" ref="K79">IF(
    DATEDIF($B79, TODAY(), "M") &gt;= 11,
    INDEX('Most Recent Import'!$F79:$Q79, 1, MATCH(11 - (COLUMN(K:K) - 5), {0, 1, 2, 3, 4, 5, 6, 7, 8, 9, 10, 11}, 0)),
    IF(
      DATEDIF($B79, TODAY(), "M") + 1 &gt;= COLUMN(K:K) - 5,
      INDEX('Most Recent Import'!$F79:$Q79, 1, MATCH(DATEDIF($B79, TODAY(), "M") + 1 - (COLUMN(K:K) - 5), {0, 1, 2, 3, 4, 5, 6, 7, 8, 9, 10, 11}, 0)),
      ""
    )
  )
</f>
        <v/>
      </c>
      <c r="L79" s="412" t="str">
        <f t="array" ref="L79">IF(
    DATEDIF($B79, TODAY(), "M") &gt;= 11,
    INDEX('Most Recent Import'!$F79:$Q79, 1, MATCH(11 - (COLUMN(L:L) - 5), {0, 1, 2, 3, 4, 5, 6, 7, 8, 9, 10, 11}, 0)),
    IF(
      DATEDIF($B79, TODAY(), "M") + 1 &gt;= COLUMN(L:L) - 5,
      INDEX('Most Recent Import'!$F79:$Q79, 1, MATCH(DATEDIF($B79, TODAY(), "M") + 1 - (COLUMN(L:L) - 5), {0, 1, 2, 3, 4, 5, 6, 7, 8, 9, 10, 11}, 0)),
      ""
    )
  )
</f>
        <v/>
      </c>
      <c r="M79" s="412" t="str">
        <f t="array" ref="M79">IF(
    DATEDIF($B79, TODAY(), "M") &gt;= 11,
    INDEX('Most Recent Import'!$F79:$Q79, 1, MATCH(11 - (COLUMN(M:M) - 5), {0, 1, 2, 3, 4, 5, 6, 7, 8, 9, 10, 11}, 0)),
    IF(
      DATEDIF($B79, TODAY(), "M") + 1 &gt;= COLUMN(M:M) - 5,
      INDEX('Most Recent Import'!$F79:$Q79, 1, MATCH(DATEDIF($B79, TODAY(), "M") + 1 - (COLUMN(M:M) - 5), {0, 1, 2, 3, 4, 5, 6, 7, 8, 9, 10, 11}, 0)),
      ""
    )
  )
</f>
        <v/>
      </c>
      <c r="N79" s="412" t="str">
        <f t="array" ref="N79">IF(
    DATEDIF($B79, TODAY(), "M") &gt;= 11,
    INDEX('Most Recent Import'!$F79:$Q79, 1, MATCH(11 - (COLUMN(N:N) - 5), {0, 1, 2, 3, 4, 5, 6, 7, 8, 9, 10, 11}, 0)),
    IF(
      DATEDIF($B79, TODAY(), "M") + 1 &gt;= COLUMN(N:N) - 5,
      INDEX('Most Recent Import'!$F79:$Q79, 1, MATCH(DATEDIF($B79, TODAY(), "M") + 1 - (COLUMN(N:N) - 5), {0, 1, 2, 3, 4, 5, 6, 7, 8, 9, 10, 11}, 0)),
      ""
    )
  )
</f>
        <v/>
      </c>
      <c r="O79" s="412" t="str">
        <f t="array" ref="O79">IF(
    DATEDIF($B79, TODAY(), "M") &gt;= 11,
    INDEX('Most Recent Import'!$F79:$Q79, 1, MATCH(11 - (COLUMN(O:O) - 5), {0, 1, 2, 3, 4, 5, 6, 7, 8, 9, 10, 11}, 0)),
    IF(
      DATEDIF($B79, TODAY(), "M") + 1 &gt;= COLUMN(O:O) - 5,
      INDEX('Most Recent Import'!$F79:$Q79, 1, MATCH(DATEDIF($B79, TODAY(), "M") + 1 - (COLUMN(O:O) - 5), {0, 1, 2, 3, 4, 5, 6, 7, 8, 9, 10, 11}, 0)),
      ""
    )
  )
</f>
        <v/>
      </c>
      <c r="P79" s="412" t="str">
        <f t="array" ref="P79">IF(
    DATEDIF($B79, TODAY(), "M") &gt;= 11,
    INDEX('Most Recent Import'!$F79:$Q79, 1, MATCH(11 - (COLUMN(P:P) - 5), {0, 1, 2, 3, 4, 5, 6, 7, 8, 9, 10, 11}, 0)),
    IF(
      DATEDIF($B79, TODAY(), "M") + 1 &gt;= COLUMN(P:P) - 5,
      INDEX('Most Recent Import'!$F79:$Q79, 1, MATCH(DATEDIF($B79, TODAY(), "M") + 1 - (COLUMN(P:P) - 5), {0, 1, 2, 3, 4, 5, 6, 7, 8, 9, 10, 11}, 0)),
      ""
    )
  )
</f>
        <v/>
      </c>
    </row>
    <row r="80">
      <c r="A80" s="412" t="str">
        <f>'Most Recent Import'!A80</f>
        <v/>
      </c>
      <c r="B80" s="412" t="str">
        <f>IF(ISBLANK(A80), "", DATE(LEFT('Most Recent Import'!C80, 4), RIGHT('Most Recent Import'!C80, 2), 1))</f>
        <v/>
      </c>
      <c r="C80" s="414" t="str">
        <f>'Most Recent Import'!B80</f>
        <v/>
      </c>
      <c r="D80" s="412" t="str">
        <f>'Most Recent Import'!D80</f>
        <v/>
      </c>
      <c r="E80" s="412" t="str">
        <f t="array" ref="E80">IF(
    DATEDIF($B80, TODAY(), "M") &gt;= 11,
    INDEX('Most Recent Import'!$F80:$Q80, 1, MATCH(11 - (COLUMN(E:E) - 5), {0, 1, 2, 3, 4, 5, 6, 7, 8, 9, 10, 11}, 0)),
    IF(
      DATEDIF($B80, TODAY(), "M") + 1 &gt;= COLUMN(E:E) - 5,
      INDEX('Most Recent Import'!$F80:$Q80, 1, MATCH(DATEDIF($B80, TODAY(), "M") + 1 - (COLUMN(E:E) - 5), {0, 1, 2, 3, 4, 5, 6, 7, 8, 9, 10, 11}, 0)),
      ""
    )
  )
</f>
        <v/>
      </c>
      <c r="F80" s="412" t="str">
        <f t="array" ref="F80">IF(
    DATEDIF($B80, TODAY(), "M") &gt;= 11,
    INDEX('Most Recent Import'!$F80:$Q80, 1, MATCH(11 - (COLUMN(F:F) - 5), {0, 1, 2, 3, 4, 5, 6, 7, 8, 9, 10, 11}, 0)),
    IF(
      DATEDIF($B80, TODAY(), "M") + 1 &gt;= COLUMN(F:F) - 5,
      INDEX('Most Recent Import'!$F80:$Q80, 1, MATCH(DATEDIF($B80, TODAY(), "M") + 1 - (COLUMN(F:F) - 5), {0, 1, 2, 3, 4, 5, 6, 7, 8, 9, 10, 11}, 0)),
      ""
    )
  )
</f>
        <v/>
      </c>
      <c r="G80" s="412" t="str">
        <f t="array" ref="G80">IF(
    DATEDIF($B80, TODAY(), "M") &gt;= 11,
    INDEX('Most Recent Import'!$F80:$Q80, 1, MATCH(11 - (COLUMN(G:G) - 5), {0, 1, 2, 3, 4, 5, 6, 7, 8, 9, 10, 11}, 0)),
    IF(
      DATEDIF($B80, TODAY(), "M") + 1 &gt;= COLUMN(G:G) - 5,
      INDEX('Most Recent Import'!$F80:$Q80, 1, MATCH(DATEDIF($B80, TODAY(), "M") + 1 - (COLUMN(G:G) - 5), {0, 1, 2, 3, 4, 5, 6, 7, 8, 9, 10, 11}, 0)),
      ""
    )
  )
</f>
        <v/>
      </c>
      <c r="H80" s="412" t="str">
        <f t="array" ref="H80">IF(
    DATEDIF($B80, TODAY(), "M") &gt;= 11,
    INDEX('Most Recent Import'!$F80:$Q80, 1, MATCH(11 - (COLUMN(H:H) - 5), {0, 1, 2, 3, 4, 5, 6, 7, 8, 9, 10, 11}, 0)),
    IF(
      DATEDIF($B80, TODAY(), "M") + 1 &gt;= COLUMN(H:H) - 5,
      INDEX('Most Recent Import'!$F80:$Q80, 1, MATCH(DATEDIF($B80, TODAY(), "M") + 1 - (COLUMN(H:H) - 5), {0, 1, 2, 3, 4, 5, 6, 7, 8, 9, 10, 11}, 0)),
      ""
    )
  )
</f>
        <v/>
      </c>
      <c r="I80" s="412" t="str">
        <f t="array" ref="I80">IF(
    DATEDIF($B80, TODAY(), "M") &gt;= 11,
    INDEX('Most Recent Import'!$F80:$Q80, 1, MATCH(11 - (COLUMN(I:I) - 5), {0, 1, 2, 3, 4, 5, 6, 7, 8, 9, 10, 11}, 0)),
    IF(
      DATEDIF($B80, TODAY(), "M") + 1 &gt;= COLUMN(I:I) - 5,
      INDEX('Most Recent Import'!$F80:$Q80, 1, MATCH(DATEDIF($B80, TODAY(), "M") + 1 - (COLUMN(I:I) - 5), {0, 1, 2, 3, 4, 5, 6, 7, 8, 9, 10, 11}, 0)),
      ""
    )
  )
</f>
        <v/>
      </c>
      <c r="J80" s="412" t="str">
        <f t="array" ref="J80">IF(
    DATEDIF($B80, TODAY(), "M") &gt;= 11,
    INDEX('Most Recent Import'!$F80:$Q80, 1, MATCH(11 - (COLUMN(J:J) - 5), {0, 1, 2, 3, 4, 5, 6, 7, 8, 9, 10, 11}, 0)),
    IF(
      DATEDIF($B80, TODAY(), "M") + 1 &gt;= COLUMN(J:J) - 5,
      INDEX('Most Recent Import'!$F80:$Q80, 1, MATCH(DATEDIF($B80, TODAY(), "M") + 1 - (COLUMN(J:J) - 5), {0, 1, 2, 3, 4, 5, 6, 7, 8, 9, 10, 11}, 0)),
      ""
    )
  )
</f>
        <v/>
      </c>
      <c r="K80" s="412" t="str">
        <f t="array" ref="K80">IF(
    DATEDIF($B80, TODAY(), "M") &gt;= 11,
    INDEX('Most Recent Import'!$F80:$Q80, 1, MATCH(11 - (COLUMN(K:K) - 5), {0, 1, 2, 3, 4, 5, 6, 7, 8, 9, 10, 11}, 0)),
    IF(
      DATEDIF($B80, TODAY(), "M") + 1 &gt;= COLUMN(K:K) - 5,
      INDEX('Most Recent Import'!$F80:$Q80, 1, MATCH(DATEDIF($B80, TODAY(), "M") + 1 - (COLUMN(K:K) - 5), {0, 1, 2, 3, 4, 5, 6, 7, 8, 9, 10, 11}, 0)),
      ""
    )
  )
</f>
        <v/>
      </c>
      <c r="L80" s="412" t="str">
        <f t="array" ref="L80">IF(
    DATEDIF($B80, TODAY(), "M") &gt;= 11,
    INDEX('Most Recent Import'!$F80:$Q80, 1, MATCH(11 - (COLUMN(L:L) - 5), {0, 1, 2, 3, 4, 5, 6, 7, 8, 9, 10, 11}, 0)),
    IF(
      DATEDIF($B80, TODAY(), "M") + 1 &gt;= COLUMN(L:L) - 5,
      INDEX('Most Recent Import'!$F80:$Q80, 1, MATCH(DATEDIF($B80, TODAY(), "M") + 1 - (COLUMN(L:L) - 5), {0, 1, 2, 3, 4, 5, 6, 7, 8, 9, 10, 11}, 0)),
      ""
    )
  )
</f>
        <v/>
      </c>
      <c r="M80" s="412" t="str">
        <f t="array" ref="M80">IF(
    DATEDIF($B80, TODAY(), "M") &gt;= 11,
    INDEX('Most Recent Import'!$F80:$Q80, 1, MATCH(11 - (COLUMN(M:M) - 5), {0, 1, 2, 3, 4, 5, 6, 7, 8, 9, 10, 11}, 0)),
    IF(
      DATEDIF($B80, TODAY(), "M") + 1 &gt;= COLUMN(M:M) - 5,
      INDEX('Most Recent Import'!$F80:$Q80, 1, MATCH(DATEDIF($B80, TODAY(), "M") + 1 - (COLUMN(M:M) - 5), {0, 1, 2, 3, 4, 5, 6, 7, 8, 9, 10, 11}, 0)),
      ""
    )
  )
</f>
        <v/>
      </c>
      <c r="N80" s="412" t="str">
        <f t="array" ref="N80">IF(
    DATEDIF($B80, TODAY(), "M") &gt;= 11,
    INDEX('Most Recent Import'!$F80:$Q80, 1, MATCH(11 - (COLUMN(N:N) - 5), {0, 1, 2, 3, 4, 5, 6, 7, 8, 9, 10, 11}, 0)),
    IF(
      DATEDIF($B80, TODAY(), "M") + 1 &gt;= COLUMN(N:N) - 5,
      INDEX('Most Recent Import'!$F80:$Q80, 1, MATCH(DATEDIF($B80, TODAY(), "M") + 1 - (COLUMN(N:N) - 5), {0, 1, 2, 3, 4, 5, 6, 7, 8, 9, 10, 11}, 0)),
      ""
    )
  )
</f>
        <v/>
      </c>
      <c r="O80" s="412" t="str">
        <f t="array" ref="O80">IF(
    DATEDIF($B80, TODAY(), "M") &gt;= 11,
    INDEX('Most Recent Import'!$F80:$Q80, 1, MATCH(11 - (COLUMN(O:O) - 5), {0, 1, 2, 3, 4, 5, 6, 7, 8, 9, 10, 11}, 0)),
    IF(
      DATEDIF($B80, TODAY(), "M") + 1 &gt;= COLUMN(O:O) - 5,
      INDEX('Most Recent Import'!$F80:$Q80, 1, MATCH(DATEDIF($B80, TODAY(), "M") + 1 - (COLUMN(O:O) - 5), {0, 1, 2, 3, 4, 5, 6, 7, 8, 9, 10, 11}, 0)),
      ""
    )
  )
</f>
        <v/>
      </c>
      <c r="P80" s="412" t="str">
        <f t="array" ref="P80">IF(
    DATEDIF($B80, TODAY(), "M") &gt;= 11,
    INDEX('Most Recent Import'!$F80:$Q80, 1, MATCH(11 - (COLUMN(P:P) - 5), {0, 1, 2, 3, 4, 5, 6, 7, 8, 9, 10, 11}, 0)),
    IF(
      DATEDIF($B80, TODAY(), "M") + 1 &gt;= COLUMN(P:P) - 5,
      INDEX('Most Recent Import'!$F80:$Q80, 1, MATCH(DATEDIF($B80, TODAY(), "M") + 1 - (COLUMN(P:P) - 5), {0, 1, 2, 3, 4, 5, 6, 7, 8, 9, 10, 11}, 0)),
      ""
    )
  )
</f>
        <v/>
      </c>
    </row>
    <row r="81">
      <c r="A81" s="412" t="str">
        <f>'Most Recent Import'!A81</f>
        <v/>
      </c>
      <c r="B81" s="412" t="str">
        <f>IF(ISBLANK(A81), "", DATE(LEFT('Most Recent Import'!C81, 4), RIGHT('Most Recent Import'!C81, 2), 1))</f>
        <v/>
      </c>
      <c r="C81" s="414" t="str">
        <f>'Most Recent Import'!B81</f>
        <v/>
      </c>
      <c r="D81" s="412" t="str">
        <f>'Most Recent Import'!D81</f>
        <v/>
      </c>
      <c r="E81" s="412" t="str">
        <f t="array" ref="E81">IF(
    DATEDIF($B81, TODAY(), "M") &gt;= 11,
    INDEX('Most Recent Import'!$F81:$Q81, 1, MATCH(11 - (COLUMN(E:E) - 5), {0, 1, 2, 3, 4, 5, 6, 7, 8, 9, 10, 11}, 0)),
    IF(
      DATEDIF($B81, TODAY(), "M") + 1 &gt;= COLUMN(E:E) - 5,
      INDEX('Most Recent Import'!$F81:$Q81, 1, MATCH(DATEDIF($B81, TODAY(), "M") + 1 - (COLUMN(E:E) - 5), {0, 1, 2, 3, 4, 5, 6, 7, 8, 9, 10, 11}, 0)),
      ""
    )
  )
</f>
        <v/>
      </c>
      <c r="F81" s="412" t="str">
        <f t="array" ref="F81">IF(
    DATEDIF($B81, TODAY(), "M") &gt;= 11,
    INDEX('Most Recent Import'!$F81:$Q81, 1, MATCH(11 - (COLUMN(F:F) - 5), {0, 1, 2, 3, 4, 5, 6, 7, 8, 9, 10, 11}, 0)),
    IF(
      DATEDIF($B81, TODAY(), "M") + 1 &gt;= COLUMN(F:F) - 5,
      INDEX('Most Recent Import'!$F81:$Q81, 1, MATCH(DATEDIF($B81, TODAY(), "M") + 1 - (COLUMN(F:F) - 5), {0, 1, 2, 3, 4, 5, 6, 7, 8, 9, 10, 11}, 0)),
      ""
    )
  )
</f>
        <v/>
      </c>
      <c r="G81" s="412" t="str">
        <f t="array" ref="G81">IF(
    DATEDIF($B81, TODAY(), "M") &gt;= 11,
    INDEX('Most Recent Import'!$F81:$Q81, 1, MATCH(11 - (COLUMN(G:G) - 5), {0, 1, 2, 3, 4, 5, 6, 7, 8, 9, 10, 11}, 0)),
    IF(
      DATEDIF($B81, TODAY(), "M") + 1 &gt;= COLUMN(G:G) - 5,
      INDEX('Most Recent Import'!$F81:$Q81, 1, MATCH(DATEDIF($B81, TODAY(), "M") + 1 - (COLUMN(G:G) - 5), {0, 1, 2, 3, 4, 5, 6, 7, 8, 9, 10, 11}, 0)),
      ""
    )
  )
</f>
        <v/>
      </c>
      <c r="H81" s="412" t="str">
        <f t="array" ref="H81">IF(
    DATEDIF($B81, TODAY(), "M") &gt;= 11,
    INDEX('Most Recent Import'!$F81:$Q81, 1, MATCH(11 - (COLUMN(H:H) - 5), {0, 1, 2, 3, 4, 5, 6, 7, 8, 9, 10, 11}, 0)),
    IF(
      DATEDIF($B81, TODAY(), "M") + 1 &gt;= COLUMN(H:H) - 5,
      INDEX('Most Recent Import'!$F81:$Q81, 1, MATCH(DATEDIF($B81, TODAY(), "M") + 1 - (COLUMN(H:H) - 5), {0, 1, 2, 3, 4, 5, 6, 7, 8, 9, 10, 11}, 0)),
      ""
    )
  )
</f>
        <v/>
      </c>
      <c r="I81" s="412" t="str">
        <f t="array" ref="I81">IF(
    DATEDIF($B81, TODAY(), "M") &gt;= 11,
    INDEX('Most Recent Import'!$F81:$Q81, 1, MATCH(11 - (COLUMN(I:I) - 5), {0, 1, 2, 3, 4, 5, 6, 7, 8, 9, 10, 11}, 0)),
    IF(
      DATEDIF($B81, TODAY(), "M") + 1 &gt;= COLUMN(I:I) - 5,
      INDEX('Most Recent Import'!$F81:$Q81, 1, MATCH(DATEDIF($B81, TODAY(), "M") + 1 - (COLUMN(I:I) - 5), {0, 1, 2, 3, 4, 5, 6, 7, 8, 9, 10, 11}, 0)),
      ""
    )
  )
</f>
        <v/>
      </c>
      <c r="J81" s="412" t="str">
        <f t="array" ref="J81">IF(
    DATEDIF($B81, TODAY(), "M") &gt;= 11,
    INDEX('Most Recent Import'!$F81:$Q81, 1, MATCH(11 - (COLUMN(J:J) - 5), {0, 1, 2, 3, 4, 5, 6, 7, 8, 9, 10, 11}, 0)),
    IF(
      DATEDIF($B81, TODAY(), "M") + 1 &gt;= COLUMN(J:J) - 5,
      INDEX('Most Recent Import'!$F81:$Q81, 1, MATCH(DATEDIF($B81, TODAY(), "M") + 1 - (COLUMN(J:J) - 5), {0, 1, 2, 3, 4, 5, 6, 7, 8, 9, 10, 11}, 0)),
      ""
    )
  )
</f>
        <v/>
      </c>
      <c r="K81" s="412" t="str">
        <f t="array" ref="K81">IF(
    DATEDIF($B81, TODAY(), "M") &gt;= 11,
    INDEX('Most Recent Import'!$F81:$Q81, 1, MATCH(11 - (COLUMN(K:K) - 5), {0, 1, 2, 3, 4, 5, 6, 7, 8, 9, 10, 11}, 0)),
    IF(
      DATEDIF($B81, TODAY(), "M") + 1 &gt;= COLUMN(K:K) - 5,
      INDEX('Most Recent Import'!$F81:$Q81, 1, MATCH(DATEDIF($B81, TODAY(), "M") + 1 - (COLUMN(K:K) - 5), {0, 1, 2, 3, 4, 5, 6, 7, 8, 9, 10, 11}, 0)),
      ""
    )
  )
</f>
        <v/>
      </c>
      <c r="L81" s="412" t="str">
        <f t="array" ref="L81">IF(
    DATEDIF($B81, TODAY(), "M") &gt;= 11,
    INDEX('Most Recent Import'!$F81:$Q81, 1, MATCH(11 - (COLUMN(L:L) - 5), {0, 1, 2, 3, 4, 5, 6, 7, 8, 9, 10, 11}, 0)),
    IF(
      DATEDIF($B81, TODAY(), "M") + 1 &gt;= COLUMN(L:L) - 5,
      INDEX('Most Recent Import'!$F81:$Q81, 1, MATCH(DATEDIF($B81, TODAY(), "M") + 1 - (COLUMN(L:L) - 5), {0, 1, 2, 3, 4, 5, 6, 7, 8, 9, 10, 11}, 0)),
      ""
    )
  )
</f>
        <v/>
      </c>
      <c r="M81" s="412" t="str">
        <f t="array" ref="M81">IF(
    DATEDIF($B81, TODAY(), "M") &gt;= 11,
    INDEX('Most Recent Import'!$F81:$Q81, 1, MATCH(11 - (COLUMN(M:M) - 5), {0, 1, 2, 3, 4, 5, 6, 7, 8, 9, 10, 11}, 0)),
    IF(
      DATEDIF($B81, TODAY(), "M") + 1 &gt;= COLUMN(M:M) - 5,
      INDEX('Most Recent Import'!$F81:$Q81, 1, MATCH(DATEDIF($B81, TODAY(), "M") + 1 - (COLUMN(M:M) - 5), {0, 1, 2, 3, 4, 5, 6, 7, 8, 9, 10, 11}, 0)),
      ""
    )
  )
</f>
        <v/>
      </c>
      <c r="N81" s="412" t="str">
        <f t="array" ref="N81">IF(
    DATEDIF($B81, TODAY(), "M") &gt;= 11,
    INDEX('Most Recent Import'!$F81:$Q81, 1, MATCH(11 - (COLUMN(N:N) - 5), {0, 1, 2, 3, 4, 5, 6, 7, 8, 9, 10, 11}, 0)),
    IF(
      DATEDIF($B81, TODAY(), "M") + 1 &gt;= COLUMN(N:N) - 5,
      INDEX('Most Recent Import'!$F81:$Q81, 1, MATCH(DATEDIF($B81, TODAY(), "M") + 1 - (COLUMN(N:N) - 5), {0, 1, 2, 3, 4, 5, 6, 7, 8, 9, 10, 11}, 0)),
      ""
    )
  )
</f>
        <v/>
      </c>
      <c r="O81" s="412" t="str">
        <f t="array" ref="O81">IF(
    DATEDIF($B81, TODAY(), "M") &gt;= 11,
    INDEX('Most Recent Import'!$F81:$Q81, 1, MATCH(11 - (COLUMN(O:O) - 5), {0, 1, 2, 3, 4, 5, 6, 7, 8, 9, 10, 11}, 0)),
    IF(
      DATEDIF($B81, TODAY(), "M") + 1 &gt;= COLUMN(O:O) - 5,
      INDEX('Most Recent Import'!$F81:$Q81, 1, MATCH(DATEDIF($B81, TODAY(), "M") + 1 - (COLUMN(O:O) - 5), {0, 1, 2, 3, 4, 5, 6, 7, 8, 9, 10, 11}, 0)),
      ""
    )
  )
</f>
        <v/>
      </c>
      <c r="P81" s="412" t="str">
        <f t="array" ref="P81">IF(
    DATEDIF($B81, TODAY(), "M") &gt;= 11,
    INDEX('Most Recent Import'!$F81:$Q81, 1, MATCH(11 - (COLUMN(P:P) - 5), {0, 1, 2, 3, 4, 5, 6, 7, 8, 9, 10, 11}, 0)),
    IF(
      DATEDIF($B81, TODAY(), "M") + 1 &gt;= COLUMN(P:P) - 5,
      INDEX('Most Recent Import'!$F81:$Q81, 1, MATCH(DATEDIF($B81, TODAY(), "M") + 1 - (COLUMN(P:P) - 5), {0, 1, 2, 3, 4, 5, 6, 7, 8, 9, 10, 11}, 0)),
      ""
    )
  )
</f>
        <v/>
      </c>
    </row>
    <row r="82">
      <c r="A82" s="412" t="str">
        <f>'Most Recent Import'!A82</f>
        <v/>
      </c>
      <c r="B82" s="412" t="str">
        <f>IF(ISBLANK(A82), "", DATE(LEFT('Most Recent Import'!C82, 4), RIGHT('Most Recent Import'!C82, 2), 1))</f>
        <v/>
      </c>
      <c r="C82" s="414" t="str">
        <f>'Most Recent Import'!B82</f>
        <v/>
      </c>
      <c r="D82" s="412" t="str">
        <f>'Most Recent Import'!D82</f>
        <v/>
      </c>
      <c r="E82" s="412" t="str">
        <f t="array" ref="E82">IF(
    DATEDIF($B82, TODAY(), "M") &gt;= 11,
    INDEX('Most Recent Import'!$F82:$Q82, 1, MATCH(11 - (COLUMN(E:E) - 5), {0, 1, 2, 3, 4, 5, 6, 7, 8, 9, 10, 11}, 0)),
    IF(
      DATEDIF($B82, TODAY(), "M") + 1 &gt;= COLUMN(E:E) - 5,
      INDEX('Most Recent Import'!$F82:$Q82, 1, MATCH(DATEDIF($B82, TODAY(), "M") + 1 - (COLUMN(E:E) - 5), {0, 1, 2, 3, 4, 5, 6, 7, 8, 9, 10, 11}, 0)),
      ""
    )
  )
</f>
        <v/>
      </c>
      <c r="F82" s="412" t="str">
        <f t="array" ref="F82">IF(
    DATEDIF($B82, TODAY(), "M") &gt;= 11,
    INDEX('Most Recent Import'!$F82:$Q82, 1, MATCH(11 - (COLUMN(F:F) - 5), {0, 1, 2, 3, 4, 5, 6, 7, 8, 9, 10, 11}, 0)),
    IF(
      DATEDIF($B82, TODAY(), "M") + 1 &gt;= COLUMN(F:F) - 5,
      INDEX('Most Recent Import'!$F82:$Q82, 1, MATCH(DATEDIF($B82, TODAY(), "M") + 1 - (COLUMN(F:F) - 5), {0, 1, 2, 3, 4, 5, 6, 7, 8, 9, 10, 11}, 0)),
      ""
    )
  )
</f>
        <v/>
      </c>
      <c r="G82" s="412" t="str">
        <f t="array" ref="G82">IF(
    DATEDIF($B82, TODAY(), "M") &gt;= 11,
    INDEX('Most Recent Import'!$F82:$Q82, 1, MATCH(11 - (COLUMN(G:G) - 5), {0, 1, 2, 3, 4, 5, 6, 7, 8, 9, 10, 11}, 0)),
    IF(
      DATEDIF($B82, TODAY(), "M") + 1 &gt;= COLUMN(G:G) - 5,
      INDEX('Most Recent Import'!$F82:$Q82, 1, MATCH(DATEDIF($B82, TODAY(), "M") + 1 - (COLUMN(G:G) - 5), {0, 1, 2, 3, 4, 5, 6, 7, 8, 9, 10, 11}, 0)),
      ""
    )
  )
</f>
        <v/>
      </c>
      <c r="H82" s="412" t="str">
        <f t="array" ref="H82">IF(
    DATEDIF($B82, TODAY(), "M") &gt;= 11,
    INDEX('Most Recent Import'!$F82:$Q82, 1, MATCH(11 - (COLUMN(H:H) - 5), {0, 1, 2, 3, 4, 5, 6, 7, 8, 9, 10, 11}, 0)),
    IF(
      DATEDIF($B82, TODAY(), "M") + 1 &gt;= COLUMN(H:H) - 5,
      INDEX('Most Recent Import'!$F82:$Q82, 1, MATCH(DATEDIF($B82, TODAY(), "M") + 1 - (COLUMN(H:H) - 5), {0, 1, 2, 3, 4, 5, 6, 7, 8, 9, 10, 11}, 0)),
      ""
    )
  )
</f>
        <v/>
      </c>
      <c r="I82" s="412" t="str">
        <f t="array" ref="I82">IF(
    DATEDIF($B82, TODAY(), "M") &gt;= 11,
    INDEX('Most Recent Import'!$F82:$Q82, 1, MATCH(11 - (COLUMN(I:I) - 5), {0, 1, 2, 3, 4, 5, 6, 7, 8, 9, 10, 11}, 0)),
    IF(
      DATEDIF($B82, TODAY(), "M") + 1 &gt;= COLUMN(I:I) - 5,
      INDEX('Most Recent Import'!$F82:$Q82, 1, MATCH(DATEDIF($B82, TODAY(), "M") + 1 - (COLUMN(I:I) - 5), {0, 1, 2, 3, 4, 5, 6, 7, 8, 9, 10, 11}, 0)),
      ""
    )
  )
</f>
        <v/>
      </c>
      <c r="J82" s="412" t="str">
        <f t="array" ref="J82">IF(
    DATEDIF($B82, TODAY(), "M") &gt;= 11,
    INDEX('Most Recent Import'!$F82:$Q82, 1, MATCH(11 - (COLUMN(J:J) - 5), {0, 1, 2, 3, 4, 5, 6, 7, 8, 9, 10, 11}, 0)),
    IF(
      DATEDIF($B82, TODAY(), "M") + 1 &gt;= COLUMN(J:J) - 5,
      INDEX('Most Recent Import'!$F82:$Q82, 1, MATCH(DATEDIF($B82, TODAY(), "M") + 1 - (COLUMN(J:J) - 5), {0, 1, 2, 3, 4, 5, 6, 7, 8, 9, 10, 11}, 0)),
      ""
    )
  )
</f>
        <v/>
      </c>
      <c r="K82" s="412" t="str">
        <f t="array" ref="K82">IF(
    DATEDIF($B82, TODAY(), "M") &gt;= 11,
    INDEX('Most Recent Import'!$F82:$Q82, 1, MATCH(11 - (COLUMN(K:K) - 5), {0, 1, 2, 3, 4, 5, 6, 7, 8, 9, 10, 11}, 0)),
    IF(
      DATEDIF($B82, TODAY(), "M") + 1 &gt;= COLUMN(K:K) - 5,
      INDEX('Most Recent Import'!$F82:$Q82, 1, MATCH(DATEDIF($B82, TODAY(), "M") + 1 - (COLUMN(K:K) - 5), {0, 1, 2, 3, 4, 5, 6, 7, 8, 9, 10, 11}, 0)),
      ""
    )
  )
</f>
        <v/>
      </c>
      <c r="L82" s="412" t="str">
        <f t="array" ref="L82">IF(
    DATEDIF($B82, TODAY(), "M") &gt;= 11,
    INDEX('Most Recent Import'!$F82:$Q82, 1, MATCH(11 - (COLUMN(L:L) - 5), {0, 1, 2, 3, 4, 5, 6, 7, 8, 9, 10, 11}, 0)),
    IF(
      DATEDIF($B82, TODAY(), "M") + 1 &gt;= COLUMN(L:L) - 5,
      INDEX('Most Recent Import'!$F82:$Q82, 1, MATCH(DATEDIF($B82, TODAY(), "M") + 1 - (COLUMN(L:L) - 5), {0, 1, 2, 3, 4, 5, 6, 7, 8, 9, 10, 11}, 0)),
      ""
    )
  )
</f>
        <v/>
      </c>
      <c r="M82" s="412" t="str">
        <f t="array" ref="M82">IF(
    DATEDIF($B82, TODAY(), "M") &gt;= 11,
    INDEX('Most Recent Import'!$F82:$Q82, 1, MATCH(11 - (COLUMN(M:M) - 5), {0, 1, 2, 3, 4, 5, 6, 7, 8, 9, 10, 11}, 0)),
    IF(
      DATEDIF($B82, TODAY(), "M") + 1 &gt;= COLUMN(M:M) - 5,
      INDEX('Most Recent Import'!$F82:$Q82, 1, MATCH(DATEDIF($B82, TODAY(), "M") + 1 - (COLUMN(M:M) - 5), {0, 1, 2, 3, 4, 5, 6, 7, 8, 9, 10, 11}, 0)),
      ""
    )
  )
</f>
        <v/>
      </c>
      <c r="N82" s="412" t="str">
        <f t="array" ref="N82">IF(
    DATEDIF($B82, TODAY(), "M") &gt;= 11,
    INDEX('Most Recent Import'!$F82:$Q82, 1, MATCH(11 - (COLUMN(N:N) - 5), {0, 1, 2, 3, 4, 5, 6, 7, 8, 9, 10, 11}, 0)),
    IF(
      DATEDIF($B82, TODAY(), "M") + 1 &gt;= COLUMN(N:N) - 5,
      INDEX('Most Recent Import'!$F82:$Q82, 1, MATCH(DATEDIF($B82, TODAY(), "M") + 1 - (COLUMN(N:N) - 5), {0, 1, 2, 3, 4, 5, 6, 7, 8, 9, 10, 11}, 0)),
      ""
    )
  )
</f>
        <v/>
      </c>
      <c r="O82" s="412" t="str">
        <f t="array" ref="O82">IF(
    DATEDIF($B82, TODAY(), "M") &gt;= 11,
    INDEX('Most Recent Import'!$F82:$Q82, 1, MATCH(11 - (COLUMN(O:O) - 5), {0, 1, 2, 3, 4, 5, 6, 7, 8, 9, 10, 11}, 0)),
    IF(
      DATEDIF($B82, TODAY(), "M") + 1 &gt;= COLUMN(O:O) - 5,
      INDEX('Most Recent Import'!$F82:$Q82, 1, MATCH(DATEDIF($B82, TODAY(), "M") + 1 - (COLUMN(O:O) - 5), {0, 1, 2, 3, 4, 5, 6, 7, 8, 9, 10, 11}, 0)),
      ""
    )
  )
</f>
        <v/>
      </c>
      <c r="P82" s="412" t="str">
        <f t="array" ref="P82">IF(
    DATEDIF($B82, TODAY(), "M") &gt;= 11,
    INDEX('Most Recent Import'!$F82:$Q82, 1, MATCH(11 - (COLUMN(P:P) - 5), {0, 1, 2, 3, 4, 5, 6, 7, 8, 9, 10, 11}, 0)),
    IF(
      DATEDIF($B82, TODAY(), "M") + 1 &gt;= COLUMN(P:P) - 5,
      INDEX('Most Recent Import'!$F82:$Q82, 1, MATCH(DATEDIF($B82, TODAY(), "M") + 1 - (COLUMN(P:P) - 5), {0, 1, 2, 3, 4, 5, 6, 7, 8, 9, 10, 11}, 0)),
      ""
    )
  )
</f>
        <v/>
      </c>
    </row>
    <row r="83">
      <c r="A83" s="412" t="str">
        <f>'Most Recent Import'!A83</f>
        <v/>
      </c>
      <c r="B83" s="412" t="str">
        <f>IF(ISBLANK(A83), "", DATE(LEFT('Most Recent Import'!C83, 4), RIGHT('Most Recent Import'!C83, 2), 1))</f>
        <v/>
      </c>
      <c r="C83" s="414" t="str">
        <f>'Most Recent Import'!B83</f>
        <v/>
      </c>
      <c r="D83" s="412" t="str">
        <f>'Most Recent Import'!D83</f>
        <v/>
      </c>
      <c r="E83" s="412" t="str">
        <f t="array" ref="E83">IF(
    DATEDIF($B83, TODAY(), "M") &gt;= 11,
    INDEX('Most Recent Import'!$F83:$Q83, 1, MATCH(11 - (COLUMN(E:E) - 5), {0, 1, 2, 3, 4, 5, 6, 7, 8, 9, 10, 11}, 0)),
    IF(
      DATEDIF($B83, TODAY(), "M") + 1 &gt;= COLUMN(E:E) - 5,
      INDEX('Most Recent Import'!$F83:$Q83, 1, MATCH(DATEDIF($B83, TODAY(), "M") + 1 - (COLUMN(E:E) - 5), {0, 1, 2, 3, 4, 5, 6, 7, 8, 9, 10, 11}, 0)),
      ""
    )
  )
</f>
        <v/>
      </c>
      <c r="F83" s="412" t="str">
        <f t="array" ref="F83">IF(
    DATEDIF($B83, TODAY(), "M") &gt;= 11,
    INDEX('Most Recent Import'!$F83:$Q83, 1, MATCH(11 - (COLUMN(F:F) - 5), {0, 1, 2, 3, 4, 5, 6, 7, 8, 9, 10, 11}, 0)),
    IF(
      DATEDIF($B83, TODAY(), "M") + 1 &gt;= COLUMN(F:F) - 5,
      INDEX('Most Recent Import'!$F83:$Q83, 1, MATCH(DATEDIF($B83, TODAY(), "M") + 1 - (COLUMN(F:F) - 5), {0, 1, 2, 3, 4, 5, 6, 7, 8, 9, 10, 11}, 0)),
      ""
    )
  )
</f>
        <v/>
      </c>
      <c r="G83" s="412" t="str">
        <f t="array" ref="G83">IF(
    DATEDIF($B83, TODAY(), "M") &gt;= 11,
    INDEX('Most Recent Import'!$F83:$Q83, 1, MATCH(11 - (COLUMN(G:G) - 5), {0, 1, 2, 3, 4, 5, 6, 7, 8, 9, 10, 11}, 0)),
    IF(
      DATEDIF($B83, TODAY(), "M") + 1 &gt;= COLUMN(G:G) - 5,
      INDEX('Most Recent Import'!$F83:$Q83, 1, MATCH(DATEDIF($B83, TODAY(), "M") + 1 - (COLUMN(G:G) - 5), {0, 1, 2, 3, 4, 5, 6, 7, 8, 9, 10, 11}, 0)),
      ""
    )
  )
</f>
        <v/>
      </c>
      <c r="H83" s="412" t="str">
        <f t="array" ref="H83">IF(
    DATEDIF($B83, TODAY(), "M") &gt;= 11,
    INDEX('Most Recent Import'!$F83:$Q83, 1, MATCH(11 - (COLUMN(H:H) - 5), {0, 1, 2, 3, 4, 5, 6, 7, 8, 9, 10, 11}, 0)),
    IF(
      DATEDIF($B83, TODAY(), "M") + 1 &gt;= COLUMN(H:H) - 5,
      INDEX('Most Recent Import'!$F83:$Q83, 1, MATCH(DATEDIF($B83, TODAY(), "M") + 1 - (COLUMN(H:H) - 5), {0, 1, 2, 3, 4, 5, 6, 7, 8, 9, 10, 11}, 0)),
      ""
    )
  )
</f>
        <v/>
      </c>
      <c r="I83" s="412" t="str">
        <f t="array" ref="I83">IF(
    DATEDIF($B83, TODAY(), "M") &gt;= 11,
    INDEX('Most Recent Import'!$F83:$Q83, 1, MATCH(11 - (COLUMN(I:I) - 5), {0, 1, 2, 3, 4, 5, 6, 7, 8, 9, 10, 11}, 0)),
    IF(
      DATEDIF($B83, TODAY(), "M") + 1 &gt;= COLUMN(I:I) - 5,
      INDEX('Most Recent Import'!$F83:$Q83, 1, MATCH(DATEDIF($B83, TODAY(), "M") + 1 - (COLUMN(I:I) - 5), {0, 1, 2, 3, 4, 5, 6, 7, 8, 9, 10, 11}, 0)),
      ""
    )
  )
</f>
        <v/>
      </c>
      <c r="J83" s="412" t="str">
        <f t="array" ref="J83">IF(
    DATEDIF($B83, TODAY(), "M") &gt;= 11,
    INDEX('Most Recent Import'!$F83:$Q83, 1, MATCH(11 - (COLUMN(J:J) - 5), {0, 1, 2, 3, 4, 5, 6, 7, 8, 9, 10, 11}, 0)),
    IF(
      DATEDIF($B83, TODAY(), "M") + 1 &gt;= COLUMN(J:J) - 5,
      INDEX('Most Recent Import'!$F83:$Q83, 1, MATCH(DATEDIF($B83, TODAY(), "M") + 1 - (COLUMN(J:J) - 5), {0, 1, 2, 3, 4, 5, 6, 7, 8, 9, 10, 11}, 0)),
      ""
    )
  )
</f>
        <v/>
      </c>
      <c r="K83" s="412" t="str">
        <f t="array" ref="K83">IF(
    DATEDIF($B83, TODAY(), "M") &gt;= 11,
    INDEX('Most Recent Import'!$F83:$Q83, 1, MATCH(11 - (COLUMN(K:K) - 5), {0, 1, 2, 3, 4, 5, 6, 7, 8, 9, 10, 11}, 0)),
    IF(
      DATEDIF($B83, TODAY(), "M") + 1 &gt;= COLUMN(K:K) - 5,
      INDEX('Most Recent Import'!$F83:$Q83, 1, MATCH(DATEDIF($B83, TODAY(), "M") + 1 - (COLUMN(K:K) - 5), {0, 1, 2, 3, 4, 5, 6, 7, 8, 9, 10, 11}, 0)),
      ""
    )
  )
</f>
        <v/>
      </c>
      <c r="L83" s="412" t="str">
        <f t="array" ref="L83">IF(
    DATEDIF($B83, TODAY(), "M") &gt;= 11,
    INDEX('Most Recent Import'!$F83:$Q83, 1, MATCH(11 - (COLUMN(L:L) - 5), {0, 1, 2, 3, 4, 5, 6, 7, 8, 9, 10, 11}, 0)),
    IF(
      DATEDIF($B83, TODAY(), "M") + 1 &gt;= COLUMN(L:L) - 5,
      INDEX('Most Recent Import'!$F83:$Q83, 1, MATCH(DATEDIF($B83, TODAY(), "M") + 1 - (COLUMN(L:L) - 5), {0, 1, 2, 3, 4, 5, 6, 7, 8, 9, 10, 11}, 0)),
      ""
    )
  )
</f>
        <v/>
      </c>
      <c r="M83" s="412" t="str">
        <f t="array" ref="M83">IF(
    DATEDIF($B83, TODAY(), "M") &gt;= 11,
    INDEX('Most Recent Import'!$F83:$Q83, 1, MATCH(11 - (COLUMN(M:M) - 5), {0, 1, 2, 3, 4, 5, 6, 7, 8, 9, 10, 11}, 0)),
    IF(
      DATEDIF($B83, TODAY(), "M") + 1 &gt;= COLUMN(M:M) - 5,
      INDEX('Most Recent Import'!$F83:$Q83, 1, MATCH(DATEDIF($B83, TODAY(), "M") + 1 - (COLUMN(M:M) - 5), {0, 1, 2, 3, 4, 5, 6, 7, 8, 9, 10, 11}, 0)),
      ""
    )
  )
</f>
        <v/>
      </c>
      <c r="N83" s="412" t="str">
        <f t="array" ref="N83">IF(
    DATEDIF($B83, TODAY(), "M") &gt;= 11,
    INDEX('Most Recent Import'!$F83:$Q83, 1, MATCH(11 - (COLUMN(N:N) - 5), {0, 1, 2, 3, 4, 5, 6, 7, 8, 9, 10, 11}, 0)),
    IF(
      DATEDIF($B83, TODAY(), "M") + 1 &gt;= COLUMN(N:N) - 5,
      INDEX('Most Recent Import'!$F83:$Q83, 1, MATCH(DATEDIF($B83, TODAY(), "M") + 1 - (COLUMN(N:N) - 5), {0, 1, 2, 3, 4, 5, 6, 7, 8, 9, 10, 11}, 0)),
      ""
    )
  )
</f>
        <v/>
      </c>
      <c r="O83" s="412" t="str">
        <f t="array" ref="O83">IF(
    DATEDIF($B83, TODAY(), "M") &gt;= 11,
    INDEX('Most Recent Import'!$F83:$Q83, 1, MATCH(11 - (COLUMN(O:O) - 5), {0, 1, 2, 3, 4, 5, 6, 7, 8, 9, 10, 11}, 0)),
    IF(
      DATEDIF($B83, TODAY(), "M") + 1 &gt;= COLUMN(O:O) - 5,
      INDEX('Most Recent Import'!$F83:$Q83, 1, MATCH(DATEDIF($B83, TODAY(), "M") + 1 - (COLUMN(O:O) - 5), {0, 1, 2, 3, 4, 5, 6, 7, 8, 9, 10, 11}, 0)),
      ""
    )
  )
</f>
        <v/>
      </c>
      <c r="P83" s="412" t="str">
        <f t="array" ref="P83">IF(
    DATEDIF($B83, TODAY(), "M") &gt;= 11,
    INDEX('Most Recent Import'!$F83:$Q83, 1, MATCH(11 - (COLUMN(P:P) - 5), {0, 1, 2, 3, 4, 5, 6, 7, 8, 9, 10, 11}, 0)),
    IF(
      DATEDIF($B83, TODAY(), "M") + 1 &gt;= COLUMN(P:P) - 5,
      INDEX('Most Recent Import'!$F83:$Q83, 1, MATCH(DATEDIF($B83, TODAY(), "M") + 1 - (COLUMN(P:P) - 5), {0, 1, 2, 3, 4, 5, 6, 7, 8, 9, 10, 11}, 0)),
      ""
    )
  )
</f>
        <v/>
      </c>
    </row>
    <row r="84">
      <c r="A84" s="412" t="str">
        <f>'Most Recent Import'!A84</f>
        <v/>
      </c>
      <c r="B84" s="412" t="str">
        <f>IF(ISBLANK(A84), "", DATE(LEFT('Most Recent Import'!C84, 4), RIGHT('Most Recent Import'!C84, 2), 1))</f>
        <v/>
      </c>
      <c r="C84" s="414" t="str">
        <f>'Most Recent Import'!B84</f>
        <v/>
      </c>
      <c r="D84" s="412" t="str">
        <f>'Most Recent Import'!D84</f>
        <v/>
      </c>
      <c r="E84" s="412" t="str">
        <f t="array" ref="E84">IF(
    DATEDIF($B84, TODAY(), "M") &gt;= 11,
    INDEX('Most Recent Import'!$F84:$Q84, 1, MATCH(11 - (COLUMN(E:E) - 5), {0, 1, 2, 3, 4, 5, 6, 7, 8, 9, 10, 11}, 0)),
    IF(
      DATEDIF($B84, TODAY(), "M") + 1 &gt;= COLUMN(E:E) - 5,
      INDEX('Most Recent Import'!$F84:$Q84, 1, MATCH(DATEDIF($B84, TODAY(), "M") + 1 - (COLUMN(E:E) - 5), {0, 1, 2, 3, 4, 5, 6, 7, 8, 9, 10, 11}, 0)),
      ""
    )
  )
</f>
        <v/>
      </c>
      <c r="F84" s="412" t="str">
        <f t="array" ref="F84">IF(
    DATEDIF($B84, TODAY(), "M") &gt;= 11,
    INDEX('Most Recent Import'!$F84:$Q84, 1, MATCH(11 - (COLUMN(F:F) - 5), {0, 1, 2, 3, 4, 5, 6, 7, 8, 9, 10, 11}, 0)),
    IF(
      DATEDIF($B84, TODAY(), "M") + 1 &gt;= COLUMN(F:F) - 5,
      INDEX('Most Recent Import'!$F84:$Q84, 1, MATCH(DATEDIF($B84, TODAY(), "M") + 1 - (COLUMN(F:F) - 5), {0, 1, 2, 3, 4, 5, 6, 7, 8, 9, 10, 11}, 0)),
      ""
    )
  )
</f>
        <v/>
      </c>
      <c r="G84" s="412" t="str">
        <f t="array" ref="G84">IF(
    DATEDIF($B84, TODAY(), "M") &gt;= 11,
    INDEX('Most Recent Import'!$F84:$Q84, 1, MATCH(11 - (COLUMN(G:G) - 5), {0, 1, 2, 3, 4, 5, 6, 7, 8, 9, 10, 11}, 0)),
    IF(
      DATEDIF($B84, TODAY(), "M") + 1 &gt;= COLUMN(G:G) - 5,
      INDEX('Most Recent Import'!$F84:$Q84, 1, MATCH(DATEDIF($B84, TODAY(), "M") + 1 - (COLUMN(G:G) - 5), {0, 1, 2, 3, 4, 5, 6, 7, 8, 9, 10, 11}, 0)),
      ""
    )
  )
</f>
        <v/>
      </c>
      <c r="H84" s="412" t="str">
        <f t="array" ref="H84">IF(
    DATEDIF($B84, TODAY(), "M") &gt;= 11,
    INDEX('Most Recent Import'!$F84:$Q84, 1, MATCH(11 - (COLUMN(H:H) - 5), {0, 1, 2, 3, 4, 5, 6, 7, 8, 9, 10, 11}, 0)),
    IF(
      DATEDIF($B84, TODAY(), "M") + 1 &gt;= COLUMN(H:H) - 5,
      INDEX('Most Recent Import'!$F84:$Q84, 1, MATCH(DATEDIF($B84, TODAY(), "M") + 1 - (COLUMN(H:H) - 5), {0, 1, 2, 3, 4, 5, 6, 7, 8, 9, 10, 11}, 0)),
      ""
    )
  )
</f>
        <v/>
      </c>
      <c r="I84" s="412" t="str">
        <f t="array" ref="I84">IF(
    DATEDIF($B84, TODAY(), "M") &gt;= 11,
    INDEX('Most Recent Import'!$F84:$Q84, 1, MATCH(11 - (COLUMN(I:I) - 5), {0, 1, 2, 3, 4, 5, 6, 7, 8, 9, 10, 11}, 0)),
    IF(
      DATEDIF($B84, TODAY(), "M") + 1 &gt;= COLUMN(I:I) - 5,
      INDEX('Most Recent Import'!$F84:$Q84, 1, MATCH(DATEDIF($B84, TODAY(), "M") + 1 - (COLUMN(I:I) - 5), {0, 1, 2, 3, 4, 5, 6, 7, 8, 9, 10, 11}, 0)),
      ""
    )
  )
</f>
        <v/>
      </c>
      <c r="J84" s="412" t="str">
        <f t="array" ref="J84">IF(
    DATEDIF($B84, TODAY(), "M") &gt;= 11,
    INDEX('Most Recent Import'!$F84:$Q84, 1, MATCH(11 - (COLUMN(J:J) - 5), {0, 1, 2, 3, 4, 5, 6, 7, 8, 9, 10, 11}, 0)),
    IF(
      DATEDIF($B84, TODAY(), "M") + 1 &gt;= COLUMN(J:J) - 5,
      INDEX('Most Recent Import'!$F84:$Q84, 1, MATCH(DATEDIF($B84, TODAY(), "M") + 1 - (COLUMN(J:J) - 5), {0, 1, 2, 3, 4, 5, 6, 7, 8, 9, 10, 11}, 0)),
      ""
    )
  )
</f>
        <v/>
      </c>
      <c r="K84" s="412" t="str">
        <f t="array" ref="K84">IF(
    DATEDIF($B84, TODAY(), "M") &gt;= 11,
    INDEX('Most Recent Import'!$F84:$Q84, 1, MATCH(11 - (COLUMN(K:K) - 5), {0, 1, 2, 3, 4, 5, 6, 7, 8, 9, 10, 11}, 0)),
    IF(
      DATEDIF($B84, TODAY(), "M") + 1 &gt;= COLUMN(K:K) - 5,
      INDEX('Most Recent Import'!$F84:$Q84, 1, MATCH(DATEDIF($B84, TODAY(), "M") + 1 - (COLUMN(K:K) - 5), {0, 1, 2, 3, 4, 5, 6, 7, 8, 9, 10, 11}, 0)),
      ""
    )
  )
</f>
        <v/>
      </c>
      <c r="L84" s="412" t="str">
        <f t="array" ref="L84">IF(
    DATEDIF($B84, TODAY(), "M") &gt;= 11,
    INDEX('Most Recent Import'!$F84:$Q84, 1, MATCH(11 - (COLUMN(L:L) - 5), {0, 1, 2, 3, 4, 5, 6, 7, 8, 9, 10, 11}, 0)),
    IF(
      DATEDIF($B84, TODAY(), "M") + 1 &gt;= COLUMN(L:L) - 5,
      INDEX('Most Recent Import'!$F84:$Q84, 1, MATCH(DATEDIF($B84, TODAY(), "M") + 1 - (COLUMN(L:L) - 5), {0, 1, 2, 3, 4, 5, 6, 7, 8, 9, 10, 11}, 0)),
      ""
    )
  )
</f>
        <v/>
      </c>
      <c r="M84" s="412" t="str">
        <f t="array" ref="M84">IF(
    DATEDIF($B84, TODAY(), "M") &gt;= 11,
    INDEX('Most Recent Import'!$F84:$Q84, 1, MATCH(11 - (COLUMN(M:M) - 5), {0, 1, 2, 3, 4, 5, 6, 7, 8, 9, 10, 11}, 0)),
    IF(
      DATEDIF($B84, TODAY(), "M") + 1 &gt;= COLUMN(M:M) - 5,
      INDEX('Most Recent Import'!$F84:$Q84, 1, MATCH(DATEDIF($B84, TODAY(), "M") + 1 - (COLUMN(M:M) - 5), {0, 1, 2, 3, 4, 5, 6, 7, 8, 9, 10, 11}, 0)),
      ""
    )
  )
</f>
        <v/>
      </c>
      <c r="N84" s="412" t="str">
        <f t="array" ref="N84">IF(
    DATEDIF($B84, TODAY(), "M") &gt;= 11,
    INDEX('Most Recent Import'!$F84:$Q84, 1, MATCH(11 - (COLUMN(N:N) - 5), {0, 1, 2, 3, 4, 5, 6, 7, 8, 9, 10, 11}, 0)),
    IF(
      DATEDIF($B84, TODAY(), "M") + 1 &gt;= COLUMN(N:N) - 5,
      INDEX('Most Recent Import'!$F84:$Q84, 1, MATCH(DATEDIF($B84, TODAY(), "M") + 1 - (COLUMN(N:N) - 5), {0, 1, 2, 3, 4, 5, 6, 7, 8, 9, 10, 11}, 0)),
      ""
    )
  )
</f>
        <v/>
      </c>
      <c r="O84" s="412" t="str">
        <f t="array" ref="O84">IF(
    DATEDIF($B84, TODAY(), "M") &gt;= 11,
    INDEX('Most Recent Import'!$F84:$Q84, 1, MATCH(11 - (COLUMN(O:O) - 5), {0, 1, 2, 3, 4, 5, 6, 7, 8, 9, 10, 11}, 0)),
    IF(
      DATEDIF($B84, TODAY(), "M") + 1 &gt;= COLUMN(O:O) - 5,
      INDEX('Most Recent Import'!$F84:$Q84, 1, MATCH(DATEDIF($B84, TODAY(), "M") + 1 - (COLUMN(O:O) - 5), {0, 1, 2, 3, 4, 5, 6, 7, 8, 9, 10, 11}, 0)),
      ""
    )
  )
</f>
        <v/>
      </c>
      <c r="P84" s="412" t="str">
        <f t="array" ref="P84">IF(
    DATEDIF($B84, TODAY(), "M") &gt;= 11,
    INDEX('Most Recent Import'!$F84:$Q84, 1, MATCH(11 - (COLUMN(P:P) - 5), {0, 1, 2, 3, 4, 5, 6, 7, 8, 9, 10, 11}, 0)),
    IF(
      DATEDIF($B84, TODAY(), "M") + 1 &gt;= COLUMN(P:P) - 5,
      INDEX('Most Recent Import'!$F84:$Q84, 1, MATCH(DATEDIF($B84, TODAY(), "M") + 1 - (COLUMN(P:P) - 5), {0, 1, 2, 3, 4, 5, 6, 7, 8, 9, 10, 11}, 0)),
      ""
    )
  )
</f>
        <v/>
      </c>
    </row>
    <row r="85">
      <c r="A85" s="412" t="str">
        <f>'Most Recent Import'!A85</f>
        <v/>
      </c>
      <c r="B85" s="412" t="str">
        <f>IF(ISBLANK(A85), "", DATE(LEFT('Most Recent Import'!C85, 4), RIGHT('Most Recent Import'!C85, 2), 1))</f>
        <v/>
      </c>
      <c r="C85" s="414" t="str">
        <f>'Most Recent Import'!B85</f>
        <v/>
      </c>
      <c r="D85" s="412" t="str">
        <f>'Most Recent Import'!D85</f>
        <v/>
      </c>
      <c r="E85" s="412" t="str">
        <f t="array" ref="E85">IF(
    DATEDIF($B85, TODAY(), "M") &gt;= 11,
    INDEX('Most Recent Import'!$F85:$Q85, 1, MATCH(11 - (COLUMN(E:E) - 5), {0, 1, 2, 3, 4, 5, 6, 7, 8, 9, 10, 11}, 0)),
    IF(
      DATEDIF($B85, TODAY(), "M") + 1 &gt;= COLUMN(E:E) - 5,
      INDEX('Most Recent Import'!$F85:$Q85, 1, MATCH(DATEDIF($B85, TODAY(), "M") + 1 - (COLUMN(E:E) - 5), {0, 1, 2, 3, 4, 5, 6, 7, 8, 9, 10, 11}, 0)),
      ""
    )
  )
</f>
        <v/>
      </c>
      <c r="F85" s="412" t="str">
        <f t="array" ref="F85">IF(
    DATEDIF($B85, TODAY(), "M") &gt;= 11,
    INDEX('Most Recent Import'!$F85:$Q85, 1, MATCH(11 - (COLUMN(F:F) - 5), {0, 1, 2, 3, 4, 5, 6, 7, 8, 9, 10, 11}, 0)),
    IF(
      DATEDIF($B85, TODAY(), "M") + 1 &gt;= COLUMN(F:F) - 5,
      INDEX('Most Recent Import'!$F85:$Q85, 1, MATCH(DATEDIF($B85, TODAY(), "M") + 1 - (COLUMN(F:F) - 5), {0, 1, 2, 3, 4, 5, 6, 7, 8, 9, 10, 11}, 0)),
      ""
    )
  )
</f>
        <v/>
      </c>
      <c r="G85" s="412" t="str">
        <f t="array" ref="G85">IF(
    DATEDIF($B85, TODAY(), "M") &gt;= 11,
    INDEX('Most Recent Import'!$F85:$Q85, 1, MATCH(11 - (COLUMN(G:G) - 5), {0, 1, 2, 3, 4, 5, 6, 7, 8, 9, 10, 11}, 0)),
    IF(
      DATEDIF($B85, TODAY(), "M") + 1 &gt;= COLUMN(G:G) - 5,
      INDEX('Most Recent Import'!$F85:$Q85, 1, MATCH(DATEDIF($B85, TODAY(), "M") + 1 - (COLUMN(G:G) - 5), {0, 1, 2, 3, 4, 5, 6, 7, 8, 9, 10, 11}, 0)),
      ""
    )
  )
</f>
        <v/>
      </c>
      <c r="H85" s="412" t="str">
        <f t="array" ref="H85">IF(
    DATEDIF($B85, TODAY(), "M") &gt;= 11,
    INDEX('Most Recent Import'!$F85:$Q85, 1, MATCH(11 - (COLUMN(H:H) - 5), {0, 1, 2, 3, 4, 5, 6, 7, 8, 9, 10, 11}, 0)),
    IF(
      DATEDIF($B85, TODAY(), "M") + 1 &gt;= COLUMN(H:H) - 5,
      INDEX('Most Recent Import'!$F85:$Q85, 1, MATCH(DATEDIF($B85, TODAY(), "M") + 1 - (COLUMN(H:H) - 5), {0, 1, 2, 3, 4, 5, 6, 7, 8, 9, 10, 11}, 0)),
      ""
    )
  )
</f>
        <v/>
      </c>
      <c r="I85" s="412" t="str">
        <f t="array" ref="I85">IF(
    DATEDIF($B85, TODAY(), "M") &gt;= 11,
    INDEX('Most Recent Import'!$F85:$Q85, 1, MATCH(11 - (COLUMN(I:I) - 5), {0, 1, 2, 3, 4, 5, 6, 7, 8, 9, 10, 11}, 0)),
    IF(
      DATEDIF($B85, TODAY(), "M") + 1 &gt;= COLUMN(I:I) - 5,
      INDEX('Most Recent Import'!$F85:$Q85, 1, MATCH(DATEDIF($B85, TODAY(), "M") + 1 - (COLUMN(I:I) - 5), {0, 1, 2, 3, 4, 5, 6, 7, 8, 9, 10, 11}, 0)),
      ""
    )
  )
</f>
        <v/>
      </c>
      <c r="J85" s="412" t="str">
        <f t="array" ref="J85">IF(
    DATEDIF($B85, TODAY(), "M") &gt;= 11,
    INDEX('Most Recent Import'!$F85:$Q85, 1, MATCH(11 - (COLUMN(J:J) - 5), {0, 1, 2, 3, 4, 5, 6, 7, 8, 9, 10, 11}, 0)),
    IF(
      DATEDIF($B85, TODAY(), "M") + 1 &gt;= COLUMN(J:J) - 5,
      INDEX('Most Recent Import'!$F85:$Q85, 1, MATCH(DATEDIF($B85, TODAY(), "M") + 1 - (COLUMN(J:J) - 5), {0, 1, 2, 3, 4, 5, 6, 7, 8, 9, 10, 11}, 0)),
      ""
    )
  )
</f>
        <v/>
      </c>
      <c r="K85" s="412" t="str">
        <f t="array" ref="K85">IF(
    DATEDIF($B85, TODAY(), "M") &gt;= 11,
    INDEX('Most Recent Import'!$F85:$Q85, 1, MATCH(11 - (COLUMN(K:K) - 5), {0, 1, 2, 3, 4, 5, 6, 7, 8, 9, 10, 11}, 0)),
    IF(
      DATEDIF($B85, TODAY(), "M") + 1 &gt;= COLUMN(K:K) - 5,
      INDEX('Most Recent Import'!$F85:$Q85, 1, MATCH(DATEDIF($B85, TODAY(), "M") + 1 - (COLUMN(K:K) - 5), {0, 1, 2, 3, 4, 5, 6, 7, 8, 9, 10, 11}, 0)),
      ""
    )
  )
</f>
        <v/>
      </c>
      <c r="L85" s="412" t="str">
        <f t="array" ref="L85">IF(
    DATEDIF($B85, TODAY(), "M") &gt;= 11,
    INDEX('Most Recent Import'!$F85:$Q85, 1, MATCH(11 - (COLUMN(L:L) - 5), {0, 1, 2, 3, 4, 5, 6, 7, 8, 9, 10, 11}, 0)),
    IF(
      DATEDIF($B85, TODAY(), "M") + 1 &gt;= COLUMN(L:L) - 5,
      INDEX('Most Recent Import'!$F85:$Q85, 1, MATCH(DATEDIF($B85, TODAY(), "M") + 1 - (COLUMN(L:L) - 5), {0, 1, 2, 3, 4, 5, 6, 7, 8, 9, 10, 11}, 0)),
      ""
    )
  )
</f>
        <v/>
      </c>
      <c r="M85" s="412" t="str">
        <f t="array" ref="M85">IF(
    DATEDIF($B85, TODAY(), "M") &gt;= 11,
    INDEX('Most Recent Import'!$F85:$Q85, 1, MATCH(11 - (COLUMN(M:M) - 5), {0, 1, 2, 3, 4, 5, 6, 7, 8, 9, 10, 11}, 0)),
    IF(
      DATEDIF($B85, TODAY(), "M") + 1 &gt;= COLUMN(M:M) - 5,
      INDEX('Most Recent Import'!$F85:$Q85, 1, MATCH(DATEDIF($B85, TODAY(), "M") + 1 - (COLUMN(M:M) - 5), {0, 1, 2, 3, 4, 5, 6, 7, 8, 9, 10, 11}, 0)),
      ""
    )
  )
</f>
        <v/>
      </c>
      <c r="N85" s="412" t="str">
        <f t="array" ref="N85">IF(
    DATEDIF($B85, TODAY(), "M") &gt;= 11,
    INDEX('Most Recent Import'!$F85:$Q85, 1, MATCH(11 - (COLUMN(N:N) - 5), {0, 1, 2, 3, 4, 5, 6, 7, 8, 9, 10, 11}, 0)),
    IF(
      DATEDIF($B85, TODAY(), "M") + 1 &gt;= COLUMN(N:N) - 5,
      INDEX('Most Recent Import'!$F85:$Q85, 1, MATCH(DATEDIF($B85, TODAY(), "M") + 1 - (COLUMN(N:N) - 5), {0, 1, 2, 3, 4, 5, 6, 7, 8, 9, 10, 11}, 0)),
      ""
    )
  )
</f>
        <v/>
      </c>
      <c r="O85" s="412" t="str">
        <f t="array" ref="O85">IF(
    DATEDIF($B85, TODAY(), "M") &gt;= 11,
    INDEX('Most Recent Import'!$F85:$Q85, 1, MATCH(11 - (COLUMN(O:O) - 5), {0, 1, 2, 3, 4, 5, 6, 7, 8, 9, 10, 11}, 0)),
    IF(
      DATEDIF($B85, TODAY(), "M") + 1 &gt;= COLUMN(O:O) - 5,
      INDEX('Most Recent Import'!$F85:$Q85, 1, MATCH(DATEDIF($B85, TODAY(), "M") + 1 - (COLUMN(O:O) - 5), {0, 1, 2, 3, 4, 5, 6, 7, 8, 9, 10, 11}, 0)),
      ""
    )
  )
</f>
        <v/>
      </c>
      <c r="P85" s="412" t="str">
        <f t="array" ref="P85">IF(
    DATEDIF($B85, TODAY(), "M") &gt;= 11,
    INDEX('Most Recent Import'!$F85:$Q85, 1, MATCH(11 - (COLUMN(P:P) - 5), {0, 1, 2, 3, 4, 5, 6, 7, 8, 9, 10, 11}, 0)),
    IF(
      DATEDIF($B85, TODAY(), "M") + 1 &gt;= COLUMN(P:P) - 5,
      INDEX('Most Recent Import'!$F85:$Q85, 1, MATCH(DATEDIF($B85, TODAY(), "M") + 1 - (COLUMN(P:P) - 5), {0, 1, 2, 3, 4, 5, 6, 7, 8, 9, 10, 11}, 0)),
      ""
    )
  )
</f>
        <v/>
      </c>
    </row>
    <row r="86">
      <c r="A86" s="412" t="str">
        <f>'Most Recent Import'!A86</f>
        <v/>
      </c>
      <c r="B86" s="412" t="str">
        <f>IF(ISBLANK(A86), "", DATE(LEFT('Most Recent Import'!C86, 4), RIGHT('Most Recent Import'!C86, 2), 1))</f>
        <v/>
      </c>
      <c r="C86" s="414" t="str">
        <f>'Most Recent Import'!B86</f>
        <v/>
      </c>
      <c r="D86" s="412" t="str">
        <f>'Most Recent Import'!D86</f>
        <v/>
      </c>
      <c r="E86" s="412" t="str">
        <f t="array" ref="E86">IF(
    DATEDIF($B86, TODAY(), "M") &gt;= 11,
    INDEX('Most Recent Import'!$F86:$Q86, 1, MATCH(11 - (COLUMN(E:E) - 5), {0, 1, 2, 3, 4, 5, 6, 7, 8, 9, 10, 11}, 0)),
    IF(
      DATEDIF($B86, TODAY(), "M") + 1 &gt;= COLUMN(E:E) - 5,
      INDEX('Most Recent Import'!$F86:$Q86, 1, MATCH(DATEDIF($B86, TODAY(), "M") + 1 - (COLUMN(E:E) - 5), {0, 1, 2, 3, 4, 5, 6, 7, 8, 9, 10, 11}, 0)),
      ""
    )
  )
</f>
        <v/>
      </c>
      <c r="F86" s="412" t="str">
        <f t="array" ref="F86">IF(
    DATEDIF($B86, TODAY(), "M") &gt;= 11,
    INDEX('Most Recent Import'!$F86:$Q86, 1, MATCH(11 - (COLUMN(F:F) - 5), {0, 1, 2, 3, 4, 5, 6, 7, 8, 9, 10, 11}, 0)),
    IF(
      DATEDIF($B86, TODAY(), "M") + 1 &gt;= COLUMN(F:F) - 5,
      INDEX('Most Recent Import'!$F86:$Q86, 1, MATCH(DATEDIF($B86, TODAY(), "M") + 1 - (COLUMN(F:F) - 5), {0, 1, 2, 3, 4, 5, 6, 7, 8, 9, 10, 11}, 0)),
      ""
    )
  )
</f>
        <v/>
      </c>
      <c r="G86" s="412" t="str">
        <f t="array" ref="G86">IF(
    DATEDIF($B86, TODAY(), "M") &gt;= 11,
    INDEX('Most Recent Import'!$F86:$Q86, 1, MATCH(11 - (COLUMN(G:G) - 5), {0, 1, 2, 3, 4, 5, 6, 7, 8, 9, 10, 11}, 0)),
    IF(
      DATEDIF($B86, TODAY(), "M") + 1 &gt;= COLUMN(G:G) - 5,
      INDEX('Most Recent Import'!$F86:$Q86, 1, MATCH(DATEDIF($B86, TODAY(), "M") + 1 - (COLUMN(G:G) - 5), {0, 1, 2, 3, 4, 5, 6, 7, 8, 9, 10, 11}, 0)),
      ""
    )
  )
</f>
        <v/>
      </c>
      <c r="H86" s="412" t="str">
        <f t="array" ref="H86">IF(
    DATEDIF($B86, TODAY(), "M") &gt;= 11,
    INDEX('Most Recent Import'!$F86:$Q86, 1, MATCH(11 - (COLUMN(H:H) - 5), {0, 1, 2, 3, 4, 5, 6, 7, 8, 9, 10, 11}, 0)),
    IF(
      DATEDIF($B86, TODAY(), "M") + 1 &gt;= COLUMN(H:H) - 5,
      INDEX('Most Recent Import'!$F86:$Q86, 1, MATCH(DATEDIF($B86, TODAY(), "M") + 1 - (COLUMN(H:H) - 5), {0, 1, 2, 3, 4, 5, 6, 7, 8, 9, 10, 11}, 0)),
      ""
    )
  )
</f>
        <v/>
      </c>
      <c r="I86" s="412" t="str">
        <f t="array" ref="I86">IF(
    DATEDIF($B86, TODAY(), "M") &gt;= 11,
    INDEX('Most Recent Import'!$F86:$Q86, 1, MATCH(11 - (COLUMN(I:I) - 5), {0, 1, 2, 3, 4, 5, 6, 7, 8, 9, 10, 11}, 0)),
    IF(
      DATEDIF($B86, TODAY(), "M") + 1 &gt;= COLUMN(I:I) - 5,
      INDEX('Most Recent Import'!$F86:$Q86, 1, MATCH(DATEDIF($B86, TODAY(), "M") + 1 - (COLUMN(I:I) - 5), {0, 1, 2, 3, 4, 5, 6, 7, 8, 9, 10, 11}, 0)),
      ""
    )
  )
</f>
        <v/>
      </c>
      <c r="J86" s="412" t="str">
        <f t="array" ref="J86">IF(
    DATEDIF($B86, TODAY(), "M") &gt;= 11,
    INDEX('Most Recent Import'!$F86:$Q86, 1, MATCH(11 - (COLUMN(J:J) - 5), {0, 1, 2, 3, 4, 5, 6, 7, 8, 9, 10, 11}, 0)),
    IF(
      DATEDIF($B86, TODAY(), "M") + 1 &gt;= COLUMN(J:J) - 5,
      INDEX('Most Recent Import'!$F86:$Q86, 1, MATCH(DATEDIF($B86, TODAY(), "M") + 1 - (COLUMN(J:J) - 5), {0, 1, 2, 3, 4, 5, 6, 7, 8, 9, 10, 11}, 0)),
      ""
    )
  )
</f>
        <v/>
      </c>
      <c r="K86" s="412" t="str">
        <f t="array" ref="K86">IF(
    DATEDIF($B86, TODAY(), "M") &gt;= 11,
    INDEX('Most Recent Import'!$F86:$Q86, 1, MATCH(11 - (COLUMN(K:K) - 5), {0, 1, 2, 3, 4, 5, 6, 7, 8, 9, 10, 11}, 0)),
    IF(
      DATEDIF($B86, TODAY(), "M") + 1 &gt;= COLUMN(K:K) - 5,
      INDEX('Most Recent Import'!$F86:$Q86, 1, MATCH(DATEDIF($B86, TODAY(), "M") + 1 - (COLUMN(K:K) - 5), {0, 1, 2, 3, 4, 5, 6, 7, 8, 9, 10, 11}, 0)),
      ""
    )
  )
</f>
        <v/>
      </c>
      <c r="L86" s="412" t="str">
        <f t="array" ref="L86">IF(
    DATEDIF($B86, TODAY(), "M") &gt;= 11,
    INDEX('Most Recent Import'!$F86:$Q86, 1, MATCH(11 - (COLUMN(L:L) - 5), {0, 1, 2, 3, 4, 5, 6, 7, 8, 9, 10, 11}, 0)),
    IF(
      DATEDIF($B86, TODAY(), "M") + 1 &gt;= COLUMN(L:L) - 5,
      INDEX('Most Recent Import'!$F86:$Q86, 1, MATCH(DATEDIF($B86, TODAY(), "M") + 1 - (COLUMN(L:L) - 5), {0, 1, 2, 3, 4, 5, 6, 7, 8, 9, 10, 11}, 0)),
      ""
    )
  )
</f>
        <v/>
      </c>
      <c r="M86" s="412" t="str">
        <f t="array" ref="M86">IF(
    DATEDIF($B86, TODAY(), "M") &gt;= 11,
    INDEX('Most Recent Import'!$F86:$Q86, 1, MATCH(11 - (COLUMN(M:M) - 5), {0, 1, 2, 3, 4, 5, 6, 7, 8, 9, 10, 11}, 0)),
    IF(
      DATEDIF($B86, TODAY(), "M") + 1 &gt;= COLUMN(M:M) - 5,
      INDEX('Most Recent Import'!$F86:$Q86, 1, MATCH(DATEDIF($B86, TODAY(), "M") + 1 - (COLUMN(M:M) - 5), {0, 1, 2, 3, 4, 5, 6, 7, 8, 9, 10, 11}, 0)),
      ""
    )
  )
</f>
        <v/>
      </c>
      <c r="N86" s="412" t="str">
        <f t="array" ref="N86">IF(
    DATEDIF($B86, TODAY(), "M") &gt;= 11,
    INDEX('Most Recent Import'!$F86:$Q86, 1, MATCH(11 - (COLUMN(N:N) - 5), {0, 1, 2, 3, 4, 5, 6, 7, 8, 9, 10, 11}, 0)),
    IF(
      DATEDIF($B86, TODAY(), "M") + 1 &gt;= COLUMN(N:N) - 5,
      INDEX('Most Recent Import'!$F86:$Q86, 1, MATCH(DATEDIF($B86, TODAY(), "M") + 1 - (COLUMN(N:N) - 5), {0, 1, 2, 3, 4, 5, 6, 7, 8, 9, 10, 11}, 0)),
      ""
    )
  )
</f>
        <v/>
      </c>
      <c r="O86" s="412" t="str">
        <f t="array" ref="O86">IF(
    DATEDIF($B86, TODAY(), "M") &gt;= 11,
    INDEX('Most Recent Import'!$F86:$Q86, 1, MATCH(11 - (COLUMN(O:O) - 5), {0, 1, 2, 3, 4, 5, 6, 7, 8, 9, 10, 11}, 0)),
    IF(
      DATEDIF($B86, TODAY(), "M") + 1 &gt;= COLUMN(O:O) - 5,
      INDEX('Most Recent Import'!$F86:$Q86, 1, MATCH(DATEDIF($B86, TODAY(), "M") + 1 - (COLUMN(O:O) - 5), {0, 1, 2, 3, 4, 5, 6, 7, 8, 9, 10, 11}, 0)),
      ""
    )
  )
</f>
        <v/>
      </c>
      <c r="P86" s="412" t="str">
        <f t="array" ref="P86">IF(
    DATEDIF($B86, TODAY(), "M") &gt;= 11,
    INDEX('Most Recent Import'!$F86:$Q86, 1, MATCH(11 - (COLUMN(P:P) - 5), {0, 1, 2, 3, 4, 5, 6, 7, 8, 9, 10, 11}, 0)),
    IF(
      DATEDIF($B86, TODAY(), "M") + 1 &gt;= COLUMN(P:P) - 5,
      INDEX('Most Recent Import'!$F86:$Q86, 1, MATCH(DATEDIF($B86, TODAY(), "M") + 1 - (COLUMN(P:P) - 5), {0, 1, 2, 3, 4, 5, 6, 7, 8, 9, 10, 11}, 0)),
      ""
    )
  )
</f>
        <v/>
      </c>
    </row>
    <row r="87">
      <c r="A87" s="412" t="str">
        <f>'Most Recent Import'!A87</f>
        <v/>
      </c>
      <c r="B87" s="412" t="str">
        <f>IF(ISBLANK(A87), "", DATE(LEFT('Most Recent Import'!C87, 4), RIGHT('Most Recent Import'!C87, 2), 1))</f>
        <v/>
      </c>
      <c r="C87" s="414" t="str">
        <f>'Most Recent Import'!B87</f>
        <v/>
      </c>
      <c r="D87" s="412" t="str">
        <f>'Most Recent Import'!D87</f>
        <v/>
      </c>
      <c r="E87" s="412" t="str">
        <f t="array" ref="E87">IF(
    DATEDIF($B87, TODAY(), "M") &gt;= 11,
    INDEX('Most Recent Import'!$F87:$Q87, 1, MATCH(11 - (COLUMN(E:E) - 5), {0, 1, 2, 3, 4, 5, 6, 7, 8, 9, 10, 11}, 0)),
    IF(
      DATEDIF($B87, TODAY(), "M") + 1 &gt;= COLUMN(E:E) - 5,
      INDEX('Most Recent Import'!$F87:$Q87, 1, MATCH(DATEDIF($B87, TODAY(), "M") + 1 - (COLUMN(E:E) - 5), {0, 1, 2, 3, 4, 5, 6, 7, 8, 9, 10, 11}, 0)),
      ""
    )
  )
</f>
        <v/>
      </c>
      <c r="F87" s="412" t="str">
        <f t="array" ref="F87">IF(
    DATEDIF($B87, TODAY(), "M") &gt;= 11,
    INDEX('Most Recent Import'!$F87:$Q87, 1, MATCH(11 - (COLUMN(F:F) - 5), {0, 1, 2, 3, 4, 5, 6, 7, 8, 9, 10, 11}, 0)),
    IF(
      DATEDIF($B87, TODAY(), "M") + 1 &gt;= COLUMN(F:F) - 5,
      INDEX('Most Recent Import'!$F87:$Q87, 1, MATCH(DATEDIF($B87, TODAY(), "M") + 1 - (COLUMN(F:F) - 5), {0, 1, 2, 3, 4, 5, 6, 7, 8, 9, 10, 11}, 0)),
      ""
    )
  )
</f>
        <v/>
      </c>
      <c r="G87" s="412" t="str">
        <f t="array" ref="G87">IF(
    DATEDIF($B87, TODAY(), "M") &gt;= 11,
    INDEX('Most Recent Import'!$F87:$Q87, 1, MATCH(11 - (COLUMN(G:G) - 5), {0, 1, 2, 3, 4, 5, 6, 7, 8, 9, 10, 11}, 0)),
    IF(
      DATEDIF($B87, TODAY(), "M") + 1 &gt;= COLUMN(G:G) - 5,
      INDEX('Most Recent Import'!$F87:$Q87, 1, MATCH(DATEDIF($B87, TODAY(), "M") + 1 - (COLUMN(G:G) - 5), {0, 1, 2, 3, 4, 5, 6, 7, 8, 9, 10, 11}, 0)),
      ""
    )
  )
</f>
        <v/>
      </c>
      <c r="H87" s="412" t="str">
        <f t="array" ref="H87">IF(
    DATEDIF($B87, TODAY(), "M") &gt;= 11,
    INDEX('Most Recent Import'!$F87:$Q87, 1, MATCH(11 - (COLUMN(H:H) - 5), {0, 1, 2, 3, 4, 5, 6, 7, 8, 9, 10, 11}, 0)),
    IF(
      DATEDIF($B87, TODAY(), "M") + 1 &gt;= COLUMN(H:H) - 5,
      INDEX('Most Recent Import'!$F87:$Q87, 1, MATCH(DATEDIF($B87, TODAY(), "M") + 1 - (COLUMN(H:H) - 5), {0, 1, 2, 3, 4, 5, 6, 7, 8, 9, 10, 11}, 0)),
      ""
    )
  )
</f>
        <v/>
      </c>
      <c r="I87" s="412" t="str">
        <f t="array" ref="I87">IF(
    DATEDIF($B87, TODAY(), "M") &gt;= 11,
    INDEX('Most Recent Import'!$F87:$Q87, 1, MATCH(11 - (COLUMN(I:I) - 5), {0, 1, 2, 3, 4, 5, 6, 7, 8, 9, 10, 11}, 0)),
    IF(
      DATEDIF($B87, TODAY(), "M") + 1 &gt;= COLUMN(I:I) - 5,
      INDEX('Most Recent Import'!$F87:$Q87, 1, MATCH(DATEDIF($B87, TODAY(), "M") + 1 - (COLUMN(I:I) - 5), {0, 1, 2, 3, 4, 5, 6, 7, 8, 9, 10, 11}, 0)),
      ""
    )
  )
</f>
        <v/>
      </c>
      <c r="J87" s="412" t="str">
        <f t="array" ref="J87">IF(
    DATEDIF($B87, TODAY(), "M") &gt;= 11,
    INDEX('Most Recent Import'!$F87:$Q87, 1, MATCH(11 - (COLUMN(J:J) - 5), {0, 1, 2, 3, 4, 5, 6, 7, 8, 9, 10, 11}, 0)),
    IF(
      DATEDIF($B87, TODAY(), "M") + 1 &gt;= COLUMN(J:J) - 5,
      INDEX('Most Recent Import'!$F87:$Q87, 1, MATCH(DATEDIF($B87, TODAY(), "M") + 1 - (COLUMN(J:J) - 5), {0, 1, 2, 3, 4, 5, 6, 7, 8, 9, 10, 11}, 0)),
      ""
    )
  )
</f>
        <v/>
      </c>
      <c r="K87" s="412" t="str">
        <f t="array" ref="K87">IF(
    DATEDIF($B87, TODAY(), "M") &gt;= 11,
    INDEX('Most Recent Import'!$F87:$Q87, 1, MATCH(11 - (COLUMN(K:K) - 5), {0, 1, 2, 3, 4, 5, 6, 7, 8, 9, 10, 11}, 0)),
    IF(
      DATEDIF($B87, TODAY(), "M") + 1 &gt;= COLUMN(K:K) - 5,
      INDEX('Most Recent Import'!$F87:$Q87, 1, MATCH(DATEDIF($B87, TODAY(), "M") + 1 - (COLUMN(K:K) - 5), {0, 1, 2, 3, 4, 5, 6, 7, 8, 9, 10, 11}, 0)),
      ""
    )
  )
</f>
        <v/>
      </c>
      <c r="L87" s="412" t="str">
        <f t="array" ref="L87">IF(
    DATEDIF($B87, TODAY(), "M") &gt;= 11,
    INDEX('Most Recent Import'!$F87:$Q87, 1, MATCH(11 - (COLUMN(L:L) - 5), {0, 1, 2, 3, 4, 5, 6, 7, 8, 9, 10, 11}, 0)),
    IF(
      DATEDIF($B87, TODAY(), "M") + 1 &gt;= COLUMN(L:L) - 5,
      INDEX('Most Recent Import'!$F87:$Q87, 1, MATCH(DATEDIF($B87, TODAY(), "M") + 1 - (COLUMN(L:L) - 5), {0, 1, 2, 3, 4, 5, 6, 7, 8, 9, 10, 11}, 0)),
      ""
    )
  )
</f>
        <v/>
      </c>
      <c r="M87" s="412" t="str">
        <f t="array" ref="M87">IF(
    DATEDIF($B87, TODAY(), "M") &gt;= 11,
    INDEX('Most Recent Import'!$F87:$Q87, 1, MATCH(11 - (COLUMN(M:M) - 5), {0, 1, 2, 3, 4, 5, 6, 7, 8, 9, 10, 11}, 0)),
    IF(
      DATEDIF($B87, TODAY(), "M") + 1 &gt;= COLUMN(M:M) - 5,
      INDEX('Most Recent Import'!$F87:$Q87, 1, MATCH(DATEDIF($B87, TODAY(), "M") + 1 - (COLUMN(M:M) - 5), {0, 1, 2, 3, 4, 5, 6, 7, 8, 9, 10, 11}, 0)),
      ""
    )
  )
</f>
        <v/>
      </c>
      <c r="N87" s="412" t="str">
        <f t="array" ref="N87">IF(
    DATEDIF($B87, TODAY(), "M") &gt;= 11,
    INDEX('Most Recent Import'!$F87:$Q87, 1, MATCH(11 - (COLUMN(N:N) - 5), {0, 1, 2, 3, 4, 5, 6, 7, 8, 9, 10, 11}, 0)),
    IF(
      DATEDIF($B87, TODAY(), "M") + 1 &gt;= COLUMN(N:N) - 5,
      INDEX('Most Recent Import'!$F87:$Q87, 1, MATCH(DATEDIF($B87, TODAY(), "M") + 1 - (COLUMN(N:N) - 5), {0, 1, 2, 3, 4, 5, 6, 7, 8, 9, 10, 11}, 0)),
      ""
    )
  )
</f>
        <v/>
      </c>
      <c r="O87" s="412" t="str">
        <f t="array" ref="O87">IF(
    DATEDIF($B87, TODAY(), "M") &gt;= 11,
    INDEX('Most Recent Import'!$F87:$Q87, 1, MATCH(11 - (COLUMN(O:O) - 5), {0, 1, 2, 3, 4, 5, 6, 7, 8, 9, 10, 11}, 0)),
    IF(
      DATEDIF($B87, TODAY(), "M") + 1 &gt;= COLUMN(O:O) - 5,
      INDEX('Most Recent Import'!$F87:$Q87, 1, MATCH(DATEDIF($B87, TODAY(), "M") + 1 - (COLUMN(O:O) - 5), {0, 1, 2, 3, 4, 5, 6, 7, 8, 9, 10, 11}, 0)),
      ""
    )
  )
</f>
        <v/>
      </c>
      <c r="P87" s="412" t="str">
        <f t="array" ref="P87">IF(
    DATEDIF($B87, TODAY(), "M") &gt;= 11,
    INDEX('Most Recent Import'!$F87:$Q87, 1, MATCH(11 - (COLUMN(P:P) - 5), {0, 1, 2, 3, 4, 5, 6, 7, 8, 9, 10, 11}, 0)),
    IF(
      DATEDIF($B87, TODAY(), "M") + 1 &gt;= COLUMN(P:P) - 5,
      INDEX('Most Recent Import'!$F87:$Q87, 1, MATCH(DATEDIF($B87, TODAY(), "M") + 1 - (COLUMN(P:P) - 5), {0, 1, 2, 3, 4, 5, 6, 7, 8, 9, 10, 11}, 0)),
      ""
    )
  )
</f>
        <v/>
      </c>
    </row>
    <row r="88">
      <c r="A88" s="412" t="str">
        <f>'Most Recent Import'!A88</f>
        <v/>
      </c>
      <c r="B88" s="412" t="str">
        <f>IF(ISBLANK(A88), "", DATE(LEFT('Most Recent Import'!C88, 4), RIGHT('Most Recent Import'!C88, 2), 1))</f>
        <v/>
      </c>
      <c r="C88" s="414" t="str">
        <f>'Most Recent Import'!B88</f>
        <v/>
      </c>
      <c r="D88" s="412" t="str">
        <f>'Most Recent Import'!D88</f>
        <v/>
      </c>
      <c r="E88" s="412" t="str">
        <f t="array" ref="E88">IF(
    DATEDIF($B88, TODAY(), "M") &gt;= 11,
    INDEX('Most Recent Import'!$F88:$Q88, 1, MATCH(11 - (COLUMN(E:E) - 5), {0, 1, 2, 3, 4, 5, 6, 7, 8, 9, 10, 11}, 0)),
    IF(
      DATEDIF($B88, TODAY(), "M") + 1 &gt;= COLUMN(E:E) - 5,
      INDEX('Most Recent Import'!$F88:$Q88, 1, MATCH(DATEDIF($B88, TODAY(), "M") + 1 - (COLUMN(E:E) - 5), {0, 1, 2, 3, 4, 5, 6, 7, 8, 9, 10, 11}, 0)),
      ""
    )
  )
</f>
        <v/>
      </c>
      <c r="F88" s="412" t="str">
        <f t="array" ref="F88">IF(
    DATEDIF($B88, TODAY(), "M") &gt;= 11,
    INDEX('Most Recent Import'!$F88:$Q88, 1, MATCH(11 - (COLUMN(F:F) - 5), {0, 1, 2, 3, 4, 5, 6, 7, 8, 9, 10, 11}, 0)),
    IF(
      DATEDIF($B88, TODAY(), "M") + 1 &gt;= COLUMN(F:F) - 5,
      INDEX('Most Recent Import'!$F88:$Q88, 1, MATCH(DATEDIF($B88, TODAY(), "M") + 1 - (COLUMN(F:F) - 5), {0, 1, 2, 3, 4, 5, 6, 7, 8, 9, 10, 11}, 0)),
      ""
    )
  )
</f>
        <v/>
      </c>
      <c r="G88" s="412" t="str">
        <f t="array" ref="G88">IF(
    DATEDIF($B88, TODAY(), "M") &gt;= 11,
    INDEX('Most Recent Import'!$F88:$Q88, 1, MATCH(11 - (COLUMN(G:G) - 5), {0, 1, 2, 3, 4, 5, 6, 7, 8, 9, 10, 11}, 0)),
    IF(
      DATEDIF($B88, TODAY(), "M") + 1 &gt;= COLUMN(G:G) - 5,
      INDEX('Most Recent Import'!$F88:$Q88, 1, MATCH(DATEDIF($B88, TODAY(), "M") + 1 - (COLUMN(G:G) - 5), {0, 1, 2, 3, 4, 5, 6, 7, 8, 9, 10, 11}, 0)),
      ""
    )
  )
</f>
        <v/>
      </c>
      <c r="H88" s="412" t="str">
        <f t="array" ref="H88">IF(
    DATEDIF($B88, TODAY(), "M") &gt;= 11,
    INDEX('Most Recent Import'!$F88:$Q88, 1, MATCH(11 - (COLUMN(H:H) - 5), {0, 1, 2, 3, 4, 5, 6, 7, 8, 9, 10, 11}, 0)),
    IF(
      DATEDIF($B88, TODAY(), "M") + 1 &gt;= COLUMN(H:H) - 5,
      INDEX('Most Recent Import'!$F88:$Q88, 1, MATCH(DATEDIF($B88, TODAY(), "M") + 1 - (COLUMN(H:H) - 5), {0, 1, 2, 3, 4, 5, 6, 7, 8, 9, 10, 11}, 0)),
      ""
    )
  )
</f>
        <v/>
      </c>
      <c r="I88" s="412" t="str">
        <f t="array" ref="I88">IF(
    DATEDIF($B88, TODAY(), "M") &gt;= 11,
    INDEX('Most Recent Import'!$F88:$Q88, 1, MATCH(11 - (COLUMN(I:I) - 5), {0, 1, 2, 3, 4, 5, 6, 7, 8, 9, 10, 11}, 0)),
    IF(
      DATEDIF($B88, TODAY(), "M") + 1 &gt;= COLUMN(I:I) - 5,
      INDEX('Most Recent Import'!$F88:$Q88, 1, MATCH(DATEDIF($B88, TODAY(), "M") + 1 - (COLUMN(I:I) - 5), {0, 1, 2, 3, 4, 5, 6, 7, 8, 9, 10, 11}, 0)),
      ""
    )
  )
</f>
        <v/>
      </c>
      <c r="J88" s="412" t="str">
        <f t="array" ref="J88">IF(
    DATEDIF($B88, TODAY(), "M") &gt;= 11,
    INDEX('Most Recent Import'!$F88:$Q88, 1, MATCH(11 - (COLUMN(J:J) - 5), {0, 1, 2, 3, 4, 5, 6, 7, 8, 9, 10, 11}, 0)),
    IF(
      DATEDIF($B88, TODAY(), "M") + 1 &gt;= COLUMN(J:J) - 5,
      INDEX('Most Recent Import'!$F88:$Q88, 1, MATCH(DATEDIF($B88, TODAY(), "M") + 1 - (COLUMN(J:J) - 5), {0, 1, 2, 3, 4, 5, 6, 7, 8, 9, 10, 11}, 0)),
      ""
    )
  )
</f>
        <v/>
      </c>
      <c r="K88" s="412" t="str">
        <f t="array" ref="K88">IF(
    DATEDIF($B88, TODAY(), "M") &gt;= 11,
    INDEX('Most Recent Import'!$F88:$Q88, 1, MATCH(11 - (COLUMN(K:K) - 5), {0, 1, 2, 3, 4, 5, 6, 7, 8, 9, 10, 11}, 0)),
    IF(
      DATEDIF($B88, TODAY(), "M") + 1 &gt;= COLUMN(K:K) - 5,
      INDEX('Most Recent Import'!$F88:$Q88, 1, MATCH(DATEDIF($B88, TODAY(), "M") + 1 - (COLUMN(K:K) - 5), {0, 1, 2, 3, 4, 5, 6, 7, 8, 9, 10, 11}, 0)),
      ""
    )
  )
</f>
        <v/>
      </c>
      <c r="L88" s="412" t="str">
        <f t="array" ref="L88">IF(
    DATEDIF($B88, TODAY(), "M") &gt;= 11,
    INDEX('Most Recent Import'!$F88:$Q88, 1, MATCH(11 - (COLUMN(L:L) - 5), {0, 1, 2, 3, 4, 5, 6, 7, 8, 9, 10, 11}, 0)),
    IF(
      DATEDIF($B88, TODAY(), "M") + 1 &gt;= COLUMN(L:L) - 5,
      INDEX('Most Recent Import'!$F88:$Q88, 1, MATCH(DATEDIF($B88, TODAY(), "M") + 1 - (COLUMN(L:L) - 5), {0, 1, 2, 3, 4, 5, 6, 7, 8, 9, 10, 11}, 0)),
      ""
    )
  )
</f>
        <v/>
      </c>
      <c r="M88" s="412" t="str">
        <f t="array" ref="M88">IF(
    DATEDIF($B88, TODAY(), "M") &gt;= 11,
    INDEX('Most Recent Import'!$F88:$Q88, 1, MATCH(11 - (COLUMN(M:M) - 5), {0, 1, 2, 3, 4, 5, 6, 7, 8, 9, 10, 11}, 0)),
    IF(
      DATEDIF($B88, TODAY(), "M") + 1 &gt;= COLUMN(M:M) - 5,
      INDEX('Most Recent Import'!$F88:$Q88, 1, MATCH(DATEDIF($B88, TODAY(), "M") + 1 - (COLUMN(M:M) - 5), {0, 1, 2, 3, 4, 5, 6, 7, 8, 9, 10, 11}, 0)),
      ""
    )
  )
</f>
        <v/>
      </c>
      <c r="N88" s="412" t="str">
        <f t="array" ref="N88">IF(
    DATEDIF($B88, TODAY(), "M") &gt;= 11,
    INDEX('Most Recent Import'!$F88:$Q88, 1, MATCH(11 - (COLUMN(N:N) - 5), {0, 1, 2, 3, 4, 5, 6, 7, 8, 9, 10, 11}, 0)),
    IF(
      DATEDIF($B88, TODAY(), "M") + 1 &gt;= COLUMN(N:N) - 5,
      INDEX('Most Recent Import'!$F88:$Q88, 1, MATCH(DATEDIF($B88, TODAY(), "M") + 1 - (COLUMN(N:N) - 5), {0, 1, 2, 3, 4, 5, 6, 7, 8, 9, 10, 11}, 0)),
      ""
    )
  )
</f>
        <v/>
      </c>
      <c r="O88" s="412" t="str">
        <f t="array" ref="O88">IF(
    DATEDIF($B88, TODAY(), "M") &gt;= 11,
    INDEX('Most Recent Import'!$F88:$Q88, 1, MATCH(11 - (COLUMN(O:O) - 5), {0, 1, 2, 3, 4, 5, 6, 7, 8, 9, 10, 11}, 0)),
    IF(
      DATEDIF($B88, TODAY(), "M") + 1 &gt;= COLUMN(O:O) - 5,
      INDEX('Most Recent Import'!$F88:$Q88, 1, MATCH(DATEDIF($B88, TODAY(), "M") + 1 - (COLUMN(O:O) - 5), {0, 1, 2, 3, 4, 5, 6, 7, 8, 9, 10, 11}, 0)),
      ""
    )
  )
</f>
        <v/>
      </c>
      <c r="P88" s="412" t="str">
        <f t="array" ref="P88">IF(
    DATEDIF($B88, TODAY(), "M") &gt;= 11,
    INDEX('Most Recent Import'!$F88:$Q88, 1, MATCH(11 - (COLUMN(P:P) - 5), {0, 1, 2, 3, 4, 5, 6, 7, 8, 9, 10, 11}, 0)),
    IF(
      DATEDIF($B88, TODAY(), "M") + 1 &gt;= COLUMN(P:P) - 5,
      INDEX('Most Recent Import'!$F88:$Q88, 1, MATCH(DATEDIF($B88, TODAY(), "M") + 1 - (COLUMN(P:P) - 5), {0, 1, 2, 3, 4, 5, 6, 7, 8, 9, 10, 11}, 0)),
      ""
    )
  )
</f>
        <v/>
      </c>
    </row>
    <row r="89">
      <c r="A89" s="412" t="str">
        <f>'Most Recent Import'!A89</f>
        <v/>
      </c>
      <c r="B89" s="412" t="str">
        <f>IF(ISBLANK(A89), "", DATE(LEFT('Most Recent Import'!C89, 4), RIGHT('Most Recent Import'!C89, 2), 1))</f>
        <v/>
      </c>
      <c r="C89" s="414" t="str">
        <f>'Most Recent Import'!B89</f>
        <v/>
      </c>
      <c r="D89" s="412" t="str">
        <f>'Most Recent Import'!D89</f>
        <v/>
      </c>
      <c r="E89" s="412" t="str">
        <f t="array" ref="E89">IF(
    DATEDIF($B89, TODAY(), "M") &gt;= 11,
    INDEX('Most Recent Import'!$F89:$Q89, 1, MATCH(11 - (COLUMN(E:E) - 5), {0, 1, 2, 3, 4, 5, 6, 7, 8, 9, 10, 11}, 0)),
    IF(
      DATEDIF($B89, TODAY(), "M") + 1 &gt;= COLUMN(E:E) - 5,
      INDEX('Most Recent Import'!$F89:$Q89, 1, MATCH(DATEDIF($B89, TODAY(), "M") + 1 - (COLUMN(E:E) - 5), {0, 1, 2, 3, 4, 5, 6, 7, 8, 9, 10, 11}, 0)),
      ""
    )
  )
</f>
        <v/>
      </c>
      <c r="F89" s="412" t="str">
        <f t="array" ref="F89">IF(
    DATEDIF($B89, TODAY(), "M") &gt;= 11,
    INDEX('Most Recent Import'!$F89:$Q89, 1, MATCH(11 - (COLUMN(F:F) - 5), {0, 1, 2, 3, 4, 5, 6, 7, 8, 9, 10, 11}, 0)),
    IF(
      DATEDIF($B89, TODAY(), "M") + 1 &gt;= COLUMN(F:F) - 5,
      INDEX('Most Recent Import'!$F89:$Q89, 1, MATCH(DATEDIF($B89, TODAY(), "M") + 1 - (COLUMN(F:F) - 5), {0, 1, 2, 3, 4, 5, 6, 7, 8, 9, 10, 11}, 0)),
      ""
    )
  )
</f>
        <v/>
      </c>
      <c r="G89" s="412" t="str">
        <f t="array" ref="G89">IF(
    DATEDIF($B89, TODAY(), "M") &gt;= 11,
    INDEX('Most Recent Import'!$F89:$Q89, 1, MATCH(11 - (COLUMN(G:G) - 5), {0, 1, 2, 3, 4, 5, 6, 7, 8, 9, 10, 11}, 0)),
    IF(
      DATEDIF($B89, TODAY(), "M") + 1 &gt;= COLUMN(G:G) - 5,
      INDEX('Most Recent Import'!$F89:$Q89, 1, MATCH(DATEDIF($B89, TODAY(), "M") + 1 - (COLUMN(G:G) - 5), {0, 1, 2, 3, 4, 5, 6, 7, 8, 9, 10, 11}, 0)),
      ""
    )
  )
</f>
        <v/>
      </c>
      <c r="H89" s="412" t="str">
        <f t="array" ref="H89">IF(
    DATEDIF($B89, TODAY(), "M") &gt;= 11,
    INDEX('Most Recent Import'!$F89:$Q89, 1, MATCH(11 - (COLUMN(H:H) - 5), {0, 1, 2, 3, 4, 5, 6, 7, 8, 9, 10, 11}, 0)),
    IF(
      DATEDIF($B89, TODAY(), "M") + 1 &gt;= COLUMN(H:H) - 5,
      INDEX('Most Recent Import'!$F89:$Q89, 1, MATCH(DATEDIF($B89, TODAY(), "M") + 1 - (COLUMN(H:H) - 5), {0, 1, 2, 3, 4, 5, 6, 7, 8, 9, 10, 11}, 0)),
      ""
    )
  )
</f>
        <v/>
      </c>
      <c r="I89" s="412" t="str">
        <f t="array" ref="I89">IF(
    DATEDIF($B89, TODAY(), "M") &gt;= 11,
    INDEX('Most Recent Import'!$F89:$Q89, 1, MATCH(11 - (COLUMN(I:I) - 5), {0, 1, 2, 3, 4, 5, 6, 7, 8, 9, 10, 11}, 0)),
    IF(
      DATEDIF($B89, TODAY(), "M") + 1 &gt;= COLUMN(I:I) - 5,
      INDEX('Most Recent Import'!$F89:$Q89, 1, MATCH(DATEDIF($B89, TODAY(), "M") + 1 - (COLUMN(I:I) - 5), {0, 1, 2, 3, 4, 5, 6, 7, 8, 9, 10, 11}, 0)),
      ""
    )
  )
</f>
        <v/>
      </c>
      <c r="J89" s="412" t="str">
        <f t="array" ref="J89">IF(
    DATEDIF($B89, TODAY(), "M") &gt;= 11,
    INDEX('Most Recent Import'!$F89:$Q89, 1, MATCH(11 - (COLUMN(J:J) - 5), {0, 1, 2, 3, 4, 5, 6, 7, 8, 9, 10, 11}, 0)),
    IF(
      DATEDIF($B89, TODAY(), "M") + 1 &gt;= COLUMN(J:J) - 5,
      INDEX('Most Recent Import'!$F89:$Q89, 1, MATCH(DATEDIF($B89, TODAY(), "M") + 1 - (COLUMN(J:J) - 5), {0, 1, 2, 3, 4, 5, 6, 7, 8, 9, 10, 11}, 0)),
      ""
    )
  )
</f>
        <v/>
      </c>
      <c r="K89" s="412" t="str">
        <f t="array" ref="K89">IF(
    DATEDIF($B89, TODAY(), "M") &gt;= 11,
    INDEX('Most Recent Import'!$F89:$Q89, 1, MATCH(11 - (COLUMN(K:K) - 5), {0, 1, 2, 3, 4, 5, 6, 7, 8, 9, 10, 11}, 0)),
    IF(
      DATEDIF($B89, TODAY(), "M") + 1 &gt;= COLUMN(K:K) - 5,
      INDEX('Most Recent Import'!$F89:$Q89, 1, MATCH(DATEDIF($B89, TODAY(), "M") + 1 - (COLUMN(K:K) - 5), {0, 1, 2, 3, 4, 5, 6, 7, 8, 9, 10, 11}, 0)),
      ""
    )
  )
</f>
        <v/>
      </c>
      <c r="L89" s="412" t="str">
        <f t="array" ref="L89">IF(
    DATEDIF($B89, TODAY(), "M") &gt;= 11,
    INDEX('Most Recent Import'!$F89:$Q89, 1, MATCH(11 - (COLUMN(L:L) - 5), {0, 1, 2, 3, 4, 5, 6, 7, 8, 9, 10, 11}, 0)),
    IF(
      DATEDIF($B89, TODAY(), "M") + 1 &gt;= COLUMN(L:L) - 5,
      INDEX('Most Recent Import'!$F89:$Q89, 1, MATCH(DATEDIF($B89, TODAY(), "M") + 1 - (COLUMN(L:L) - 5), {0, 1, 2, 3, 4, 5, 6, 7, 8, 9, 10, 11}, 0)),
      ""
    )
  )
</f>
        <v/>
      </c>
      <c r="M89" s="412" t="str">
        <f t="array" ref="M89">IF(
    DATEDIF($B89, TODAY(), "M") &gt;= 11,
    INDEX('Most Recent Import'!$F89:$Q89, 1, MATCH(11 - (COLUMN(M:M) - 5), {0, 1, 2, 3, 4, 5, 6, 7, 8, 9, 10, 11}, 0)),
    IF(
      DATEDIF($B89, TODAY(), "M") + 1 &gt;= COLUMN(M:M) - 5,
      INDEX('Most Recent Import'!$F89:$Q89, 1, MATCH(DATEDIF($B89, TODAY(), "M") + 1 - (COLUMN(M:M) - 5), {0, 1, 2, 3, 4, 5, 6, 7, 8, 9, 10, 11}, 0)),
      ""
    )
  )
</f>
        <v/>
      </c>
      <c r="N89" s="412" t="str">
        <f t="array" ref="N89">IF(
    DATEDIF($B89, TODAY(), "M") &gt;= 11,
    INDEX('Most Recent Import'!$F89:$Q89, 1, MATCH(11 - (COLUMN(N:N) - 5), {0, 1, 2, 3, 4, 5, 6, 7, 8, 9, 10, 11}, 0)),
    IF(
      DATEDIF($B89, TODAY(), "M") + 1 &gt;= COLUMN(N:N) - 5,
      INDEX('Most Recent Import'!$F89:$Q89, 1, MATCH(DATEDIF($B89, TODAY(), "M") + 1 - (COLUMN(N:N) - 5), {0, 1, 2, 3, 4, 5, 6, 7, 8, 9, 10, 11}, 0)),
      ""
    )
  )
</f>
        <v/>
      </c>
      <c r="O89" s="412" t="str">
        <f t="array" ref="O89">IF(
    DATEDIF($B89, TODAY(), "M") &gt;= 11,
    INDEX('Most Recent Import'!$F89:$Q89, 1, MATCH(11 - (COLUMN(O:O) - 5), {0, 1, 2, 3, 4, 5, 6, 7, 8, 9, 10, 11}, 0)),
    IF(
      DATEDIF($B89, TODAY(), "M") + 1 &gt;= COLUMN(O:O) - 5,
      INDEX('Most Recent Import'!$F89:$Q89, 1, MATCH(DATEDIF($B89, TODAY(), "M") + 1 - (COLUMN(O:O) - 5), {0, 1, 2, 3, 4, 5, 6, 7, 8, 9, 10, 11}, 0)),
      ""
    )
  )
</f>
        <v/>
      </c>
      <c r="P89" s="412" t="str">
        <f t="array" ref="P89">IF(
    DATEDIF($B89, TODAY(), "M") &gt;= 11,
    INDEX('Most Recent Import'!$F89:$Q89, 1, MATCH(11 - (COLUMN(P:P) - 5), {0, 1, 2, 3, 4, 5, 6, 7, 8, 9, 10, 11}, 0)),
    IF(
      DATEDIF($B89, TODAY(), "M") + 1 &gt;= COLUMN(P:P) - 5,
      INDEX('Most Recent Import'!$F89:$Q89, 1, MATCH(DATEDIF($B89, TODAY(), "M") + 1 - (COLUMN(P:P) - 5), {0, 1, 2, 3, 4, 5, 6, 7, 8, 9, 10, 11}, 0)),
      ""
    )
  )
</f>
        <v/>
      </c>
    </row>
    <row r="90">
      <c r="A90" s="412" t="str">
        <f>'Most Recent Import'!A90</f>
        <v/>
      </c>
      <c r="B90" s="412" t="str">
        <f>IF(ISBLANK(A90), "", DATE(LEFT('Most Recent Import'!C90, 4), RIGHT('Most Recent Import'!C90, 2), 1))</f>
        <v/>
      </c>
      <c r="C90" s="414" t="str">
        <f>'Most Recent Import'!B90</f>
        <v/>
      </c>
      <c r="D90" s="412" t="str">
        <f>'Most Recent Import'!D90</f>
        <v/>
      </c>
      <c r="E90" s="412" t="str">
        <f t="array" ref="E90">IF(
    DATEDIF($B90, TODAY(), "M") &gt;= 11,
    INDEX('Most Recent Import'!$F90:$Q90, 1, MATCH(11 - (COLUMN(E:E) - 5), {0, 1, 2, 3, 4, 5, 6, 7, 8, 9, 10, 11}, 0)),
    IF(
      DATEDIF($B90, TODAY(), "M") + 1 &gt;= COLUMN(E:E) - 5,
      INDEX('Most Recent Import'!$F90:$Q90, 1, MATCH(DATEDIF($B90, TODAY(), "M") + 1 - (COLUMN(E:E) - 5), {0, 1, 2, 3, 4, 5, 6, 7, 8, 9, 10, 11}, 0)),
      ""
    )
  )
</f>
        <v/>
      </c>
      <c r="F90" s="412" t="str">
        <f t="array" ref="F90">IF(
    DATEDIF($B90, TODAY(), "M") &gt;= 11,
    INDEX('Most Recent Import'!$F90:$Q90, 1, MATCH(11 - (COLUMN(F:F) - 5), {0, 1, 2, 3, 4, 5, 6, 7, 8, 9, 10, 11}, 0)),
    IF(
      DATEDIF($B90, TODAY(), "M") + 1 &gt;= COLUMN(F:F) - 5,
      INDEX('Most Recent Import'!$F90:$Q90, 1, MATCH(DATEDIF($B90, TODAY(), "M") + 1 - (COLUMN(F:F) - 5), {0, 1, 2, 3, 4, 5, 6, 7, 8, 9, 10, 11}, 0)),
      ""
    )
  )
</f>
        <v/>
      </c>
      <c r="G90" s="412" t="str">
        <f t="array" ref="G90">IF(
    DATEDIF($B90, TODAY(), "M") &gt;= 11,
    INDEX('Most Recent Import'!$F90:$Q90, 1, MATCH(11 - (COLUMN(G:G) - 5), {0, 1, 2, 3, 4, 5, 6, 7, 8, 9, 10, 11}, 0)),
    IF(
      DATEDIF($B90, TODAY(), "M") + 1 &gt;= COLUMN(G:G) - 5,
      INDEX('Most Recent Import'!$F90:$Q90, 1, MATCH(DATEDIF($B90, TODAY(), "M") + 1 - (COLUMN(G:G) - 5), {0, 1, 2, 3, 4, 5, 6, 7, 8, 9, 10, 11}, 0)),
      ""
    )
  )
</f>
        <v/>
      </c>
      <c r="H90" s="412" t="str">
        <f t="array" ref="H90">IF(
    DATEDIF($B90, TODAY(), "M") &gt;= 11,
    INDEX('Most Recent Import'!$F90:$Q90, 1, MATCH(11 - (COLUMN(H:H) - 5), {0, 1, 2, 3, 4, 5, 6, 7, 8, 9, 10, 11}, 0)),
    IF(
      DATEDIF($B90, TODAY(), "M") + 1 &gt;= COLUMN(H:H) - 5,
      INDEX('Most Recent Import'!$F90:$Q90, 1, MATCH(DATEDIF($B90, TODAY(), "M") + 1 - (COLUMN(H:H) - 5), {0, 1, 2, 3, 4, 5, 6, 7, 8, 9, 10, 11}, 0)),
      ""
    )
  )
</f>
        <v/>
      </c>
      <c r="I90" s="412" t="str">
        <f t="array" ref="I90">IF(
    DATEDIF($B90, TODAY(), "M") &gt;= 11,
    INDEX('Most Recent Import'!$F90:$Q90, 1, MATCH(11 - (COLUMN(I:I) - 5), {0, 1, 2, 3, 4, 5, 6, 7, 8, 9, 10, 11}, 0)),
    IF(
      DATEDIF($B90, TODAY(), "M") + 1 &gt;= COLUMN(I:I) - 5,
      INDEX('Most Recent Import'!$F90:$Q90, 1, MATCH(DATEDIF($B90, TODAY(), "M") + 1 - (COLUMN(I:I) - 5), {0, 1, 2, 3, 4, 5, 6, 7, 8, 9, 10, 11}, 0)),
      ""
    )
  )
</f>
        <v/>
      </c>
      <c r="J90" s="412" t="str">
        <f t="array" ref="J90">IF(
    DATEDIF($B90, TODAY(), "M") &gt;= 11,
    INDEX('Most Recent Import'!$F90:$Q90, 1, MATCH(11 - (COLUMN(J:J) - 5), {0, 1, 2, 3, 4, 5, 6, 7, 8, 9, 10, 11}, 0)),
    IF(
      DATEDIF($B90, TODAY(), "M") + 1 &gt;= COLUMN(J:J) - 5,
      INDEX('Most Recent Import'!$F90:$Q90, 1, MATCH(DATEDIF($B90, TODAY(), "M") + 1 - (COLUMN(J:J) - 5), {0, 1, 2, 3, 4, 5, 6, 7, 8, 9, 10, 11}, 0)),
      ""
    )
  )
</f>
        <v/>
      </c>
      <c r="K90" s="412" t="str">
        <f t="array" ref="K90">IF(
    DATEDIF($B90, TODAY(), "M") &gt;= 11,
    INDEX('Most Recent Import'!$F90:$Q90, 1, MATCH(11 - (COLUMN(K:K) - 5), {0, 1, 2, 3, 4, 5, 6, 7, 8, 9, 10, 11}, 0)),
    IF(
      DATEDIF($B90, TODAY(), "M") + 1 &gt;= COLUMN(K:K) - 5,
      INDEX('Most Recent Import'!$F90:$Q90, 1, MATCH(DATEDIF($B90, TODAY(), "M") + 1 - (COLUMN(K:K) - 5), {0, 1, 2, 3, 4, 5, 6, 7, 8, 9, 10, 11}, 0)),
      ""
    )
  )
</f>
        <v/>
      </c>
      <c r="L90" s="412" t="str">
        <f t="array" ref="L90">IF(
    DATEDIF($B90, TODAY(), "M") &gt;= 11,
    INDEX('Most Recent Import'!$F90:$Q90, 1, MATCH(11 - (COLUMN(L:L) - 5), {0, 1, 2, 3, 4, 5, 6, 7, 8, 9, 10, 11}, 0)),
    IF(
      DATEDIF($B90, TODAY(), "M") + 1 &gt;= COLUMN(L:L) - 5,
      INDEX('Most Recent Import'!$F90:$Q90, 1, MATCH(DATEDIF($B90, TODAY(), "M") + 1 - (COLUMN(L:L) - 5), {0, 1, 2, 3, 4, 5, 6, 7, 8, 9, 10, 11}, 0)),
      ""
    )
  )
</f>
        <v/>
      </c>
      <c r="M90" s="412" t="str">
        <f t="array" ref="M90">IF(
    DATEDIF($B90, TODAY(), "M") &gt;= 11,
    INDEX('Most Recent Import'!$F90:$Q90, 1, MATCH(11 - (COLUMN(M:M) - 5), {0, 1, 2, 3, 4, 5, 6, 7, 8, 9, 10, 11}, 0)),
    IF(
      DATEDIF($B90, TODAY(), "M") + 1 &gt;= COLUMN(M:M) - 5,
      INDEX('Most Recent Import'!$F90:$Q90, 1, MATCH(DATEDIF($B90, TODAY(), "M") + 1 - (COLUMN(M:M) - 5), {0, 1, 2, 3, 4, 5, 6, 7, 8, 9, 10, 11}, 0)),
      ""
    )
  )
</f>
        <v/>
      </c>
      <c r="N90" s="412" t="str">
        <f t="array" ref="N90">IF(
    DATEDIF($B90, TODAY(), "M") &gt;= 11,
    INDEX('Most Recent Import'!$F90:$Q90, 1, MATCH(11 - (COLUMN(N:N) - 5), {0, 1, 2, 3, 4, 5, 6, 7, 8, 9, 10, 11}, 0)),
    IF(
      DATEDIF($B90, TODAY(), "M") + 1 &gt;= COLUMN(N:N) - 5,
      INDEX('Most Recent Import'!$F90:$Q90, 1, MATCH(DATEDIF($B90, TODAY(), "M") + 1 - (COLUMN(N:N) - 5), {0, 1, 2, 3, 4, 5, 6, 7, 8, 9, 10, 11}, 0)),
      ""
    )
  )
</f>
        <v/>
      </c>
      <c r="O90" s="412" t="str">
        <f t="array" ref="O90">IF(
    DATEDIF($B90, TODAY(), "M") &gt;= 11,
    INDEX('Most Recent Import'!$F90:$Q90, 1, MATCH(11 - (COLUMN(O:O) - 5), {0, 1, 2, 3, 4, 5, 6, 7, 8, 9, 10, 11}, 0)),
    IF(
      DATEDIF($B90, TODAY(), "M") + 1 &gt;= COLUMN(O:O) - 5,
      INDEX('Most Recent Import'!$F90:$Q90, 1, MATCH(DATEDIF($B90, TODAY(), "M") + 1 - (COLUMN(O:O) - 5), {0, 1, 2, 3, 4, 5, 6, 7, 8, 9, 10, 11}, 0)),
      ""
    )
  )
</f>
        <v/>
      </c>
      <c r="P90" s="412" t="str">
        <f t="array" ref="P90">IF(
    DATEDIF($B90, TODAY(), "M") &gt;= 11,
    INDEX('Most Recent Import'!$F90:$Q90, 1, MATCH(11 - (COLUMN(P:P) - 5), {0, 1, 2, 3, 4, 5, 6, 7, 8, 9, 10, 11}, 0)),
    IF(
      DATEDIF($B90, TODAY(), "M") + 1 &gt;= COLUMN(P:P) - 5,
      INDEX('Most Recent Import'!$F90:$Q90, 1, MATCH(DATEDIF($B90, TODAY(), "M") + 1 - (COLUMN(P:P) - 5), {0, 1, 2, 3, 4, 5, 6, 7, 8, 9, 10, 11}, 0)),
      ""
    )
  )
</f>
        <v/>
      </c>
    </row>
    <row r="91">
      <c r="A91" s="412" t="str">
        <f>'Most Recent Import'!A91</f>
        <v/>
      </c>
      <c r="B91" s="412" t="str">
        <f>IF(ISBLANK(A91), "", DATE(LEFT('Most Recent Import'!C91, 4), RIGHT('Most Recent Import'!C91, 2), 1))</f>
        <v/>
      </c>
      <c r="C91" s="414" t="str">
        <f>'Most Recent Import'!B91</f>
        <v/>
      </c>
      <c r="D91" s="412" t="str">
        <f>'Most Recent Import'!D91</f>
        <v/>
      </c>
      <c r="E91" s="412" t="str">
        <f t="array" ref="E91">IF(
    DATEDIF($B91, TODAY(), "M") &gt;= 11,
    INDEX('Most Recent Import'!$F91:$Q91, 1, MATCH(11 - (COLUMN(E:E) - 5), {0, 1, 2, 3, 4, 5, 6, 7, 8, 9, 10, 11}, 0)),
    IF(
      DATEDIF($B91, TODAY(), "M") + 1 &gt;= COLUMN(E:E) - 5,
      INDEX('Most Recent Import'!$F91:$Q91, 1, MATCH(DATEDIF($B91, TODAY(), "M") + 1 - (COLUMN(E:E) - 5), {0, 1, 2, 3, 4, 5, 6, 7, 8, 9, 10, 11}, 0)),
      ""
    )
  )
</f>
        <v/>
      </c>
      <c r="F91" s="412" t="str">
        <f t="array" ref="F91">IF(
    DATEDIF($B91, TODAY(), "M") &gt;= 11,
    INDEX('Most Recent Import'!$F91:$Q91, 1, MATCH(11 - (COLUMN(F:F) - 5), {0, 1, 2, 3, 4, 5, 6, 7, 8, 9, 10, 11}, 0)),
    IF(
      DATEDIF($B91, TODAY(), "M") + 1 &gt;= COLUMN(F:F) - 5,
      INDEX('Most Recent Import'!$F91:$Q91, 1, MATCH(DATEDIF($B91, TODAY(), "M") + 1 - (COLUMN(F:F) - 5), {0, 1, 2, 3, 4, 5, 6, 7, 8, 9, 10, 11}, 0)),
      ""
    )
  )
</f>
        <v/>
      </c>
      <c r="G91" s="412" t="str">
        <f t="array" ref="G91">IF(
    DATEDIF($B91, TODAY(), "M") &gt;= 11,
    INDEX('Most Recent Import'!$F91:$Q91, 1, MATCH(11 - (COLUMN(G:G) - 5), {0, 1, 2, 3, 4, 5, 6, 7, 8, 9, 10, 11}, 0)),
    IF(
      DATEDIF($B91, TODAY(), "M") + 1 &gt;= COLUMN(G:G) - 5,
      INDEX('Most Recent Import'!$F91:$Q91, 1, MATCH(DATEDIF($B91, TODAY(), "M") + 1 - (COLUMN(G:G) - 5), {0, 1, 2, 3, 4, 5, 6, 7, 8, 9, 10, 11}, 0)),
      ""
    )
  )
</f>
        <v/>
      </c>
      <c r="H91" s="412" t="str">
        <f t="array" ref="H91">IF(
    DATEDIF($B91, TODAY(), "M") &gt;= 11,
    INDEX('Most Recent Import'!$F91:$Q91, 1, MATCH(11 - (COLUMN(H:H) - 5), {0, 1, 2, 3, 4, 5, 6, 7, 8, 9, 10, 11}, 0)),
    IF(
      DATEDIF($B91, TODAY(), "M") + 1 &gt;= COLUMN(H:H) - 5,
      INDEX('Most Recent Import'!$F91:$Q91, 1, MATCH(DATEDIF($B91, TODAY(), "M") + 1 - (COLUMN(H:H) - 5), {0, 1, 2, 3, 4, 5, 6, 7, 8, 9, 10, 11}, 0)),
      ""
    )
  )
</f>
        <v/>
      </c>
      <c r="I91" s="412" t="str">
        <f t="array" ref="I91">IF(
    DATEDIF($B91, TODAY(), "M") &gt;= 11,
    INDEX('Most Recent Import'!$F91:$Q91, 1, MATCH(11 - (COLUMN(I:I) - 5), {0, 1, 2, 3, 4, 5, 6, 7, 8, 9, 10, 11}, 0)),
    IF(
      DATEDIF($B91, TODAY(), "M") + 1 &gt;= COLUMN(I:I) - 5,
      INDEX('Most Recent Import'!$F91:$Q91, 1, MATCH(DATEDIF($B91, TODAY(), "M") + 1 - (COLUMN(I:I) - 5), {0, 1, 2, 3, 4, 5, 6, 7, 8, 9, 10, 11}, 0)),
      ""
    )
  )
</f>
        <v/>
      </c>
      <c r="J91" s="412" t="str">
        <f t="array" ref="J91">IF(
    DATEDIF($B91, TODAY(), "M") &gt;= 11,
    INDEX('Most Recent Import'!$F91:$Q91, 1, MATCH(11 - (COLUMN(J:J) - 5), {0, 1, 2, 3, 4, 5, 6, 7, 8, 9, 10, 11}, 0)),
    IF(
      DATEDIF($B91, TODAY(), "M") + 1 &gt;= COLUMN(J:J) - 5,
      INDEX('Most Recent Import'!$F91:$Q91, 1, MATCH(DATEDIF($B91, TODAY(), "M") + 1 - (COLUMN(J:J) - 5), {0, 1, 2, 3, 4, 5, 6, 7, 8, 9, 10, 11}, 0)),
      ""
    )
  )
</f>
        <v/>
      </c>
      <c r="K91" s="412" t="str">
        <f t="array" ref="K91">IF(
    DATEDIF($B91, TODAY(), "M") &gt;= 11,
    INDEX('Most Recent Import'!$F91:$Q91, 1, MATCH(11 - (COLUMN(K:K) - 5), {0, 1, 2, 3, 4, 5, 6, 7, 8, 9, 10, 11}, 0)),
    IF(
      DATEDIF($B91, TODAY(), "M") + 1 &gt;= COLUMN(K:K) - 5,
      INDEX('Most Recent Import'!$F91:$Q91, 1, MATCH(DATEDIF($B91, TODAY(), "M") + 1 - (COLUMN(K:K) - 5), {0, 1, 2, 3, 4, 5, 6, 7, 8, 9, 10, 11}, 0)),
      ""
    )
  )
</f>
        <v/>
      </c>
      <c r="L91" s="412" t="str">
        <f t="array" ref="L91">IF(
    DATEDIF($B91, TODAY(), "M") &gt;= 11,
    INDEX('Most Recent Import'!$F91:$Q91, 1, MATCH(11 - (COLUMN(L:L) - 5), {0, 1, 2, 3, 4, 5, 6, 7, 8, 9, 10, 11}, 0)),
    IF(
      DATEDIF($B91, TODAY(), "M") + 1 &gt;= COLUMN(L:L) - 5,
      INDEX('Most Recent Import'!$F91:$Q91, 1, MATCH(DATEDIF($B91, TODAY(), "M") + 1 - (COLUMN(L:L) - 5), {0, 1, 2, 3, 4, 5, 6, 7, 8, 9, 10, 11}, 0)),
      ""
    )
  )
</f>
        <v/>
      </c>
      <c r="M91" s="412" t="str">
        <f t="array" ref="M91">IF(
    DATEDIF($B91, TODAY(), "M") &gt;= 11,
    INDEX('Most Recent Import'!$F91:$Q91, 1, MATCH(11 - (COLUMN(M:M) - 5), {0, 1, 2, 3, 4, 5, 6, 7, 8, 9, 10, 11}, 0)),
    IF(
      DATEDIF($B91, TODAY(), "M") + 1 &gt;= COLUMN(M:M) - 5,
      INDEX('Most Recent Import'!$F91:$Q91, 1, MATCH(DATEDIF($B91, TODAY(), "M") + 1 - (COLUMN(M:M) - 5), {0, 1, 2, 3, 4, 5, 6, 7, 8, 9, 10, 11}, 0)),
      ""
    )
  )
</f>
        <v/>
      </c>
      <c r="N91" s="412" t="str">
        <f t="array" ref="N91">IF(
    DATEDIF($B91, TODAY(), "M") &gt;= 11,
    INDEX('Most Recent Import'!$F91:$Q91, 1, MATCH(11 - (COLUMN(N:N) - 5), {0, 1, 2, 3, 4, 5, 6, 7, 8, 9, 10, 11}, 0)),
    IF(
      DATEDIF($B91, TODAY(), "M") + 1 &gt;= COLUMN(N:N) - 5,
      INDEX('Most Recent Import'!$F91:$Q91, 1, MATCH(DATEDIF($B91, TODAY(), "M") + 1 - (COLUMN(N:N) - 5), {0, 1, 2, 3, 4, 5, 6, 7, 8, 9, 10, 11}, 0)),
      ""
    )
  )
</f>
        <v/>
      </c>
      <c r="O91" s="412" t="str">
        <f t="array" ref="O91">IF(
    DATEDIF($B91, TODAY(), "M") &gt;= 11,
    INDEX('Most Recent Import'!$F91:$Q91, 1, MATCH(11 - (COLUMN(O:O) - 5), {0, 1, 2, 3, 4, 5, 6, 7, 8, 9, 10, 11}, 0)),
    IF(
      DATEDIF($B91, TODAY(), "M") + 1 &gt;= COLUMN(O:O) - 5,
      INDEX('Most Recent Import'!$F91:$Q91, 1, MATCH(DATEDIF($B91, TODAY(), "M") + 1 - (COLUMN(O:O) - 5), {0, 1, 2, 3, 4, 5, 6, 7, 8, 9, 10, 11}, 0)),
      ""
    )
  )
</f>
        <v/>
      </c>
      <c r="P91" s="412" t="str">
        <f t="array" ref="P91">IF(
    DATEDIF($B91, TODAY(), "M") &gt;= 11,
    INDEX('Most Recent Import'!$F91:$Q91, 1, MATCH(11 - (COLUMN(P:P) - 5), {0, 1, 2, 3, 4, 5, 6, 7, 8, 9, 10, 11}, 0)),
    IF(
      DATEDIF($B91, TODAY(), "M") + 1 &gt;= COLUMN(P:P) - 5,
      INDEX('Most Recent Import'!$F91:$Q91, 1, MATCH(DATEDIF($B91, TODAY(), "M") + 1 - (COLUMN(P:P) - 5), {0, 1, 2, 3, 4, 5, 6, 7, 8, 9, 10, 11}, 0)),
      ""
    )
  )
</f>
        <v/>
      </c>
    </row>
    <row r="92">
      <c r="A92" s="412" t="str">
        <f>'Most Recent Import'!A92</f>
        <v/>
      </c>
      <c r="B92" s="412" t="str">
        <f>IF(ISBLANK(A92), "", DATE(LEFT('Most Recent Import'!C92, 4), RIGHT('Most Recent Import'!C92, 2), 1))</f>
        <v/>
      </c>
      <c r="C92" s="414" t="str">
        <f>'Most Recent Import'!B92</f>
        <v/>
      </c>
      <c r="D92" s="412" t="str">
        <f>'Most Recent Import'!D92</f>
        <v/>
      </c>
      <c r="E92" s="412" t="str">
        <f t="array" ref="E92">IF(
    DATEDIF($B92, TODAY(), "M") &gt;= 11,
    INDEX('Most Recent Import'!$F92:$Q92, 1, MATCH(11 - (COLUMN(E:E) - 5), {0, 1, 2, 3, 4, 5, 6, 7, 8, 9, 10, 11}, 0)),
    IF(
      DATEDIF($B92, TODAY(), "M") + 1 &gt;= COLUMN(E:E) - 5,
      INDEX('Most Recent Import'!$F92:$Q92, 1, MATCH(DATEDIF($B92, TODAY(), "M") + 1 - (COLUMN(E:E) - 5), {0, 1, 2, 3, 4, 5, 6, 7, 8, 9, 10, 11}, 0)),
      ""
    )
  )
</f>
        <v/>
      </c>
      <c r="F92" s="412" t="str">
        <f t="array" ref="F92">IF(
    DATEDIF($B92, TODAY(), "M") &gt;= 11,
    INDEX('Most Recent Import'!$F92:$Q92, 1, MATCH(11 - (COLUMN(F:F) - 5), {0, 1, 2, 3, 4, 5, 6, 7, 8, 9, 10, 11}, 0)),
    IF(
      DATEDIF($B92, TODAY(), "M") + 1 &gt;= COLUMN(F:F) - 5,
      INDEX('Most Recent Import'!$F92:$Q92, 1, MATCH(DATEDIF($B92, TODAY(), "M") + 1 - (COLUMN(F:F) - 5), {0, 1, 2, 3, 4, 5, 6, 7, 8, 9, 10, 11}, 0)),
      ""
    )
  )
</f>
        <v/>
      </c>
      <c r="G92" s="412" t="str">
        <f t="array" ref="G92">IF(
    DATEDIF($B92, TODAY(), "M") &gt;= 11,
    INDEX('Most Recent Import'!$F92:$Q92, 1, MATCH(11 - (COLUMN(G:G) - 5), {0, 1, 2, 3, 4, 5, 6, 7, 8, 9, 10, 11}, 0)),
    IF(
      DATEDIF($B92, TODAY(), "M") + 1 &gt;= COLUMN(G:G) - 5,
      INDEX('Most Recent Import'!$F92:$Q92, 1, MATCH(DATEDIF($B92, TODAY(), "M") + 1 - (COLUMN(G:G) - 5), {0, 1, 2, 3, 4, 5, 6, 7, 8, 9, 10, 11}, 0)),
      ""
    )
  )
</f>
        <v/>
      </c>
      <c r="H92" s="412" t="str">
        <f t="array" ref="H92">IF(
    DATEDIF($B92, TODAY(), "M") &gt;= 11,
    INDEX('Most Recent Import'!$F92:$Q92, 1, MATCH(11 - (COLUMN(H:H) - 5), {0, 1, 2, 3, 4, 5, 6, 7, 8, 9, 10, 11}, 0)),
    IF(
      DATEDIF($B92, TODAY(), "M") + 1 &gt;= COLUMN(H:H) - 5,
      INDEX('Most Recent Import'!$F92:$Q92, 1, MATCH(DATEDIF($B92, TODAY(), "M") + 1 - (COLUMN(H:H) - 5), {0, 1, 2, 3, 4, 5, 6, 7, 8, 9, 10, 11}, 0)),
      ""
    )
  )
</f>
        <v/>
      </c>
      <c r="I92" s="412" t="str">
        <f t="array" ref="I92">IF(
    DATEDIF($B92, TODAY(), "M") &gt;= 11,
    INDEX('Most Recent Import'!$F92:$Q92, 1, MATCH(11 - (COLUMN(I:I) - 5), {0, 1, 2, 3, 4, 5, 6, 7, 8, 9, 10, 11}, 0)),
    IF(
      DATEDIF($B92, TODAY(), "M") + 1 &gt;= COLUMN(I:I) - 5,
      INDEX('Most Recent Import'!$F92:$Q92, 1, MATCH(DATEDIF($B92, TODAY(), "M") + 1 - (COLUMN(I:I) - 5), {0, 1, 2, 3, 4, 5, 6, 7, 8, 9, 10, 11}, 0)),
      ""
    )
  )
</f>
        <v/>
      </c>
      <c r="J92" s="412" t="str">
        <f t="array" ref="J92">IF(
    DATEDIF($B92, TODAY(), "M") &gt;= 11,
    INDEX('Most Recent Import'!$F92:$Q92, 1, MATCH(11 - (COLUMN(J:J) - 5), {0, 1, 2, 3, 4, 5, 6, 7, 8, 9, 10, 11}, 0)),
    IF(
      DATEDIF($B92, TODAY(), "M") + 1 &gt;= COLUMN(J:J) - 5,
      INDEX('Most Recent Import'!$F92:$Q92, 1, MATCH(DATEDIF($B92, TODAY(), "M") + 1 - (COLUMN(J:J) - 5), {0, 1, 2, 3, 4, 5, 6, 7, 8, 9, 10, 11}, 0)),
      ""
    )
  )
</f>
        <v/>
      </c>
      <c r="K92" s="412" t="str">
        <f t="array" ref="K92">IF(
    DATEDIF($B92, TODAY(), "M") &gt;= 11,
    INDEX('Most Recent Import'!$F92:$Q92, 1, MATCH(11 - (COLUMN(K:K) - 5), {0, 1, 2, 3, 4, 5, 6, 7, 8, 9, 10, 11}, 0)),
    IF(
      DATEDIF($B92, TODAY(), "M") + 1 &gt;= COLUMN(K:K) - 5,
      INDEX('Most Recent Import'!$F92:$Q92, 1, MATCH(DATEDIF($B92, TODAY(), "M") + 1 - (COLUMN(K:K) - 5), {0, 1, 2, 3, 4, 5, 6, 7, 8, 9, 10, 11}, 0)),
      ""
    )
  )
</f>
        <v/>
      </c>
      <c r="L92" s="412" t="str">
        <f t="array" ref="L92">IF(
    DATEDIF($B92, TODAY(), "M") &gt;= 11,
    INDEX('Most Recent Import'!$F92:$Q92, 1, MATCH(11 - (COLUMN(L:L) - 5), {0, 1, 2, 3, 4, 5, 6, 7, 8, 9, 10, 11}, 0)),
    IF(
      DATEDIF($B92, TODAY(), "M") + 1 &gt;= COLUMN(L:L) - 5,
      INDEX('Most Recent Import'!$F92:$Q92, 1, MATCH(DATEDIF($B92, TODAY(), "M") + 1 - (COLUMN(L:L) - 5), {0, 1, 2, 3, 4, 5, 6, 7, 8, 9, 10, 11}, 0)),
      ""
    )
  )
</f>
        <v/>
      </c>
      <c r="M92" s="412" t="str">
        <f t="array" ref="M92">IF(
    DATEDIF($B92, TODAY(), "M") &gt;= 11,
    INDEX('Most Recent Import'!$F92:$Q92, 1, MATCH(11 - (COLUMN(M:M) - 5), {0, 1, 2, 3, 4, 5, 6, 7, 8, 9, 10, 11}, 0)),
    IF(
      DATEDIF($B92, TODAY(), "M") + 1 &gt;= COLUMN(M:M) - 5,
      INDEX('Most Recent Import'!$F92:$Q92, 1, MATCH(DATEDIF($B92, TODAY(), "M") + 1 - (COLUMN(M:M) - 5), {0, 1, 2, 3, 4, 5, 6, 7, 8, 9, 10, 11}, 0)),
      ""
    )
  )
</f>
        <v/>
      </c>
      <c r="N92" s="412" t="str">
        <f t="array" ref="N92">IF(
    DATEDIF($B92, TODAY(), "M") &gt;= 11,
    INDEX('Most Recent Import'!$F92:$Q92, 1, MATCH(11 - (COLUMN(N:N) - 5), {0, 1, 2, 3, 4, 5, 6, 7, 8, 9, 10, 11}, 0)),
    IF(
      DATEDIF($B92, TODAY(), "M") + 1 &gt;= COLUMN(N:N) - 5,
      INDEX('Most Recent Import'!$F92:$Q92, 1, MATCH(DATEDIF($B92, TODAY(), "M") + 1 - (COLUMN(N:N) - 5), {0, 1, 2, 3, 4, 5, 6, 7, 8, 9, 10, 11}, 0)),
      ""
    )
  )
</f>
        <v/>
      </c>
      <c r="O92" s="412" t="str">
        <f t="array" ref="O92">IF(
    DATEDIF($B92, TODAY(), "M") &gt;= 11,
    INDEX('Most Recent Import'!$F92:$Q92, 1, MATCH(11 - (COLUMN(O:O) - 5), {0, 1, 2, 3, 4, 5, 6, 7, 8, 9, 10, 11}, 0)),
    IF(
      DATEDIF($B92, TODAY(), "M") + 1 &gt;= COLUMN(O:O) - 5,
      INDEX('Most Recent Import'!$F92:$Q92, 1, MATCH(DATEDIF($B92, TODAY(), "M") + 1 - (COLUMN(O:O) - 5), {0, 1, 2, 3, 4, 5, 6, 7, 8, 9, 10, 11}, 0)),
      ""
    )
  )
</f>
        <v/>
      </c>
      <c r="P92" s="412" t="str">
        <f t="array" ref="P92">IF(
    DATEDIF($B92, TODAY(), "M") &gt;= 11,
    INDEX('Most Recent Import'!$F92:$Q92, 1, MATCH(11 - (COLUMN(P:P) - 5), {0, 1, 2, 3, 4, 5, 6, 7, 8, 9, 10, 11}, 0)),
    IF(
      DATEDIF($B92, TODAY(), "M") + 1 &gt;= COLUMN(P:P) - 5,
      INDEX('Most Recent Import'!$F92:$Q92, 1, MATCH(DATEDIF($B92, TODAY(), "M") + 1 - (COLUMN(P:P) - 5), {0, 1, 2, 3, 4, 5, 6, 7, 8, 9, 10, 11}, 0)),
      ""
    )
  )
</f>
        <v/>
      </c>
    </row>
    <row r="93">
      <c r="A93" s="412" t="str">
        <f>'Most Recent Import'!A93</f>
        <v/>
      </c>
      <c r="B93" s="412" t="str">
        <f>IF(ISBLANK(A93), "", DATE(LEFT('Most Recent Import'!C93, 4), RIGHT('Most Recent Import'!C93, 2), 1))</f>
        <v/>
      </c>
      <c r="C93" s="414" t="str">
        <f>'Most Recent Import'!B93</f>
        <v/>
      </c>
      <c r="D93" s="412" t="str">
        <f>'Most Recent Import'!D93</f>
        <v/>
      </c>
      <c r="E93" s="412" t="str">
        <f t="array" ref="E93">IF(
    DATEDIF($B93, TODAY(), "M") &gt;= 11,
    INDEX('Most Recent Import'!$F93:$Q93, 1, MATCH(11 - (COLUMN(E:E) - 5), {0, 1, 2, 3, 4, 5, 6, 7, 8, 9, 10, 11}, 0)),
    IF(
      DATEDIF($B93, TODAY(), "M") + 1 &gt;= COLUMN(E:E) - 5,
      INDEX('Most Recent Import'!$F93:$Q93, 1, MATCH(DATEDIF($B93, TODAY(), "M") + 1 - (COLUMN(E:E) - 5), {0, 1, 2, 3, 4, 5, 6, 7, 8, 9, 10, 11}, 0)),
      ""
    )
  )
</f>
        <v/>
      </c>
      <c r="F93" s="412" t="str">
        <f t="array" ref="F93">IF(
    DATEDIF($B93, TODAY(), "M") &gt;= 11,
    INDEX('Most Recent Import'!$F93:$Q93, 1, MATCH(11 - (COLUMN(F:F) - 5), {0, 1, 2, 3, 4, 5, 6, 7, 8, 9, 10, 11}, 0)),
    IF(
      DATEDIF($B93, TODAY(), "M") + 1 &gt;= COLUMN(F:F) - 5,
      INDEX('Most Recent Import'!$F93:$Q93, 1, MATCH(DATEDIF($B93, TODAY(), "M") + 1 - (COLUMN(F:F) - 5), {0, 1, 2, 3, 4, 5, 6, 7, 8, 9, 10, 11}, 0)),
      ""
    )
  )
</f>
        <v/>
      </c>
      <c r="G93" s="412" t="str">
        <f t="array" ref="G93">IF(
    DATEDIF($B93, TODAY(), "M") &gt;= 11,
    INDEX('Most Recent Import'!$F93:$Q93, 1, MATCH(11 - (COLUMN(G:G) - 5), {0, 1, 2, 3, 4, 5, 6, 7, 8, 9, 10, 11}, 0)),
    IF(
      DATEDIF($B93, TODAY(), "M") + 1 &gt;= COLUMN(G:G) - 5,
      INDEX('Most Recent Import'!$F93:$Q93, 1, MATCH(DATEDIF($B93, TODAY(), "M") + 1 - (COLUMN(G:G) - 5), {0, 1, 2, 3, 4, 5, 6, 7, 8, 9, 10, 11}, 0)),
      ""
    )
  )
</f>
        <v/>
      </c>
      <c r="H93" s="412" t="str">
        <f t="array" ref="H93">IF(
    DATEDIF($B93, TODAY(), "M") &gt;= 11,
    INDEX('Most Recent Import'!$F93:$Q93, 1, MATCH(11 - (COLUMN(H:H) - 5), {0, 1, 2, 3, 4, 5, 6, 7, 8, 9, 10, 11}, 0)),
    IF(
      DATEDIF($B93, TODAY(), "M") + 1 &gt;= COLUMN(H:H) - 5,
      INDEX('Most Recent Import'!$F93:$Q93, 1, MATCH(DATEDIF($B93, TODAY(), "M") + 1 - (COLUMN(H:H) - 5), {0, 1, 2, 3, 4, 5, 6, 7, 8, 9, 10, 11}, 0)),
      ""
    )
  )
</f>
        <v/>
      </c>
      <c r="I93" s="412" t="str">
        <f t="array" ref="I93">IF(
    DATEDIF($B93, TODAY(), "M") &gt;= 11,
    INDEX('Most Recent Import'!$F93:$Q93, 1, MATCH(11 - (COLUMN(I:I) - 5), {0, 1, 2, 3, 4, 5, 6, 7, 8, 9, 10, 11}, 0)),
    IF(
      DATEDIF($B93, TODAY(), "M") + 1 &gt;= COLUMN(I:I) - 5,
      INDEX('Most Recent Import'!$F93:$Q93, 1, MATCH(DATEDIF($B93, TODAY(), "M") + 1 - (COLUMN(I:I) - 5), {0, 1, 2, 3, 4, 5, 6, 7, 8, 9, 10, 11}, 0)),
      ""
    )
  )
</f>
        <v/>
      </c>
      <c r="J93" s="412" t="str">
        <f t="array" ref="J93">IF(
    DATEDIF($B93, TODAY(), "M") &gt;= 11,
    INDEX('Most Recent Import'!$F93:$Q93, 1, MATCH(11 - (COLUMN(J:J) - 5), {0, 1, 2, 3, 4, 5, 6, 7, 8, 9, 10, 11}, 0)),
    IF(
      DATEDIF($B93, TODAY(), "M") + 1 &gt;= COLUMN(J:J) - 5,
      INDEX('Most Recent Import'!$F93:$Q93, 1, MATCH(DATEDIF($B93, TODAY(), "M") + 1 - (COLUMN(J:J) - 5), {0, 1, 2, 3, 4, 5, 6, 7, 8, 9, 10, 11}, 0)),
      ""
    )
  )
</f>
        <v/>
      </c>
      <c r="K93" s="412" t="str">
        <f t="array" ref="K93">IF(
    DATEDIF($B93, TODAY(), "M") &gt;= 11,
    INDEX('Most Recent Import'!$F93:$Q93, 1, MATCH(11 - (COLUMN(K:K) - 5), {0, 1, 2, 3, 4, 5, 6, 7, 8, 9, 10, 11}, 0)),
    IF(
      DATEDIF($B93, TODAY(), "M") + 1 &gt;= COLUMN(K:K) - 5,
      INDEX('Most Recent Import'!$F93:$Q93, 1, MATCH(DATEDIF($B93, TODAY(), "M") + 1 - (COLUMN(K:K) - 5), {0, 1, 2, 3, 4, 5, 6, 7, 8, 9, 10, 11}, 0)),
      ""
    )
  )
</f>
        <v/>
      </c>
      <c r="L93" s="412" t="str">
        <f t="array" ref="L93">IF(
    DATEDIF($B93, TODAY(), "M") &gt;= 11,
    INDEX('Most Recent Import'!$F93:$Q93, 1, MATCH(11 - (COLUMN(L:L) - 5), {0, 1, 2, 3, 4, 5, 6, 7, 8, 9, 10, 11}, 0)),
    IF(
      DATEDIF($B93, TODAY(), "M") + 1 &gt;= COLUMN(L:L) - 5,
      INDEX('Most Recent Import'!$F93:$Q93, 1, MATCH(DATEDIF($B93, TODAY(), "M") + 1 - (COLUMN(L:L) - 5), {0, 1, 2, 3, 4, 5, 6, 7, 8, 9, 10, 11}, 0)),
      ""
    )
  )
</f>
        <v/>
      </c>
      <c r="M93" s="412" t="str">
        <f t="array" ref="M93">IF(
    DATEDIF($B93, TODAY(), "M") &gt;= 11,
    INDEX('Most Recent Import'!$F93:$Q93, 1, MATCH(11 - (COLUMN(M:M) - 5), {0, 1, 2, 3, 4, 5, 6, 7, 8, 9, 10, 11}, 0)),
    IF(
      DATEDIF($B93, TODAY(), "M") + 1 &gt;= COLUMN(M:M) - 5,
      INDEX('Most Recent Import'!$F93:$Q93, 1, MATCH(DATEDIF($B93, TODAY(), "M") + 1 - (COLUMN(M:M) - 5), {0, 1, 2, 3, 4, 5, 6, 7, 8, 9, 10, 11}, 0)),
      ""
    )
  )
</f>
        <v/>
      </c>
      <c r="N93" s="412" t="str">
        <f t="array" ref="N93">IF(
    DATEDIF($B93, TODAY(), "M") &gt;= 11,
    INDEX('Most Recent Import'!$F93:$Q93, 1, MATCH(11 - (COLUMN(N:N) - 5), {0, 1, 2, 3, 4, 5, 6, 7, 8, 9, 10, 11}, 0)),
    IF(
      DATEDIF($B93, TODAY(), "M") + 1 &gt;= COLUMN(N:N) - 5,
      INDEX('Most Recent Import'!$F93:$Q93, 1, MATCH(DATEDIF($B93, TODAY(), "M") + 1 - (COLUMN(N:N) - 5), {0, 1, 2, 3, 4, 5, 6, 7, 8, 9, 10, 11}, 0)),
      ""
    )
  )
</f>
        <v/>
      </c>
      <c r="O93" s="412" t="str">
        <f t="array" ref="O93">IF(
    DATEDIF($B93, TODAY(), "M") &gt;= 11,
    INDEX('Most Recent Import'!$F93:$Q93, 1, MATCH(11 - (COLUMN(O:O) - 5), {0, 1, 2, 3, 4, 5, 6, 7, 8, 9, 10, 11}, 0)),
    IF(
      DATEDIF($B93, TODAY(), "M") + 1 &gt;= COLUMN(O:O) - 5,
      INDEX('Most Recent Import'!$F93:$Q93, 1, MATCH(DATEDIF($B93, TODAY(), "M") + 1 - (COLUMN(O:O) - 5), {0, 1, 2, 3, 4, 5, 6, 7, 8, 9, 10, 11}, 0)),
      ""
    )
  )
</f>
        <v/>
      </c>
      <c r="P93" s="412" t="str">
        <f t="array" ref="P93">IF(
    DATEDIF($B93, TODAY(), "M") &gt;= 11,
    INDEX('Most Recent Import'!$F93:$Q93, 1, MATCH(11 - (COLUMN(P:P) - 5), {0, 1, 2, 3, 4, 5, 6, 7, 8, 9, 10, 11}, 0)),
    IF(
      DATEDIF($B93, TODAY(), "M") + 1 &gt;= COLUMN(P:P) - 5,
      INDEX('Most Recent Import'!$F93:$Q93, 1, MATCH(DATEDIF($B93, TODAY(), "M") + 1 - (COLUMN(P:P) - 5), {0, 1, 2, 3, 4, 5, 6, 7, 8, 9, 10, 11}, 0)),
      ""
    )
  )
</f>
        <v/>
      </c>
    </row>
    <row r="94">
      <c r="A94" s="412" t="str">
        <f>'Most Recent Import'!A94</f>
        <v/>
      </c>
      <c r="B94" s="412" t="str">
        <f>IF(ISBLANK(A94), "", DATE(LEFT('Most Recent Import'!C94, 4), RIGHT('Most Recent Import'!C94, 2), 1))</f>
        <v/>
      </c>
      <c r="C94" s="414" t="str">
        <f>'Most Recent Import'!B94</f>
        <v/>
      </c>
      <c r="D94" s="412" t="str">
        <f>'Most Recent Import'!D94</f>
        <v/>
      </c>
      <c r="E94" s="412" t="str">
        <f t="array" ref="E94">IF(
    DATEDIF($B94, TODAY(), "M") &gt;= 11,
    INDEX('Most Recent Import'!$F94:$Q94, 1, MATCH(11 - (COLUMN(E:E) - 5), {0, 1, 2, 3, 4, 5, 6, 7, 8, 9, 10, 11}, 0)),
    IF(
      DATEDIF($B94, TODAY(), "M") + 1 &gt;= COLUMN(E:E) - 5,
      INDEX('Most Recent Import'!$F94:$Q94, 1, MATCH(DATEDIF($B94, TODAY(), "M") + 1 - (COLUMN(E:E) - 5), {0, 1, 2, 3, 4, 5, 6, 7, 8, 9, 10, 11}, 0)),
      ""
    )
  )
</f>
        <v/>
      </c>
      <c r="F94" s="412" t="str">
        <f t="array" ref="F94">IF(
    DATEDIF($B94, TODAY(), "M") &gt;= 11,
    INDEX('Most Recent Import'!$F94:$Q94, 1, MATCH(11 - (COLUMN(F:F) - 5), {0, 1, 2, 3, 4, 5, 6, 7, 8, 9, 10, 11}, 0)),
    IF(
      DATEDIF($B94, TODAY(), "M") + 1 &gt;= COLUMN(F:F) - 5,
      INDEX('Most Recent Import'!$F94:$Q94, 1, MATCH(DATEDIF($B94, TODAY(), "M") + 1 - (COLUMN(F:F) - 5), {0, 1, 2, 3, 4, 5, 6, 7, 8, 9, 10, 11}, 0)),
      ""
    )
  )
</f>
        <v/>
      </c>
      <c r="G94" s="412" t="str">
        <f t="array" ref="G94">IF(
    DATEDIF($B94, TODAY(), "M") &gt;= 11,
    INDEX('Most Recent Import'!$F94:$Q94, 1, MATCH(11 - (COLUMN(G:G) - 5), {0, 1, 2, 3, 4, 5, 6, 7, 8, 9, 10, 11}, 0)),
    IF(
      DATEDIF($B94, TODAY(), "M") + 1 &gt;= COLUMN(G:G) - 5,
      INDEX('Most Recent Import'!$F94:$Q94, 1, MATCH(DATEDIF($B94, TODAY(), "M") + 1 - (COLUMN(G:G) - 5), {0, 1, 2, 3, 4, 5, 6, 7, 8, 9, 10, 11}, 0)),
      ""
    )
  )
</f>
        <v/>
      </c>
      <c r="H94" s="412" t="str">
        <f t="array" ref="H94">IF(
    DATEDIF($B94, TODAY(), "M") &gt;= 11,
    INDEX('Most Recent Import'!$F94:$Q94, 1, MATCH(11 - (COLUMN(H:H) - 5), {0, 1, 2, 3, 4, 5, 6, 7, 8, 9, 10, 11}, 0)),
    IF(
      DATEDIF($B94, TODAY(), "M") + 1 &gt;= COLUMN(H:H) - 5,
      INDEX('Most Recent Import'!$F94:$Q94, 1, MATCH(DATEDIF($B94, TODAY(), "M") + 1 - (COLUMN(H:H) - 5), {0, 1, 2, 3, 4, 5, 6, 7, 8, 9, 10, 11}, 0)),
      ""
    )
  )
</f>
        <v/>
      </c>
      <c r="I94" s="412" t="str">
        <f t="array" ref="I94">IF(
    DATEDIF($B94, TODAY(), "M") &gt;= 11,
    INDEX('Most Recent Import'!$F94:$Q94, 1, MATCH(11 - (COLUMN(I:I) - 5), {0, 1, 2, 3, 4, 5, 6, 7, 8, 9, 10, 11}, 0)),
    IF(
      DATEDIF($B94, TODAY(), "M") + 1 &gt;= COLUMN(I:I) - 5,
      INDEX('Most Recent Import'!$F94:$Q94, 1, MATCH(DATEDIF($B94, TODAY(), "M") + 1 - (COLUMN(I:I) - 5), {0, 1, 2, 3, 4, 5, 6, 7, 8, 9, 10, 11}, 0)),
      ""
    )
  )
</f>
        <v/>
      </c>
      <c r="J94" s="412" t="str">
        <f t="array" ref="J94">IF(
    DATEDIF($B94, TODAY(), "M") &gt;= 11,
    INDEX('Most Recent Import'!$F94:$Q94, 1, MATCH(11 - (COLUMN(J:J) - 5), {0, 1, 2, 3, 4, 5, 6, 7, 8, 9, 10, 11}, 0)),
    IF(
      DATEDIF($B94, TODAY(), "M") + 1 &gt;= COLUMN(J:J) - 5,
      INDEX('Most Recent Import'!$F94:$Q94, 1, MATCH(DATEDIF($B94, TODAY(), "M") + 1 - (COLUMN(J:J) - 5), {0, 1, 2, 3, 4, 5, 6, 7, 8, 9, 10, 11}, 0)),
      ""
    )
  )
</f>
        <v/>
      </c>
      <c r="K94" s="412" t="str">
        <f t="array" ref="K94">IF(
    DATEDIF($B94, TODAY(), "M") &gt;= 11,
    INDEX('Most Recent Import'!$F94:$Q94, 1, MATCH(11 - (COLUMN(K:K) - 5), {0, 1, 2, 3, 4, 5, 6, 7, 8, 9, 10, 11}, 0)),
    IF(
      DATEDIF($B94, TODAY(), "M") + 1 &gt;= COLUMN(K:K) - 5,
      INDEX('Most Recent Import'!$F94:$Q94, 1, MATCH(DATEDIF($B94, TODAY(), "M") + 1 - (COLUMN(K:K) - 5), {0, 1, 2, 3, 4, 5, 6, 7, 8, 9, 10, 11}, 0)),
      ""
    )
  )
</f>
        <v/>
      </c>
      <c r="L94" s="412" t="str">
        <f t="array" ref="L94">IF(
    DATEDIF($B94, TODAY(), "M") &gt;= 11,
    INDEX('Most Recent Import'!$F94:$Q94, 1, MATCH(11 - (COLUMN(L:L) - 5), {0, 1, 2, 3, 4, 5, 6, 7, 8, 9, 10, 11}, 0)),
    IF(
      DATEDIF($B94, TODAY(), "M") + 1 &gt;= COLUMN(L:L) - 5,
      INDEX('Most Recent Import'!$F94:$Q94, 1, MATCH(DATEDIF($B94, TODAY(), "M") + 1 - (COLUMN(L:L) - 5), {0, 1, 2, 3, 4, 5, 6, 7, 8, 9, 10, 11}, 0)),
      ""
    )
  )
</f>
        <v/>
      </c>
      <c r="M94" s="412" t="str">
        <f t="array" ref="M94">IF(
    DATEDIF($B94, TODAY(), "M") &gt;= 11,
    INDEX('Most Recent Import'!$F94:$Q94, 1, MATCH(11 - (COLUMN(M:M) - 5), {0, 1, 2, 3, 4, 5, 6, 7, 8, 9, 10, 11}, 0)),
    IF(
      DATEDIF($B94, TODAY(), "M") + 1 &gt;= COLUMN(M:M) - 5,
      INDEX('Most Recent Import'!$F94:$Q94, 1, MATCH(DATEDIF($B94, TODAY(), "M") + 1 - (COLUMN(M:M) - 5), {0, 1, 2, 3, 4, 5, 6, 7, 8, 9, 10, 11}, 0)),
      ""
    )
  )
</f>
        <v/>
      </c>
      <c r="N94" s="412" t="str">
        <f t="array" ref="N94">IF(
    DATEDIF($B94, TODAY(), "M") &gt;= 11,
    INDEX('Most Recent Import'!$F94:$Q94, 1, MATCH(11 - (COLUMN(N:N) - 5), {0, 1, 2, 3, 4, 5, 6, 7, 8, 9, 10, 11}, 0)),
    IF(
      DATEDIF($B94, TODAY(), "M") + 1 &gt;= COLUMN(N:N) - 5,
      INDEX('Most Recent Import'!$F94:$Q94, 1, MATCH(DATEDIF($B94, TODAY(), "M") + 1 - (COLUMN(N:N) - 5), {0, 1, 2, 3, 4, 5, 6, 7, 8, 9, 10, 11}, 0)),
      ""
    )
  )
</f>
        <v/>
      </c>
      <c r="O94" s="412" t="str">
        <f t="array" ref="O94">IF(
    DATEDIF($B94, TODAY(), "M") &gt;= 11,
    INDEX('Most Recent Import'!$F94:$Q94, 1, MATCH(11 - (COLUMN(O:O) - 5), {0, 1, 2, 3, 4, 5, 6, 7, 8, 9, 10, 11}, 0)),
    IF(
      DATEDIF($B94, TODAY(), "M") + 1 &gt;= COLUMN(O:O) - 5,
      INDEX('Most Recent Import'!$F94:$Q94, 1, MATCH(DATEDIF($B94, TODAY(), "M") + 1 - (COLUMN(O:O) - 5), {0, 1, 2, 3, 4, 5, 6, 7, 8, 9, 10, 11}, 0)),
      ""
    )
  )
</f>
        <v/>
      </c>
      <c r="P94" s="412" t="str">
        <f t="array" ref="P94">IF(
    DATEDIF($B94, TODAY(), "M") &gt;= 11,
    INDEX('Most Recent Import'!$F94:$Q94, 1, MATCH(11 - (COLUMN(P:P) - 5), {0, 1, 2, 3, 4, 5, 6, 7, 8, 9, 10, 11}, 0)),
    IF(
      DATEDIF($B94, TODAY(), "M") + 1 &gt;= COLUMN(P:P) - 5,
      INDEX('Most Recent Import'!$F94:$Q94, 1, MATCH(DATEDIF($B94, TODAY(), "M") + 1 - (COLUMN(P:P) - 5), {0, 1, 2, 3, 4, 5, 6, 7, 8, 9, 10, 11}, 0)),
      ""
    )
  )
</f>
        <v/>
      </c>
    </row>
    <row r="95">
      <c r="A95" s="412" t="str">
        <f>'Most Recent Import'!A95</f>
        <v/>
      </c>
      <c r="B95" s="412" t="str">
        <f>IF(ISBLANK(A95), "", DATE(LEFT('Most Recent Import'!C95, 4), RIGHT('Most Recent Import'!C95, 2), 1))</f>
        <v/>
      </c>
      <c r="C95" s="414" t="str">
        <f>'Most Recent Import'!B95</f>
        <v/>
      </c>
      <c r="D95" s="412" t="str">
        <f>'Most Recent Import'!D95</f>
        <v/>
      </c>
      <c r="E95" s="412" t="str">
        <f t="array" ref="E95">IF(
    DATEDIF($B95, TODAY(), "M") &gt;= 11,
    INDEX('Most Recent Import'!$F95:$Q95, 1, MATCH(11 - (COLUMN(E:E) - 5), {0, 1, 2, 3, 4, 5, 6, 7, 8, 9, 10, 11}, 0)),
    IF(
      DATEDIF($B95, TODAY(), "M") + 1 &gt;= COLUMN(E:E) - 5,
      INDEX('Most Recent Import'!$F95:$Q95, 1, MATCH(DATEDIF($B95, TODAY(), "M") + 1 - (COLUMN(E:E) - 5), {0, 1, 2, 3, 4, 5, 6, 7, 8, 9, 10, 11}, 0)),
      ""
    )
  )
</f>
        <v/>
      </c>
      <c r="F95" s="412" t="str">
        <f t="array" ref="F95">IF(
    DATEDIF($B95, TODAY(), "M") &gt;= 11,
    INDEX('Most Recent Import'!$F95:$Q95, 1, MATCH(11 - (COLUMN(F:F) - 5), {0, 1, 2, 3, 4, 5, 6, 7, 8, 9, 10, 11}, 0)),
    IF(
      DATEDIF($B95, TODAY(), "M") + 1 &gt;= COLUMN(F:F) - 5,
      INDEX('Most Recent Import'!$F95:$Q95, 1, MATCH(DATEDIF($B95, TODAY(), "M") + 1 - (COLUMN(F:F) - 5), {0, 1, 2, 3, 4, 5, 6, 7, 8, 9, 10, 11}, 0)),
      ""
    )
  )
</f>
        <v/>
      </c>
      <c r="G95" s="412" t="str">
        <f t="array" ref="G95">IF(
    DATEDIF($B95, TODAY(), "M") &gt;= 11,
    INDEX('Most Recent Import'!$F95:$Q95, 1, MATCH(11 - (COLUMN(G:G) - 5), {0, 1, 2, 3, 4, 5, 6, 7, 8, 9, 10, 11}, 0)),
    IF(
      DATEDIF($B95, TODAY(), "M") + 1 &gt;= COLUMN(G:G) - 5,
      INDEX('Most Recent Import'!$F95:$Q95, 1, MATCH(DATEDIF($B95, TODAY(), "M") + 1 - (COLUMN(G:G) - 5), {0, 1, 2, 3, 4, 5, 6, 7, 8, 9, 10, 11}, 0)),
      ""
    )
  )
</f>
        <v/>
      </c>
      <c r="H95" s="412" t="str">
        <f t="array" ref="H95">IF(
    DATEDIF($B95, TODAY(), "M") &gt;= 11,
    INDEX('Most Recent Import'!$F95:$Q95, 1, MATCH(11 - (COLUMN(H:H) - 5), {0, 1, 2, 3, 4, 5, 6, 7, 8, 9, 10, 11}, 0)),
    IF(
      DATEDIF($B95, TODAY(), "M") + 1 &gt;= COLUMN(H:H) - 5,
      INDEX('Most Recent Import'!$F95:$Q95, 1, MATCH(DATEDIF($B95, TODAY(), "M") + 1 - (COLUMN(H:H) - 5), {0, 1, 2, 3, 4, 5, 6, 7, 8, 9, 10, 11}, 0)),
      ""
    )
  )
</f>
        <v/>
      </c>
      <c r="I95" s="412" t="str">
        <f t="array" ref="I95">IF(
    DATEDIF($B95, TODAY(), "M") &gt;= 11,
    INDEX('Most Recent Import'!$F95:$Q95, 1, MATCH(11 - (COLUMN(I:I) - 5), {0, 1, 2, 3, 4, 5, 6, 7, 8, 9, 10, 11}, 0)),
    IF(
      DATEDIF($B95, TODAY(), "M") + 1 &gt;= COLUMN(I:I) - 5,
      INDEX('Most Recent Import'!$F95:$Q95, 1, MATCH(DATEDIF($B95, TODAY(), "M") + 1 - (COLUMN(I:I) - 5), {0, 1, 2, 3, 4, 5, 6, 7, 8, 9, 10, 11}, 0)),
      ""
    )
  )
</f>
        <v/>
      </c>
      <c r="J95" s="412" t="str">
        <f t="array" ref="J95">IF(
    DATEDIF($B95, TODAY(), "M") &gt;= 11,
    INDEX('Most Recent Import'!$F95:$Q95, 1, MATCH(11 - (COLUMN(J:J) - 5), {0, 1, 2, 3, 4, 5, 6, 7, 8, 9, 10, 11}, 0)),
    IF(
      DATEDIF($B95, TODAY(), "M") + 1 &gt;= COLUMN(J:J) - 5,
      INDEX('Most Recent Import'!$F95:$Q95, 1, MATCH(DATEDIF($B95, TODAY(), "M") + 1 - (COLUMN(J:J) - 5), {0, 1, 2, 3, 4, 5, 6, 7, 8, 9, 10, 11}, 0)),
      ""
    )
  )
</f>
        <v/>
      </c>
      <c r="K95" s="412" t="str">
        <f t="array" ref="K95">IF(
    DATEDIF($B95, TODAY(), "M") &gt;= 11,
    INDEX('Most Recent Import'!$F95:$Q95, 1, MATCH(11 - (COLUMN(K:K) - 5), {0, 1, 2, 3, 4, 5, 6, 7, 8, 9, 10, 11}, 0)),
    IF(
      DATEDIF($B95, TODAY(), "M") + 1 &gt;= COLUMN(K:K) - 5,
      INDEX('Most Recent Import'!$F95:$Q95, 1, MATCH(DATEDIF($B95, TODAY(), "M") + 1 - (COLUMN(K:K) - 5), {0, 1, 2, 3, 4, 5, 6, 7, 8, 9, 10, 11}, 0)),
      ""
    )
  )
</f>
        <v/>
      </c>
      <c r="L95" s="412" t="str">
        <f t="array" ref="L95">IF(
    DATEDIF($B95, TODAY(), "M") &gt;= 11,
    INDEX('Most Recent Import'!$F95:$Q95, 1, MATCH(11 - (COLUMN(L:L) - 5), {0, 1, 2, 3, 4, 5, 6, 7, 8, 9, 10, 11}, 0)),
    IF(
      DATEDIF($B95, TODAY(), "M") + 1 &gt;= COLUMN(L:L) - 5,
      INDEX('Most Recent Import'!$F95:$Q95, 1, MATCH(DATEDIF($B95, TODAY(), "M") + 1 - (COLUMN(L:L) - 5), {0, 1, 2, 3, 4, 5, 6, 7, 8, 9, 10, 11}, 0)),
      ""
    )
  )
</f>
        <v/>
      </c>
      <c r="M95" s="412" t="str">
        <f t="array" ref="M95">IF(
    DATEDIF($B95, TODAY(), "M") &gt;= 11,
    INDEX('Most Recent Import'!$F95:$Q95, 1, MATCH(11 - (COLUMN(M:M) - 5), {0, 1, 2, 3, 4, 5, 6, 7, 8, 9, 10, 11}, 0)),
    IF(
      DATEDIF($B95, TODAY(), "M") + 1 &gt;= COLUMN(M:M) - 5,
      INDEX('Most Recent Import'!$F95:$Q95, 1, MATCH(DATEDIF($B95, TODAY(), "M") + 1 - (COLUMN(M:M) - 5), {0, 1, 2, 3, 4, 5, 6, 7, 8, 9, 10, 11}, 0)),
      ""
    )
  )
</f>
        <v/>
      </c>
      <c r="N95" s="412" t="str">
        <f t="array" ref="N95">IF(
    DATEDIF($B95, TODAY(), "M") &gt;= 11,
    INDEX('Most Recent Import'!$F95:$Q95, 1, MATCH(11 - (COLUMN(N:N) - 5), {0, 1, 2, 3, 4, 5, 6, 7, 8, 9, 10, 11}, 0)),
    IF(
      DATEDIF($B95, TODAY(), "M") + 1 &gt;= COLUMN(N:N) - 5,
      INDEX('Most Recent Import'!$F95:$Q95, 1, MATCH(DATEDIF($B95, TODAY(), "M") + 1 - (COLUMN(N:N) - 5), {0, 1, 2, 3, 4, 5, 6, 7, 8, 9, 10, 11}, 0)),
      ""
    )
  )
</f>
        <v/>
      </c>
      <c r="O95" s="412" t="str">
        <f t="array" ref="O95">IF(
    DATEDIF($B95, TODAY(), "M") &gt;= 11,
    INDEX('Most Recent Import'!$F95:$Q95, 1, MATCH(11 - (COLUMN(O:O) - 5), {0, 1, 2, 3, 4, 5, 6, 7, 8, 9, 10, 11}, 0)),
    IF(
      DATEDIF($B95, TODAY(), "M") + 1 &gt;= COLUMN(O:O) - 5,
      INDEX('Most Recent Import'!$F95:$Q95, 1, MATCH(DATEDIF($B95, TODAY(), "M") + 1 - (COLUMN(O:O) - 5), {0, 1, 2, 3, 4, 5, 6, 7, 8, 9, 10, 11}, 0)),
      ""
    )
  )
</f>
        <v/>
      </c>
      <c r="P95" s="412" t="str">
        <f t="array" ref="P95">IF(
    DATEDIF($B95, TODAY(), "M") &gt;= 11,
    INDEX('Most Recent Import'!$F95:$Q95, 1, MATCH(11 - (COLUMN(P:P) - 5), {0, 1, 2, 3, 4, 5, 6, 7, 8, 9, 10, 11}, 0)),
    IF(
      DATEDIF($B95, TODAY(), "M") + 1 &gt;= COLUMN(P:P) - 5,
      INDEX('Most Recent Import'!$F95:$Q95, 1, MATCH(DATEDIF($B95, TODAY(), "M") + 1 - (COLUMN(P:P) - 5), {0, 1, 2, 3, 4, 5, 6, 7, 8, 9, 10, 11}, 0)),
      ""
    )
  )
</f>
        <v/>
      </c>
    </row>
    <row r="96">
      <c r="A96" s="412" t="str">
        <f>'Most Recent Import'!A96</f>
        <v/>
      </c>
      <c r="B96" s="412" t="str">
        <f>IF(ISBLANK(A96), "", DATE(LEFT('Most Recent Import'!C96, 4), RIGHT('Most Recent Import'!C96, 2), 1))</f>
        <v/>
      </c>
      <c r="C96" s="414" t="str">
        <f>'Most Recent Import'!B96</f>
        <v/>
      </c>
      <c r="D96" s="412" t="str">
        <f>'Most Recent Import'!D96</f>
        <v/>
      </c>
      <c r="E96" s="412" t="str">
        <f t="array" ref="E96">IF(
    DATEDIF($B96, TODAY(), "M") &gt;= 11,
    INDEX('Most Recent Import'!$F96:$Q96, 1, MATCH(11 - (COLUMN(E:E) - 5), {0, 1, 2, 3, 4, 5, 6, 7, 8, 9, 10, 11}, 0)),
    IF(
      DATEDIF($B96, TODAY(), "M") + 1 &gt;= COLUMN(E:E) - 5,
      INDEX('Most Recent Import'!$F96:$Q96, 1, MATCH(DATEDIF($B96, TODAY(), "M") + 1 - (COLUMN(E:E) - 5), {0, 1, 2, 3, 4, 5, 6, 7, 8, 9, 10, 11}, 0)),
      ""
    )
  )
</f>
        <v/>
      </c>
      <c r="F96" s="412" t="str">
        <f t="array" ref="F96">IF(
    DATEDIF($B96, TODAY(), "M") &gt;= 11,
    INDEX('Most Recent Import'!$F96:$Q96, 1, MATCH(11 - (COLUMN(F:F) - 5), {0, 1, 2, 3, 4, 5, 6, 7, 8, 9, 10, 11}, 0)),
    IF(
      DATEDIF($B96, TODAY(), "M") + 1 &gt;= COLUMN(F:F) - 5,
      INDEX('Most Recent Import'!$F96:$Q96, 1, MATCH(DATEDIF($B96, TODAY(), "M") + 1 - (COLUMN(F:F) - 5), {0, 1, 2, 3, 4, 5, 6, 7, 8, 9, 10, 11}, 0)),
      ""
    )
  )
</f>
        <v/>
      </c>
      <c r="G96" s="412" t="str">
        <f t="array" ref="G96">IF(
    DATEDIF($B96, TODAY(), "M") &gt;= 11,
    INDEX('Most Recent Import'!$F96:$Q96, 1, MATCH(11 - (COLUMN(G:G) - 5), {0, 1, 2, 3, 4, 5, 6, 7, 8, 9, 10, 11}, 0)),
    IF(
      DATEDIF($B96, TODAY(), "M") + 1 &gt;= COLUMN(G:G) - 5,
      INDEX('Most Recent Import'!$F96:$Q96, 1, MATCH(DATEDIF($B96, TODAY(), "M") + 1 - (COLUMN(G:G) - 5), {0, 1, 2, 3, 4, 5, 6, 7, 8, 9, 10, 11}, 0)),
      ""
    )
  )
</f>
        <v/>
      </c>
      <c r="H96" s="412" t="str">
        <f t="array" ref="H96">IF(
    DATEDIF($B96, TODAY(), "M") &gt;= 11,
    INDEX('Most Recent Import'!$F96:$Q96, 1, MATCH(11 - (COLUMN(H:H) - 5), {0, 1, 2, 3, 4, 5, 6, 7, 8, 9, 10, 11}, 0)),
    IF(
      DATEDIF($B96, TODAY(), "M") + 1 &gt;= COLUMN(H:H) - 5,
      INDEX('Most Recent Import'!$F96:$Q96, 1, MATCH(DATEDIF($B96, TODAY(), "M") + 1 - (COLUMN(H:H) - 5), {0, 1, 2, 3, 4, 5, 6, 7, 8, 9, 10, 11}, 0)),
      ""
    )
  )
</f>
        <v/>
      </c>
      <c r="I96" s="412" t="str">
        <f t="array" ref="I96">IF(
    DATEDIF($B96, TODAY(), "M") &gt;= 11,
    INDEX('Most Recent Import'!$F96:$Q96, 1, MATCH(11 - (COLUMN(I:I) - 5), {0, 1, 2, 3, 4, 5, 6, 7, 8, 9, 10, 11}, 0)),
    IF(
      DATEDIF($B96, TODAY(), "M") + 1 &gt;= COLUMN(I:I) - 5,
      INDEX('Most Recent Import'!$F96:$Q96, 1, MATCH(DATEDIF($B96, TODAY(), "M") + 1 - (COLUMN(I:I) - 5), {0, 1, 2, 3, 4, 5, 6, 7, 8, 9, 10, 11}, 0)),
      ""
    )
  )
</f>
        <v/>
      </c>
      <c r="J96" s="412" t="str">
        <f t="array" ref="J96">IF(
    DATEDIF($B96, TODAY(), "M") &gt;= 11,
    INDEX('Most Recent Import'!$F96:$Q96, 1, MATCH(11 - (COLUMN(J:J) - 5), {0, 1, 2, 3, 4, 5, 6, 7, 8, 9, 10, 11}, 0)),
    IF(
      DATEDIF($B96, TODAY(), "M") + 1 &gt;= COLUMN(J:J) - 5,
      INDEX('Most Recent Import'!$F96:$Q96, 1, MATCH(DATEDIF($B96, TODAY(), "M") + 1 - (COLUMN(J:J) - 5), {0, 1, 2, 3, 4, 5, 6, 7, 8, 9, 10, 11}, 0)),
      ""
    )
  )
</f>
        <v/>
      </c>
      <c r="K96" s="412" t="str">
        <f t="array" ref="K96">IF(
    DATEDIF($B96, TODAY(), "M") &gt;= 11,
    INDEX('Most Recent Import'!$F96:$Q96, 1, MATCH(11 - (COLUMN(K:K) - 5), {0, 1, 2, 3, 4, 5, 6, 7, 8, 9, 10, 11}, 0)),
    IF(
      DATEDIF($B96, TODAY(), "M") + 1 &gt;= COLUMN(K:K) - 5,
      INDEX('Most Recent Import'!$F96:$Q96, 1, MATCH(DATEDIF($B96, TODAY(), "M") + 1 - (COLUMN(K:K) - 5), {0, 1, 2, 3, 4, 5, 6, 7, 8, 9, 10, 11}, 0)),
      ""
    )
  )
</f>
        <v/>
      </c>
      <c r="L96" s="412" t="str">
        <f t="array" ref="L96">IF(
    DATEDIF($B96, TODAY(), "M") &gt;= 11,
    INDEX('Most Recent Import'!$F96:$Q96, 1, MATCH(11 - (COLUMN(L:L) - 5), {0, 1, 2, 3, 4, 5, 6, 7, 8, 9, 10, 11}, 0)),
    IF(
      DATEDIF($B96, TODAY(), "M") + 1 &gt;= COLUMN(L:L) - 5,
      INDEX('Most Recent Import'!$F96:$Q96, 1, MATCH(DATEDIF($B96, TODAY(), "M") + 1 - (COLUMN(L:L) - 5), {0, 1, 2, 3, 4, 5, 6, 7, 8, 9, 10, 11}, 0)),
      ""
    )
  )
</f>
        <v/>
      </c>
      <c r="M96" s="412" t="str">
        <f t="array" ref="M96">IF(
    DATEDIF($B96, TODAY(), "M") &gt;= 11,
    INDEX('Most Recent Import'!$F96:$Q96, 1, MATCH(11 - (COLUMN(M:M) - 5), {0, 1, 2, 3, 4, 5, 6, 7, 8, 9, 10, 11}, 0)),
    IF(
      DATEDIF($B96, TODAY(), "M") + 1 &gt;= COLUMN(M:M) - 5,
      INDEX('Most Recent Import'!$F96:$Q96, 1, MATCH(DATEDIF($B96, TODAY(), "M") + 1 - (COLUMN(M:M) - 5), {0, 1, 2, 3, 4, 5, 6, 7, 8, 9, 10, 11}, 0)),
      ""
    )
  )
</f>
        <v/>
      </c>
      <c r="N96" s="412" t="str">
        <f t="array" ref="N96">IF(
    DATEDIF($B96, TODAY(), "M") &gt;= 11,
    INDEX('Most Recent Import'!$F96:$Q96, 1, MATCH(11 - (COLUMN(N:N) - 5), {0, 1, 2, 3, 4, 5, 6, 7, 8, 9, 10, 11}, 0)),
    IF(
      DATEDIF($B96, TODAY(), "M") + 1 &gt;= COLUMN(N:N) - 5,
      INDEX('Most Recent Import'!$F96:$Q96, 1, MATCH(DATEDIF($B96, TODAY(), "M") + 1 - (COLUMN(N:N) - 5), {0, 1, 2, 3, 4, 5, 6, 7, 8, 9, 10, 11}, 0)),
      ""
    )
  )
</f>
        <v/>
      </c>
      <c r="O96" s="412" t="str">
        <f t="array" ref="O96">IF(
    DATEDIF($B96, TODAY(), "M") &gt;= 11,
    INDEX('Most Recent Import'!$F96:$Q96, 1, MATCH(11 - (COLUMN(O:O) - 5), {0, 1, 2, 3, 4, 5, 6, 7, 8, 9, 10, 11}, 0)),
    IF(
      DATEDIF($B96, TODAY(), "M") + 1 &gt;= COLUMN(O:O) - 5,
      INDEX('Most Recent Import'!$F96:$Q96, 1, MATCH(DATEDIF($B96, TODAY(), "M") + 1 - (COLUMN(O:O) - 5), {0, 1, 2, 3, 4, 5, 6, 7, 8, 9, 10, 11}, 0)),
      ""
    )
  )
</f>
        <v/>
      </c>
      <c r="P96" s="412" t="str">
        <f t="array" ref="P96">IF(
    DATEDIF($B96, TODAY(), "M") &gt;= 11,
    INDEX('Most Recent Import'!$F96:$Q96, 1, MATCH(11 - (COLUMN(P:P) - 5), {0, 1, 2, 3, 4, 5, 6, 7, 8, 9, 10, 11}, 0)),
    IF(
      DATEDIF($B96, TODAY(), "M") + 1 &gt;= COLUMN(P:P) - 5,
      INDEX('Most Recent Import'!$F96:$Q96, 1, MATCH(DATEDIF($B96, TODAY(), "M") + 1 - (COLUMN(P:P) - 5), {0, 1, 2, 3, 4, 5, 6, 7, 8, 9, 10, 11}, 0)),
      ""
    )
  )
</f>
        <v/>
      </c>
    </row>
    <row r="97">
      <c r="A97" s="412" t="str">
        <f>'Most Recent Import'!A97</f>
        <v/>
      </c>
      <c r="B97" s="412" t="str">
        <f>IF(ISBLANK(A97), "", DATE(LEFT('Most Recent Import'!C97, 4), RIGHT('Most Recent Import'!C97, 2), 1))</f>
        <v/>
      </c>
      <c r="C97" s="414" t="str">
        <f>'Most Recent Import'!B97</f>
        <v/>
      </c>
      <c r="D97" s="412" t="str">
        <f>'Most Recent Import'!D97</f>
        <v/>
      </c>
      <c r="E97" s="412" t="str">
        <f t="array" ref="E97">IF(
    DATEDIF($B97, TODAY(), "M") &gt;= 11,
    INDEX('Most Recent Import'!$F97:$Q97, 1, MATCH(11 - (COLUMN(E:E) - 5), {0, 1, 2, 3, 4, 5, 6, 7, 8, 9, 10, 11}, 0)),
    IF(
      DATEDIF($B97, TODAY(), "M") + 1 &gt;= COLUMN(E:E) - 5,
      INDEX('Most Recent Import'!$F97:$Q97, 1, MATCH(DATEDIF($B97, TODAY(), "M") + 1 - (COLUMN(E:E) - 5), {0, 1, 2, 3, 4, 5, 6, 7, 8, 9, 10, 11}, 0)),
      ""
    )
  )
</f>
        <v/>
      </c>
      <c r="F97" s="412" t="str">
        <f t="array" ref="F97">IF(
    DATEDIF($B97, TODAY(), "M") &gt;= 11,
    INDEX('Most Recent Import'!$F97:$Q97, 1, MATCH(11 - (COLUMN(F:F) - 5), {0, 1, 2, 3, 4, 5, 6, 7, 8, 9, 10, 11}, 0)),
    IF(
      DATEDIF($B97, TODAY(), "M") + 1 &gt;= COLUMN(F:F) - 5,
      INDEX('Most Recent Import'!$F97:$Q97, 1, MATCH(DATEDIF($B97, TODAY(), "M") + 1 - (COLUMN(F:F) - 5), {0, 1, 2, 3, 4, 5, 6, 7, 8, 9, 10, 11}, 0)),
      ""
    )
  )
</f>
        <v/>
      </c>
      <c r="G97" s="412" t="str">
        <f t="array" ref="G97">IF(
    DATEDIF($B97, TODAY(), "M") &gt;= 11,
    INDEX('Most Recent Import'!$F97:$Q97, 1, MATCH(11 - (COLUMN(G:G) - 5), {0, 1, 2, 3, 4, 5, 6, 7, 8, 9, 10, 11}, 0)),
    IF(
      DATEDIF($B97, TODAY(), "M") + 1 &gt;= COLUMN(G:G) - 5,
      INDEX('Most Recent Import'!$F97:$Q97, 1, MATCH(DATEDIF($B97, TODAY(), "M") + 1 - (COLUMN(G:G) - 5), {0, 1, 2, 3, 4, 5, 6, 7, 8, 9, 10, 11}, 0)),
      ""
    )
  )
</f>
        <v/>
      </c>
      <c r="H97" s="412" t="str">
        <f t="array" ref="H97">IF(
    DATEDIF($B97, TODAY(), "M") &gt;= 11,
    INDEX('Most Recent Import'!$F97:$Q97, 1, MATCH(11 - (COLUMN(H:H) - 5), {0, 1, 2, 3, 4, 5, 6, 7, 8, 9, 10, 11}, 0)),
    IF(
      DATEDIF($B97, TODAY(), "M") + 1 &gt;= COLUMN(H:H) - 5,
      INDEX('Most Recent Import'!$F97:$Q97, 1, MATCH(DATEDIF($B97, TODAY(), "M") + 1 - (COLUMN(H:H) - 5), {0, 1, 2, 3, 4, 5, 6, 7, 8, 9, 10, 11}, 0)),
      ""
    )
  )
</f>
        <v/>
      </c>
      <c r="I97" s="412" t="str">
        <f t="array" ref="I97">IF(
    DATEDIF($B97, TODAY(), "M") &gt;= 11,
    INDEX('Most Recent Import'!$F97:$Q97, 1, MATCH(11 - (COLUMN(I:I) - 5), {0, 1, 2, 3, 4, 5, 6, 7, 8, 9, 10, 11}, 0)),
    IF(
      DATEDIF($B97, TODAY(), "M") + 1 &gt;= COLUMN(I:I) - 5,
      INDEX('Most Recent Import'!$F97:$Q97, 1, MATCH(DATEDIF($B97, TODAY(), "M") + 1 - (COLUMN(I:I) - 5), {0, 1, 2, 3, 4, 5, 6, 7, 8, 9, 10, 11}, 0)),
      ""
    )
  )
</f>
        <v/>
      </c>
      <c r="J97" s="412" t="str">
        <f t="array" ref="J97">IF(
    DATEDIF($B97, TODAY(), "M") &gt;= 11,
    INDEX('Most Recent Import'!$F97:$Q97, 1, MATCH(11 - (COLUMN(J:J) - 5), {0, 1, 2, 3, 4, 5, 6, 7, 8, 9, 10, 11}, 0)),
    IF(
      DATEDIF($B97, TODAY(), "M") + 1 &gt;= COLUMN(J:J) - 5,
      INDEX('Most Recent Import'!$F97:$Q97, 1, MATCH(DATEDIF($B97, TODAY(), "M") + 1 - (COLUMN(J:J) - 5), {0, 1, 2, 3, 4, 5, 6, 7, 8, 9, 10, 11}, 0)),
      ""
    )
  )
</f>
        <v/>
      </c>
      <c r="K97" s="412" t="str">
        <f t="array" ref="K97">IF(
    DATEDIF($B97, TODAY(), "M") &gt;= 11,
    INDEX('Most Recent Import'!$F97:$Q97, 1, MATCH(11 - (COLUMN(K:K) - 5), {0, 1, 2, 3, 4, 5, 6, 7, 8, 9, 10, 11}, 0)),
    IF(
      DATEDIF($B97, TODAY(), "M") + 1 &gt;= COLUMN(K:K) - 5,
      INDEX('Most Recent Import'!$F97:$Q97, 1, MATCH(DATEDIF($B97, TODAY(), "M") + 1 - (COLUMN(K:K) - 5), {0, 1, 2, 3, 4, 5, 6, 7, 8, 9, 10, 11}, 0)),
      ""
    )
  )
</f>
        <v/>
      </c>
      <c r="L97" s="412" t="str">
        <f t="array" ref="L97">IF(
    DATEDIF($B97, TODAY(), "M") &gt;= 11,
    INDEX('Most Recent Import'!$F97:$Q97, 1, MATCH(11 - (COLUMN(L:L) - 5), {0, 1, 2, 3, 4, 5, 6, 7, 8, 9, 10, 11}, 0)),
    IF(
      DATEDIF($B97, TODAY(), "M") + 1 &gt;= COLUMN(L:L) - 5,
      INDEX('Most Recent Import'!$F97:$Q97, 1, MATCH(DATEDIF($B97, TODAY(), "M") + 1 - (COLUMN(L:L) - 5), {0, 1, 2, 3, 4, 5, 6, 7, 8, 9, 10, 11}, 0)),
      ""
    )
  )
</f>
        <v/>
      </c>
      <c r="M97" s="412" t="str">
        <f t="array" ref="M97">IF(
    DATEDIF($B97, TODAY(), "M") &gt;= 11,
    INDEX('Most Recent Import'!$F97:$Q97, 1, MATCH(11 - (COLUMN(M:M) - 5), {0, 1, 2, 3, 4, 5, 6, 7, 8, 9, 10, 11}, 0)),
    IF(
      DATEDIF($B97, TODAY(), "M") + 1 &gt;= COLUMN(M:M) - 5,
      INDEX('Most Recent Import'!$F97:$Q97, 1, MATCH(DATEDIF($B97, TODAY(), "M") + 1 - (COLUMN(M:M) - 5), {0, 1, 2, 3, 4, 5, 6, 7, 8, 9, 10, 11}, 0)),
      ""
    )
  )
</f>
        <v/>
      </c>
      <c r="N97" s="412" t="str">
        <f t="array" ref="N97">IF(
    DATEDIF($B97, TODAY(), "M") &gt;= 11,
    INDEX('Most Recent Import'!$F97:$Q97, 1, MATCH(11 - (COLUMN(N:N) - 5), {0, 1, 2, 3, 4, 5, 6, 7, 8, 9, 10, 11}, 0)),
    IF(
      DATEDIF($B97, TODAY(), "M") + 1 &gt;= COLUMN(N:N) - 5,
      INDEX('Most Recent Import'!$F97:$Q97, 1, MATCH(DATEDIF($B97, TODAY(), "M") + 1 - (COLUMN(N:N) - 5), {0, 1, 2, 3, 4, 5, 6, 7, 8, 9, 10, 11}, 0)),
      ""
    )
  )
</f>
        <v/>
      </c>
      <c r="O97" s="412" t="str">
        <f t="array" ref="O97">IF(
    DATEDIF($B97, TODAY(), "M") &gt;= 11,
    INDEX('Most Recent Import'!$F97:$Q97, 1, MATCH(11 - (COLUMN(O:O) - 5), {0, 1, 2, 3, 4, 5, 6, 7, 8, 9, 10, 11}, 0)),
    IF(
      DATEDIF($B97, TODAY(), "M") + 1 &gt;= COLUMN(O:O) - 5,
      INDEX('Most Recent Import'!$F97:$Q97, 1, MATCH(DATEDIF($B97, TODAY(), "M") + 1 - (COLUMN(O:O) - 5), {0, 1, 2, 3, 4, 5, 6, 7, 8, 9, 10, 11}, 0)),
      ""
    )
  )
</f>
        <v/>
      </c>
      <c r="P97" s="412" t="str">
        <f t="array" ref="P97">IF(
    DATEDIF($B97, TODAY(), "M") &gt;= 11,
    INDEX('Most Recent Import'!$F97:$Q97, 1, MATCH(11 - (COLUMN(P:P) - 5), {0, 1, 2, 3, 4, 5, 6, 7, 8, 9, 10, 11}, 0)),
    IF(
      DATEDIF($B97, TODAY(), "M") + 1 &gt;= COLUMN(P:P) - 5,
      INDEX('Most Recent Import'!$F97:$Q97, 1, MATCH(DATEDIF($B97, TODAY(), "M") + 1 - (COLUMN(P:P) - 5), {0, 1, 2, 3, 4, 5, 6, 7, 8, 9, 10, 11}, 0)),
      ""
    )
  )
</f>
        <v/>
      </c>
    </row>
    <row r="98">
      <c r="A98" s="412" t="str">
        <f>'Most Recent Import'!A98</f>
        <v/>
      </c>
      <c r="B98" s="412" t="str">
        <f>IF(ISBLANK(A98), "", DATE(LEFT('Most Recent Import'!C98, 4), RIGHT('Most Recent Import'!C98, 2), 1))</f>
        <v/>
      </c>
      <c r="C98" s="414" t="str">
        <f>'Most Recent Import'!B98</f>
        <v/>
      </c>
      <c r="D98" s="412" t="str">
        <f>'Most Recent Import'!D98</f>
        <v/>
      </c>
      <c r="E98" s="412" t="str">
        <f t="array" ref="E98">IF(
    DATEDIF($B98, TODAY(), "M") &gt;= 11,
    INDEX('Most Recent Import'!$F98:$Q98, 1, MATCH(11 - (COLUMN(E:E) - 5), {0, 1, 2, 3, 4, 5, 6, 7, 8, 9, 10, 11}, 0)),
    IF(
      DATEDIF($B98, TODAY(), "M") + 1 &gt;= COLUMN(E:E) - 5,
      INDEX('Most Recent Import'!$F98:$Q98, 1, MATCH(DATEDIF($B98, TODAY(), "M") + 1 - (COLUMN(E:E) - 5), {0, 1, 2, 3, 4, 5, 6, 7, 8, 9, 10, 11}, 0)),
      ""
    )
  )
</f>
        <v/>
      </c>
      <c r="F98" s="412" t="str">
        <f t="array" ref="F98">IF(
    DATEDIF($B98, TODAY(), "M") &gt;= 11,
    INDEX('Most Recent Import'!$F98:$Q98, 1, MATCH(11 - (COLUMN(F:F) - 5), {0, 1, 2, 3, 4, 5, 6, 7, 8, 9, 10, 11}, 0)),
    IF(
      DATEDIF($B98, TODAY(), "M") + 1 &gt;= COLUMN(F:F) - 5,
      INDEX('Most Recent Import'!$F98:$Q98, 1, MATCH(DATEDIF($B98, TODAY(), "M") + 1 - (COLUMN(F:F) - 5), {0, 1, 2, 3, 4, 5, 6, 7, 8, 9, 10, 11}, 0)),
      ""
    )
  )
</f>
        <v/>
      </c>
      <c r="G98" s="412" t="str">
        <f t="array" ref="G98">IF(
    DATEDIF($B98, TODAY(), "M") &gt;= 11,
    INDEX('Most Recent Import'!$F98:$Q98, 1, MATCH(11 - (COLUMN(G:G) - 5), {0, 1, 2, 3, 4, 5, 6, 7, 8, 9, 10, 11}, 0)),
    IF(
      DATEDIF($B98, TODAY(), "M") + 1 &gt;= COLUMN(G:G) - 5,
      INDEX('Most Recent Import'!$F98:$Q98, 1, MATCH(DATEDIF($B98, TODAY(), "M") + 1 - (COLUMN(G:G) - 5), {0, 1, 2, 3, 4, 5, 6, 7, 8, 9, 10, 11}, 0)),
      ""
    )
  )
</f>
        <v/>
      </c>
      <c r="H98" s="412" t="str">
        <f t="array" ref="H98">IF(
    DATEDIF($B98, TODAY(), "M") &gt;= 11,
    INDEX('Most Recent Import'!$F98:$Q98, 1, MATCH(11 - (COLUMN(H:H) - 5), {0, 1, 2, 3, 4, 5, 6, 7, 8, 9, 10, 11}, 0)),
    IF(
      DATEDIF($B98, TODAY(), "M") + 1 &gt;= COLUMN(H:H) - 5,
      INDEX('Most Recent Import'!$F98:$Q98, 1, MATCH(DATEDIF($B98, TODAY(), "M") + 1 - (COLUMN(H:H) - 5), {0, 1, 2, 3, 4, 5, 6, 7, 8, 9, 10, 11}, 0)),
      ""
    )
  )
</f>
        <v/>
      </c>
      <c r="I98" s="412" t="str">
        <f t="array" ref="I98">IF(
    DATEDIF($B98, TODAY(), "M") &gt;= 11,
    INDEX('Most Recent Import'!$F98:$Q98, 1, MATCH(11 - (COLUMN(I:I) - 5), {0, 1, 2, 3, 4, 5, 6, 7, 8, 9, 10, 11}, 0)),
    IF(
      DATEDIF($B98, TODAY(), "M") + 1 &gt;= COLUMN(I:I) - 5,
      INDEX('Most Recent Import'!$F98:$Q98, 1, MATCH(DATEDIF($B98, TODAY(), "M") + 1 - (COLUMN(I:I) - 5), {0, 1, 2, 3, 4, 5, 6, 7, 8, 9, 10, 11}, 0)),
      ""
    )
  )
</f>
        <v/>
      </c>
      <c r="J98" s="412" t="str">
        <f t="array" ref="J98">IF(
    DATEDIF($B98, TODAY(), "M") &gt;= 11,
    INDEX('Most Recent Import'!$F98:$Q98, 1, MATCH(11 - (COLUMN(J:J) - 5), {0, 1, 2, 3, 4, 5, 6, 7, 8, 9, 10, 11}, 0)),
    IF(
      DATEDIF($B98, TODAY(), "M") + 1 &gt;= COLUMN(J:J) - 5,
      INDEX('Most Recent Import'!$F98:$Q98, 1, MATCH(DATEDIF($B98, TODAY(), "M") + 1 - (COLUMN(J:J) - 5), {0, 1, 2, 3, 4, 5, 6, 7, 8, 9, 10, 11}, 0)),
      ""
    )
  )
</f>
        <v/>
      </c>
      <c r="K98" s="412" t="str">
        <f t="array" ref="K98">IF(
    DATEDIF($B98, TODAY(), "M") &gt;= 11,
    INDEX('Most Recent Import'!$F98:$Q98, 1, MATCH(11 - (COLUMN(K:K) - 5), {0, 1, 2, 3, 4, 5, 6, 7, 8, 9, 10, 11}, 0)),
    IF(
      DATEDIF($B98, TODAY(), "M") + 1 &gt;= COLUMN(K:K) - 5,
      INDEX('Most Recent Import'!$F98:$Q98, 1, MATCH(DATEDIF($B98, TODAY(), "M") + 1 - (COLUMN(K:K) - 5), {0, 1, 2, 3, 4, 5, 6, 7, 8, 9, 10, 11}, 0)),
      ""
    )
  )
</f>
        <v/>
      </c>
      <c r="L98" s="412" t="str">
        <f t="array" ref="L98">IF(
    DATEDIF($B98, TODAY(), "M") &gt;= 11,
    INDEX('Most Recent Import'!$F98:$Q98, 1, MATCH(11 - (COLUMN(L:L) - 5), {0, 1, 2, 3, 4, 5, 6, 7, 8, 9, 10, 11}, 0)),
    IF(
      DATEDIF($B98, TODAY(), "M") + 1 &gt;= COLUMN(L:L) - 5,
      INDEX('Most Recent Import'!$F98:$Q98, 1, MATCH(DATEDIF($B98, TODAY(), "M") + 1 - (COLUMN(L:L) - 5), {0, 1, 2, 3, 4, 5, 6, 7, 8, 9, 10, 11}, 0)),
      ""
    )
  )
</f>
        <v/>
      </c>
      <c r="M98" s="412" t="str">
        <f t="array" ref="M98">IF(
    DATEDIF($B98, TODAY(), "M") &gt;= 11,
    INDEX('Most Recent Import'!$F98:$Q98, 1, MATCH(11 - (COLUMN(M:M) - 5), {0, 1, 2, 3, 4, 5, 6, 7, 8, 9, 10, 11}, 0)),
    IF(
      DATEDIF($B98, TODAY(), "M") + 1 &gt;= COLUMN(M:M) - 5,
      INDEX('Most Recent Import'!$F98:$Q98, 1, MATCH(DATEDIF($B98, TODAY(), "M") + 1 - (COLUMN(M:M) - 5), {0, 1, 2, 3, 4, 5, 6, 7, 8, 9, 10, 11}, 0)),
      ""
    )
  )
</f>
        <v/>
      </c>
      <c r="N98" s="412" t="str">
        <f t="array" ref="N98">IF(
    DATEDIF($B98, TODAY(), "M") &gt;= 11,
    INDEX('Most Recent Import'!$F98:$Q98, 1, MATCH(11 - (COLUMN(N:N) - 5), {0, 1, 2, 3, 4, 5, 6, 7, 8, 9, 10, 11}, 0)),
    IF(
      DATEDIF($B98, TODAY(), "M") + 1 &gt;= COLUMN(N:N) - 5,
      INDEX('Most Recent Import'!$F98:$Q98, 1, MATCH(DATEDIF($B98, TODAY(), "M") + 1 - (COLUMN(N:N) - 5), {0, 1, 2, 3, 4, 5, 6, 7, 8, 9, 10, 11}, 0)),
      ""
    )
  )
</f>
        <v/>
      </c>
      <c r="O98" s="412" t="str">
        <f t="array" ref="O98">IF(
    DATEDIF($B98, TODAY(), "M") &gt;= 11,
    INDEX('Most Recent Import'!$F98:$Q98, 1, MATCH(11 - (COLUMN(O:O) - 5), {0, 1, 2, 3, 4, 5, 6, 7, 8, 9, 10, 11}, 0)),
    IF(
      DATEDIF($B98, TODAY(), "M") + 1 &gt;= COLUMN(O:O) - 5,
      INDEX('Most Recent Import'!$F98:$Q98, 1, MATCH(DATEDIF($B98, TODAY(), "M") + 1 - (COLUMN(O:O) - 5), {0, 1, 2, 3, 4, 5, 6, 7, 8, 9, 10, 11}, 0)),
      ""
    )
  )
</f>
        <v/>
      </c>
      <c r="P98" s="412" t="str">
        <f t="array" ref="P98">IF(
    DATEDIF($B98, TODAY(), "M") &gt;= 11,
    INDEX('Most Recent Import'!$F98:$Q98, 1, MATCH(11 - (COLUMN(P:P) - 5), {0, 1, 2, 3, 4, 5, 6, 7, 8, 9, 10, 11}, 0)),
    IF(
      DATEDIF($B98, TODAY(), "M") + 1 &gt;= COLUMN(P:P) - 5,
      INDEX('Most Recent Import'!$F98:$Q98, 1, MATCH(DATEDIF($B98, TODAY(), "M") + 1 - (COLUMN(P:P) - 5), {0, 1, 2, 3, 4, 5, 6, 7, 8, 9, 10, 11}, 0)),
      ""
    )
  )
</f>
        <v/>
      </c>
    </row>
    <row r="99">
      <c r="A99" s="412" t="str">
        <f>'Most Recent Import'!A99</f>
        <v/>
      </c>
      <c r="B99" s="412" t="str">
        <f>IF(ISBLANK(A99), "", DATE(LEFT('Most Recent Import'!C99, 4), RIGHT('Most Recent Import'!C99, 2), 1))</f>
        <v/>
      </c>
      <c r="C99" s="414" t="str">
        <f>'Most Recent Import'!B99</f>
        <v/>
      </c>
      <c r="D99" s="412" t="str">
        <f>'Most Recent Import'!D99</f>
        <v/>
      </c>
      <c r="E99" s="412" t="str">
        <f t="array" ref="E99">IF(
    DATEDIF($B99, TODAY(), "M") &gt;= 11,
    INDEX('Most Recent Import'!$F99:$Q99, 1, MATCH(11 - (COLUMN(E:E) - 5), {0, 1, 2, 3, 4, 5, 6, 7, 8, 9, 10, 11}, 0)),
    IF(
      DATEDIF($B99, TODAY(), "M") + 1 &gt;= COLUMN(E:E) - 5,
      INDEX('Most Recent Import'!$F99:$Q99, 1, MATCH(DATEDIF($B99, TODAY(), "M") + 1 - (COLUMN(E:E) - 5), {0, 1, 2, 3, 4, 5, 6, 7, 8, 9, 10, 11}, 0)),
      ""
    )
  )
</f>
        <v/>
      </c>
      <c r="F99" s="412" t="str">
        <f t="array" ref="F99">IF(
    DATEDIF($B99, TODAY(), "M") &gt;= 11,
    INDEX('Most Recent Import'!$F99:$Q99, 1, MATCH(11 - (COLUMN(F:F) - 5), {0, 1, 2, 3, 4, 5, 6, 7, 8, 9, 10, 11}, 0)),
    IF(
      DATEDIF($B99, TODAY(), "M") + 1 &gt;= COLUMN(F:F) - 5,
      INDEX('Most Recent Import'!$F99:$Q99, 1, MATCH(DATEDIF($B99, TODAY(), "M") + 1 - (COLUMN(F:F) - 5), {0, 1, 2, 3, 4, 5, 6, 7, 8, 9, 10, 11}, 0)),
      ""
    )
  )
</f>
        <v/>
      </c>
      <c r="G99" s="412" t="str">
        <f t="array" ref="G99">IF(
    DATEDIF($B99, TODAY(), "M") &gt;= 11,
    INDEX('Most Recent Import'!$F99:$Q99, 1, MATCH(11 - (COLUMN(G:G) - 5), {0, 1, 2, 3, 4, 5, 6, 7, 8, 9, 10, 11}, 0)),
    IF(
      DATEDIF($B99, TODAY(), "M") + 1 &gt;= COLUMN(G:G) - 5,
      INDEX('Most Recent Import'!$F99:$Q99, 1, MATCH(DATEDIF($B99, TODAY(), "M") + 1 - (COLUMN(G:G) - 5), {0, 1, 2, 3, 4, 5, 6, 7, 8, 9, 10, 11}, 0)),
      ""
    )
  )
</f>
        <v/>
      </c>
      <c r="H99" s="412" t="str">
        <f t="array" ref="H99">IF(
    DATEDIF($B99, TODAY(), "M") &gt;= 11,
    INDEX('Most Recent Import'!$F99:$Q99, 1, MATCH(11 - (COLUMN(H:H) - 5), {0, 1, 2, 3, 4, 5, 6, 7, 8, 9, 10, 11}, 0)),
    IF(
      DATEDIF($B99, TODAY(), "M") + 1 &gt;= COLUMN(H:H) - 5,
      INDEX('Most Recent Import'!$F99:$Q99, 1, MATCH(DATEDIF($B99, TODAY(), "M") + 1 - (COLUMN(H:H) - 5), {0, 1, 2, 3, 4, 5, 6, 7, 8, 9, 10, 11}, 0)),
      ""
    )
  )
</f>
        <v/>
      </c>
      <c r="I99" s="412" t="str">
        <f t="array" ref="I99">IF(
    DATEDIF($B99, TODAY(), "M") &gt;= 11,
    INDEX('Most Recent Import'!$F99:$Q99, 1, MATCH(11 - (COLUMN(I:I) - 5), {0, 1, 2, 3, 4, 5, 6, 7, 8, 9, 10, 11}, 0)),
    IF(
      DATEDIF($B99, TODAY(), "M") + 1 &gt;= COLUMN(I:I) - 5,
      INDEX('Most Recent Import'!$F99:$Q99, 1, MATCH(DATEDIF($B99, TODAY(), "M") + 1 - (COLUMN(I:I) - 5), {0, 1, 2, 3, 4, 5, 6, 7, 8, 9, 10, 11}, 0)),
      ""
    )
  )
</f>
        <v/>
      </c>
      <c r="J99" s="412" t="str">
        <f t="array" ref="J99">IF(
    DATEDIF($B99, TODAY(), "M") &gt;= 11,
    INDEX('Most Recent Import'!$F99:$Q99, 1, MATCH(11 - (COLUMN(J:J) - 5), {0, 1, 2, 3, 4, 5, 6, 7, 8, 9, 10, 11}, 0)),
    IF(
      DATEDIF($B99, TODAY(), "M") + 1 &gt;= COLUMN(J:J) - 5,
      INDEX('Most Recent Import'!$F99:$Q99, 1, MATCH(DATEDIF($B99, TODAY(), "M") + 1 - (COLUMN(J:J) - 5), {0, 1, 2, 3, 4, 5, 6, 7, 8, 9, 10, 11}, 0)),
      ""
    )
  )
</f>
        <v/>
      </c>
      <c r="K99" s="412" t="str">
        <f t="array" ref="K99">IF(
    DATEDIF($B99, TODAY(), "M") &gt;= 11,
    INDEX('Most Recent Import'!$F99:$Q99, 1, MATCH(11 - (COLUMN(K:K) - 5), {0, 1, 2, 3, 4, 5, 6, 7, 8, 9, 10, 11}, 0)),
    IF(
      DATEDIF($B99, TODAY(), "M") + 1 &gt;= COLUMN(K:K) - 5,
      INDEX('Most Recent Import'!$F99:$Q99, 1, MATCH(DATEDIF($B99, TODAY(), "M") + 1 - (COLUMN(K:K) - 5), {0, 1, 2, 3, 4, 5, 6, 7, 8, 9, 10, 11}, 0)),
      ""
    )
  )
</f>
        <v/>
      </c>
      <c r="L99" s="412" t="str">
        <f t="array" ref="L99">IF(
    DATEDIF($B99, TODAY(), "M") &gt;= 11,
    INDEX('Most Recent Import'!$F99:$Q99, 1, MATCH(11 - (COLUMN(L:L) - 5), {0, 1, 2, 3, 4, 5, 6, 7, 8, 9, 10, 11}, 0)),
    IF(
      DATEDIF($B99, TODAY(), "M") + 1 &gt;= COLUMN(L:L) - 5,
      INDEX('Most Recent Import'!$F99:$Q99, 1, MATCH(DATEDIF($B99, TODAY(), "M") + 1 - (COLUMN(L:L) - 5), {0, 1, 2, 3, 4, 5, 6, 7, 8, 9, 10, 11}, 0)),
      ""
    )
  )
</f>
        <v/>
      </c>
      <c r="M99" s="412" t="str">
        <f t="array" ref="M99">IF(
    DATEDIF($B99, TODAY(), "M") &gt;= 11,
    INDEX('Most Recent Import'!$F99:$Q99, 1, MATCH(11 - (COLUMN(M:M) - 5), {0, 1, 2, 3, 4, 5, 6, 7, 8, 9, 10, 11}, 0)),
    IF(
      DATEDIF($B99, TODAY(), "M") + 1 &gt;= COLUMN(M:M) - 5,
      INDEX('Most Recent Import'!$F99:$Q99, 1, MATCH(DATEDIF($B99, TODAY(), "M") + 1 - (COLUMN(M:M) - 5), {0, 1, 2, 3, 4, 5, 6, 7, 8, 9, 10, 11}, 0)),
      ""
    )
  )
</f>
        <v/>
      </c>
      <c r="N99" s="412" t="str">
        <f t="array" ref="N99">IF(
    DATEDIF($B99, TODAY(), "M") &gt;= 11,
    INDEX('Most Recent Import'!$F99:$Q99, 1, MATCH(11 - (COLUMN(N:N) - 5), {0, 1, 2, 3, 4, 5, 6, 7, 8, 9, 10, 11}, 0)),
    IF(
      DATEDIF($B99, TODAY(), "M") + 1 &gt;= COLUMN(N:N) - 5,
      INDEX('Most Recent Import'!$F99:$Q99, 1, MATCH(DATEDIF($B99, TODAY(), "M") + 1 - (COLUMN(N:N) - 5), {0, 1, 2, 3, 4, 5, 6, 7, 8, 9, 10, 11}, 0)),
      ""
    )
  )
</f>
        <v/>
      </c>
      <c r="O99" s="412" t="str">
        <f t="array" ref="O99">IF(
    DATEDIF($B99, TODAY(), "M") &gt;= 11,
    INDEX('Most Recent Import'!$F99:$Q99, 1, MATCH(11 - (COLUMN(O:O) - 5), {0, 1, 2, 3, 4, 5, 6, 7, 8, 9, 10, 11}, 0)),
    IF(
      DATEDIF($B99, TODAY(), "M") + 1 &gt;= COLUMN(O:O) - 5,
      INDEX('Most Recent Import'!$F99:$Q99, 1, MATCH(DATEDIF($B99, TODAY(), "M") + 1 - (COLUMN(O:O) - 5), {0, 1, 2, 3, 4, 5, 6, 7, 8, 9, 10, 11}, 0)),
      ""
    )
  )
</f>
        <v/>
      </c>
      <c r="P99" s="412" t="str">
        <f t="array" ref="P99">IF(
    DATEDIF($B99, TODAY(), "M") &gt;= 11,
    INDEX('Most Recent Import'!$F99:$Q99, 1, MATCH(11 - (COLUMN(P:P) - 5), {0, 1, 2, 3, 4, 5, 6, 7, 8, 9, 10, 11}, 0)),
    IF(
      DATEDIF($B99, TODAY(), "M") + 1 &gt;= COLUMN(P:P) - 5,
      INDEX('Most Recent Import'!$F99:$Q99, 1, MATCH(DATEDIF($B99, TODAY(), "M") + 1 - (COLUMN(P:P) - 5), {0, 1, 2, 3, 4, 5, 6, 7, 8, 9, 10, 11}, 0)),
      ""
    )
  )
</f>
        <v/>
      </c>
    </row>
    <row r="100">
      <c r="A100" s="412" t="str">
        <f>'Most Recent Import'!A100</f>
        <v/>
      </c>
      <c r="B100" s="412" t="str">
        <f>IF(ISBLANK(A100), "", DATE(LEFT('Most Recent Import'!C100, 4), RIGHT('Most Recent Import'!C100, 2), 1))</f>
        <v/>
      </c>
      <c r="C100" s="414" t="str">
        <f>'Most Recent Import'!B100</f>
        <v/>
      </c>
      <c r="D100" s="412" t="str">
        <f>'Most Recent Import'!D100</f>
        <v/>
      </c>
      <c r="E100" s="412" t="str">
        <f t="array" ref="E100">IF(
    DATEDIF($B100, TODAY(), "M") &gt;= 11,
    INDEX('Most Recent Import'!$F100:$Q100, 1, MATCH(11 - (COLUMN(E:E) - 5), {0, 1, 2, 3, 4, 5, 6, 7, 8, 9, 10, 11}, 0)),
    IF(
      DATEDIF($B100, TODAY(), "M") + 1 &gt;= COLUMN(E:E) - 5,
      INDEX('Most Recent Import'!$F100:$Q100, 1, MATCH(DATEDIF($B100, TODAY(), "M") + 1 - (COLUMN(E:E) - 5), {0, 1, 2, 3, 4, 5, 6, 7, 8, 9, 10, 11}, 0)),
      ""
    )
  )
</f>
        <v/>
      </c>
      <c r="F100" s="412" t="str">
        <f t="array" ref="F100">IF(
    DATEDIF($B100, TODAY(), "M") &gt;= 11,
    INDEX('Most Recent Import'!$F100:$Q100, 1, MATCH(11 - (COLUMN(F:F) - 5), {0, 1, 2, 3, 4, 5, 6, 7, 8, 9, 10, 11}, 0)),
    IF(
      DATEDIF($B100, TODAY(), "M") + 1 &gt;= COLUMN(F:F) - 5,
      INDEX('Most Recent Import'!$F100:$Q100, 1, MATCH(DATEDIF($B100, TODAY(), "M") + 1 - (COLUMN(F:F) - 5), {0, 1, 2, 3, 4, 5, 6, 7, 8, 9, 10, 11}, 0)),
      ""
    )
  )
</f>
        <v/>
      </c>
      <c r="G100" s="412" t="str">
        <f t="array" ref="G100">IF(
    DATEDIF($B100, TODAY(), "M") &gt;= 11,
    INDEX('Most Recent Import'!$F100:$Q100, 1, MATCH(11 - (COLUMN(G:G) - 5), {0, 1, 2, 3, 4, 5, 6, 7, 8, 9, 10, 11}, 0)),
    IF(
      DATEDIF($B100, TODAY(), "M") + 1 &gt;= COLUMN(G:G) - 5,
      INDEX('Most Recent Import'!$F100:$Q100, 1, MATCH(DATEDIF($B100, TODAY(), "M") + 1 - (COLUMN(G:G) - 5), {0, 1, 2, 3, 4, 5, 6, 7, 8, 9, 10, 11}, 0)),
      ""
    )
  )
</f>
        <v/>
      </c>
      <c r="H100" s="412" t="str">
        <f t="array" ref="H100">IF(
    DATEDIF($B100, TODAY(), "M") &gt;= 11,
    INDEX('Most Recent Import'!$F100:$Q100, 1, MATCH(11 - (COLUMN(H:H) - 5), {0, 1, 2, 3, 4, 5, 6, 7, 8, 9, 10, 11}, 0)),
    IF(
      DATEDIF($B100, TODAY(), "M") + 1 &gt;= COLUMN(H:H) - 5,
      INDEX('Most Recent Import'!$F100:$Q100, 1, MATCH(DATEDIF($B100, TODAY(), "M") + 1 - (COLUMN(H:H) - 5), {0, 1, 2, 3, 4, 5, 6, 7, 8, 9, 10, 11}, 0)),
      ""
    )
  )
</f>
        <v/>
      </c>
      <c r="I100" s="412" t="str">
        <f t="array" ref="I100">IF(
    DATEDIF($B100, TODAY(), "M") &gt;= 11,
    INDEX('Most Recent Import'!$F100:$Q100, 1, MATCH(11 - (COLUMN(I:I) - 5), {0, 1, 2, 3, 4, 5, 6, 7, 8, 9, 10, 11}, 0)),
    IF(
      DATEDIF($B100, TODAY(), "M") + 1 &gt;= COLUMN(I:I) - 5,
      INDEX('Most Recent Import'!$F100:$Q100, 1, MATCH(DATEDIF($B100, TODAY(), "M") + 1 - (COLUMN(I:I) - 5), {0, 1, 2, 3, 4, 5, 6, 7, 8, 9, 10, 11}, 0)),
      ""
    )
  )
</f>
        <v/>
      </c>
      <c r="J100" s="412" t="str">
        <f t="array" ref="J100">IF(
    DATEDIF($B100, TODAY(), "M") &gt;= 11,
    INDEX('Most Recent Import'!$F100:$Q100, 1, MATCH(11 - (COLUMN(J:J) - 5), {0, 1, 2, 3, 4, 5, 6, 7, 8, 9, 10, 11}, 0)),
    IF(
      DATEDIF($B100, TODAY(), "M") + 1 &gt;= COLUMN(J:J) - 5,
      INDEX('Most Recent Import'!$F100:$Q100, 1, MATCH(DATEDIF($B100, TODAY(), "M") + 1 - (COLUMN(J:J) - 5), {0, 1, 2, 3, 4, 5, 6, 7, 8, 9, 10, 11}, 0)),
      ""
    )
  )
</f>
        <v/>
      </c>
      <c r="K100" s="412" t="str">
        <f t="array" ref="K100">IF(
    DATEDIF($B100, TODAY(), "M") &gt;= 11,
    INDEX('Most Recent Import'!$F100:$Q100, 1, MATCH(11 - (COLUMN(K:K) - 5), {0, 1, 2, 3, 4, 5, 6, 7, 8, 9, 10, 11}, 0)),
    IF(
      DATEDIF($B100, TODAY(), "M") + 1 &gt;= COLUMN(K:K) - 5,
      INDEX('Most Recent Import'!$F100:$Q100, 1, MATCH(DATEDIF($B100, TODAY(), "M") + 1 - (COLUMN(K:K) - 5), {0, 1, 2, 3, 4, 5, 6, 7, 8, 9, 10, 11}, 0)),
      ""
    )
  )
</f>
        <v/>
      </c>
      <c r="L100" s="412" t="str">
        <f t="array" ref="L100">IF(
    DATEDIF($B100, TODAY(), "M") &gt;= 11,
    INDEX('Most Recent Import'!$F100:$Q100, 1, MATCH(11 - (COLUMN(L:L) - 5), {0, 1, 2, 3, 4, 5, 6, 7, 8, 9, 10, 11}, 0)),
    IF(
      DATEDIF($B100, TODAY(), "M") + 1 &gt;= COLUMN(L:L) - 5,
      INDEX('Most Recent Import'!$F100:$Q100, 1, MATCH(DATEDIF($B100, TODAY(), "M") + 1 - (COLUMN(L:L) - 5), {0, 1, 2, 3, 4, 5, 6, 7, 8, 9, 10, 11}, 0)),
      ""
    )
  )
</f>
        <v/>
      </c>
      <c r="M100" s="412" t="str">
        <f t="array" ref="M100">IF(
    DATEDIF($B100, TODAY(), "M") &gt;= 11,
    INDEX('Most Recent Import'!$F100:$Q100, 1, MATCH(11 - (COLUMN(M:M) - 5), {0, 1, 2, 3, 4, 5, 6, 7, 8, 9, 10, 11}, 0)),
    IF(
      DATEDIF($B100, TODAY(), "M") + 1 &gt;= COLUMN(M:M) - 5,
      INDEX('Most Recent Import'!$F100:$Q100, 1, MATCH(DATEDIF($B100, TODAY(), "M") + 1 - (COLUMN(M:M) - 5), {0, 1, 2, 3, 4, 5, 6, 7, 8, 9, 10, 11}, 0)),
      ""
    )
  )
</f>
        <v/>
      </c>
      <c r="N100" s="412" t="str">
        <f t="array" ref="N100">IF(
    DATEDIF($B100, TODAY(), "M") &gt;= 11,
    INDEX('Most Recent Import'!$F100:$Q100, 1, MATCH(11 - (COLUMN(N:N) - 5), {0, 1, 2, 3, 4, 5, 6, 7, 8, 9, 10, 11}, 0)),
    IF(
      DATEDIF($B100, TODAY(), "M") + 1 &gt;= COLUMN(N:N) - 5,
      INDEX('Most Recent Import'!$F100:$Q100, 1, MATCH(DATEDIF($B100, TODAY(), "M") + 1 - (COLUMN(N:N) - 5), {0, 1, 2, 3, 4, 5, 6, 7, 8, 9, 10, 11}, 0)),
      ""
    )
  )
</f>
        <v/>
      </c>
      <c r="O100" s="412" t="str">
        <f t="array" ref="O100">IF(
    DATEDIF($B100, TODAY(), "M") &gt;= 11,
    INDEX('Most Recent Import'!$F100:$Q100, 1, MATCH(11 - (COLUMN(O:O) - 5), {0, 1, 2, 3, 4, 5, 6, 7, 8, 9, 10, 11}, 0)),
    IF(
      DATEDIF($B100, TODAY(), "M") + 1 &gt;= COLUMN(O:O) - 5,
      INDEX('Most Recent Import'!$F100:$Q100, 1, MATCH(DATEDIF($B100, TODAY(), "M") + 1 - (COLUMN(O:O) - 5), {0, 1, 2, 3, 4, 5, 6, 7, 8, 9, 10, 11}, 0)),
      ""
    )
  )
</f>
        <v/>
      </c>
      <c r="P100" s="412" t="str">
        <f t="array" ref="P100">IF(
    DATEDIF($B100, TODAY(), "M") &gt;= 11,
    INDEX('Most Recent Import'!$F100:$Q100, 1, MATCH(11 - (COLUMN(P:P) - 5), {0, 1, 2, 3, 4, 5, 6, 7, 8, 9, 10, 11}, 0)),
    IF(
      DATEDIF($B100, TODAY(), "M") + 1 &gt;= COLUMN(P:P) - 5,
      INDEX('Most Recent Import'!$F100:$Q100, 1, MATCH(DATEDIF($B100, TODAY(), "M") + 1 - (COLUMN(P:P) - 5), {0, 1, 2, 3, 4, 5, 6, 7, 8, 9, 10, 11}, 0)),
      ""
    )
  )
</f>
        <v/>
      </c>
    </row>
    <row r="101">
      <c r="C101" s="414"/>
    </row>
    <row r="102">
      <c r="C102" s="414"/>
    </row>
    <row r="103">
      <c r="C103" s="414"/>
    </row>
    <row r="104">
      <c r="C104" s="414"/>
    </row>
    <row r="105">
      <c r="C105" s="414"/>
    </row>
    <row r="106">
      <c r="C106" s="414"/>
    </row>
    <row r="107">
      <c r="C107" s="414"/>
    </row>
    <row r="108">
      <c r="C108" s="414"/>
    </row>
    <row r="109">
      <c r="C109" s="414"/>
    </row>
    <row r="110">
      <c r="C110" s="414"/>
    </row>
    <row r="111">
      <c r="C111" s="414"/>
    </row>
    <row r="112">
      <c r="C112" s="414"/>
    </row>
    <row r="113">
      <c r="C113" s="414"/>
    </row>
    <row r="114">
      <c r="C114" s="414"/>
    </row>
    <row r="115">
      <c r="C115" s="414"/>
    </row>
    <row r="116">
      <c r="C116" s="414"/>
    </row>
    <row r="117">
      <c r="C117" s="414"/>
    </row>
    <row r="118">
      <c r="C118" s="414"/>
    </row>
    <row r="119">
      <c r="C119" s="414"/>
    </row>
    <row r="120">
      <c r="C120" s="414"/>
    </row>
    <row r="121">
      <c r="C121" s="414"/>
    </row>
    <row r="122">
      <c r="C122" s="414"/>
    </row>
    <row r="123">
      <c r="C123" s="414"/>
    </row>
    <row r="124">
      <c r="C124" s="414"/>
    </row>
    <row r="125">
      <c r="C125" s="414"/>
    </row>
    <row r="126">
      <c r="C126" s="414"/>
    </row>
    <row r="127">
      <c r="C127" s="414"/>
    </row>
    <row r="128">
      <c r="C128" s="414"/>
    </row>
    <row r="129">
      <c r="C129" s="414"/>
    </row>
    <row r="130">
      <c r="C130" s="414"/>
    </row>
    <row r="131">
      <c r="C131" s="414"/>
    </row>
    <row r="132">
      <c r="C132" s="414"/>
    </row>
    <row r="133">
      <c r="C133" s="414"/>
    </row>
    <row r="134">
      <c r="C134" s="414"/>
    </row>
    <row r="135">
      <c r="C135" s="414"/>
    </row>
    <row r="136">
      <c r="C136" s="414"/>
    </row>
    <row r="137">
      <c r="C137" s="414"/>
    </row>
    <row r="138">
      <c r="C138" s="414"/>
    </row>
    <row r="139">
      <c r="C139" s="414"/>
    </row>
    <row r="140">
      <c r="C140" s="414"/>
    </row>
    <row r="141">
      <c r="C141" s="414"/>
    </row>
    <row r="142">
      <c r="C142" s="414"/>
    </row>
    <row r="143">
      <c r="C143" s="414"/>
    </row>
    <row r="144">
      <c r="C144" s="414"/>
    </row>
    <row r="145">
      <c r="C145" s="414"/>
    </row>
    <row r="146">
      <c r="C146" s="414"/>
    </row>
    <row r="147">
      <c r="C147" s="414"/>
    </row>
    <row r="148">
      <c r="C148" s="414"/>
    </row>
    <row r="149">
      <c r="C149" s="414"/>
    </row>
    <row r="150">
      <c r="C150" s="414"/>
    </row>
    <row r="151">
      <c r="C151" s="414"/>
    </row>
    <row r="152">
      <c r="C152" s="414"/>
    </row>
    <row r="153">
      <c r="C153" s="414"/>
    </row>
    <row r="154">
      <c r="C154" s="414"/>
    </row>
    <row r="155">
      <c r="C155" s="414"/>
    </row>
    <row r="156">
      <c r="C156" s="414"/>
    </row>
    <row r="157">
      <c r="C157" s="414"/>
    </row>
    <row r="158">
      <c r="C158" s="414"/>
    </row>
    <row r="159">
      <c r="C159" s="414"/>
    </row>
    <row r="160">
      <c r="C160" s="414"/>
    </row>
    <row r="161">
      <c r="C161" s="414"/>
    </row>
    <row r="162">
      <c r="C162" s="414"/>
    </row>
    <row r="163">
      <c r="C163" s="414"/>
    </row>
    <row r="164">
      <c r="C164" s="414"/>
    </row>
    <row r="165">
      <c r="C165" s="414"/>
    </row>
    <row r="166">
      <c r="C166" s="414"/>
    </row>
    <row r="167">
      <c r="C167" s="414"/>
    </row>
    <row r="168">
      <c r="C168" s="414"/>
    </row>
    <row r="169">
      <c r="C169" s="414"/>
    </row>
    <row r="170">
      <c r="C170" s="414"/>
    </row>
    <row r="171">
      <c r="C171" s="414"/>
    </row>
    <row r="172">
      <c r="C172" s="414"/>
    </row>
    <row r="173">
      <c r="C173" s="414"/>
    </row>
    <row r="174">
      <c r="C174" s="414"/>
    </row>
    <row r="175">
      <c r="C175" s="414"/>
    </row>
    <row r="176">
      <c r="C176" s="414"/>
    </row>
    <row r="177">
      <c r="C177" s="414"/>
    </row>
    <row r="178">
      <c r="C178" s="414"/>
    </row>
    <row r="179">
      <c r="C179" s="414"/>
    </row>
    <row r="180">
      <c r="C180" s="414"/>
    </row>
    <row r="181">
      <c r="C181" s="414"/>
    </row>
    <row r="182">
      <c r="C182" s="414"/>
    </row>
    <row r="183">
      <c r="C183" s="414"/>
    </row>
    <row r="184">
      <c r="C184" s="414"/>
    </row>
    <row r="185">
      <c r="C185" s="414"/>
    </row>
    <row r="186">
      <c r="C186" s="414"/>
    </row>
    <row r="187">
      <c r="C187" s="414"/>
    </row>
    <row r="188">
      <c r="C188" s="414"/>
    </row>
    <row r="189">
      <c r="C189" s="414"/>
    </row>
    <row r="190">
      <c r="C190" s="414"/>
    </row>
    <row r="191">
      <c r="C191" s="414"/>
    </row>
    <row r="192">
      <c r="C192" s="414"/>
    </row>
    <row r="193">
      <c r="C193" s="414"/>
    </row>
    <row r="194">
      <c r="C194" s="414"/>
    </row>
    <row r="195">
      <c r="C195" s="414"/>
    </row>
    <row r="196">
      <c r="C196" s="414"/>
    </row>
    <row r="197">
      <c r="C197" s="414"/>
    </row>
    <row r="198">
      <c r="C198" s="414"/>
    </row>
    <row r="199">
      <c r="C199" s="414"/>
    </row>
    <row r="200">
      <c r="C200" s="414"/>
    </row>
    <row r="201">
      <c r="C201" s="414"/>
    </row>
    <row r="202">
      <c r="C202" s="414"/>
    </row>
    <row r="203">
      <c r="C203" s="414"/>
    </row>
    <row r="204">
      <c r="C204" s="414"/>
    </row>
    <row r="205">
      <c r="C205" s="414"/>
    </row>
    <row r="206">
      <c r="C206" s="414"/>
    </row>
    <row r="207">
      <c r="C207" s="414"/>
    </row>
    <row r="208">
      <c r="C208" s="414"/>
    </row>
    <row r="209">
      <c r="C209" s="414"/>
    </row>
    <row r="210">
      <c r="C210" s="414"/>
    </row>
    <row r="211">
      <c r="C211" s="414"/>
    </row>
    <row r="212">
      <c r="C212" s="414"/>
    </row>
    <row r="213">
      <c r="C213" s="414"/>
    </row>
    <row r="214">
      <c r="C214" s="414"/>
    </row>
    <row r="215">
      <c r="C215" s="414"/>
    </row>
    <row r="216">
      <c r="C216" s="414"/>
    </row>
    <row r="217">
      <c r="C217" s="414"/>
    </row>
    <row r="218">
      <c r="C218" s="414"/>
    </row>
    <row r="219">
      <c r="C219" s="414"/>
    </row>
    <row r="220">
      <c r="C220" s="414"/>
    </row>
    <row r="221">
      <c r="C221" s="414"/>
    </row>
    <row r="222">
      <c r="C222" s="414"/>
    </row>
    <row r="223">
      <c r="C223" s="414"/>
    </row>
    <row r="224">
      <c r="C224" s="414"/>
    </row>
    <row r="225">
      <c r="C225" s="414"/>
    </row>
    <row r="226">
      <c r="C226" s="414"/>
    </row>
    <row r="227">
      <c r="C227" s="414"/>
    </row>
    <row r="228">
      <c r="C228" s="414"/>
    </row>
    <row r="229">
      <c r="C229" s="414"/>
    </row>
    <row r="230">
      <c r="C230" s="414"/>
    </row>
    <row r="231">
      <c r="C231" s="414"/>
    </row>
    <row r="232">
      <c r="C232" s="414"/>
    </row>
    <row r="233">
      <c r="C233" s="414"/>
    </row>
    <row r="234">
      <c r="C234" s="414"/>
    </row>
    <row r="235">
      <c r="C235" s="414"/>
    </row>
    <row r="236">
      <c r="C236" s="414"/>
    </row>
    <row r="237">
      <c r="C237" s="414"/>
    </row>
    <row r="238">
      <c r="C238" s="414"/>
    </row>
    <row r="239">
      <c r="C239" s="414"/>
    </row>
    <row r="240">
      <c r="C240" s="414"/>
    </row>
    <row r="241">
      <c r="C241" s="414"/>
    </row>
    <row r="242">
      <c r="C242" s="414"/>
    </row>
    <row r="243">
      <c r="C243" s="414"/>
    </row>
    <row r="244">
      <c r="C244" s="414"/>
    </row>
    <row r="245">
      <c r="C245" s="414"/>
    </row>
    <row r="246">
      <c r="C246" s="414"/>
    </row>
    <row r="247">
      <c r="C247" s="414"/>
    </row>
    <row r="248">
      <c r="C248" s="414"/>
    </row>
    <row r="249">
      <c r="C249" s="414"/>
    </row>
    <row r="250">
      <c r="C250" s="414"/>
    </row>
    <row r="251">
      <c r="C251" s="414"/>
    </row>
    <row r="252">
      <c r="C252" s="414"/>
    </row>
    <row r="253">
      <c r="C253" s="414"/>
    </row>
    <row r="254">
      <c r="C254" s="414"/>
    </row>
    <row r="255">
      <c r="C255" s="414"/>
    </row>
    <row r="256">
      <c r="C256" s="414"/>
    </row>
    <row r="257">
      <c r="C257" s="414"/>
    </row>
    <row r="258">
      <c r="C258" s="414"/>
    </row>
    <row r="259">
      <c r="C259" s="414"/>
    </row>
    <row r="260">
      <c r="C260" s="414"/>
    </row>
    <row r="261">
      <c r="C261" s="414"/>
    </row>
    <row r="262">
      <c r="C262" s="414"/>
    </row>
    <row r="263">
      <c r="C263" s="414"/>
    </row>
    <row r="264">
      <c r="C264" s="414"/>
    </row>
    <row r="265">
      <c r="C265" s="414"/>
    </row>
    <row r="266">
      <c r="C266" s="414"/>
    </row>
    <row r="267">
      <c r="C267" s="414"/>
    </row>
    <row r="268">
      <c r="C268" s="414"/>
    </row>
    <row r="269">
      <c r="C269" s="414"/>
    </row>
    <row r="270">
      <c r="C270" s="414"/>
    </row>
    <row r="271">
      <c r="C271" s="414"/>
    </row>
    <row r="272">
      <c r="C272" s="414"/>
    </row>
    <row r="273">
      <c r="C273" s="414"/>
    </row>
    <row r="274">
      <c r="C274" s="414"/>
    </row>
    <row r="275">
      <c r="C275" s="414"/>
    </row>
    <row r="276">
      <c r="C276" s="414"/>
    </row>
    <row r="277">
      <c r="C277" s="414"/>
    </row>
    <row r="278">
      <c r="C278" s="414"/>
    </row>
    <row r="279">
      <c r="C279" s="414"/>
    </row>
    <row r="280">
      <c r="C280" s="414"/>
    </row>
    <row r="281">
      <c r="C281" s="414"/>
    </row>
    <row r="282">
      <c r="C282" s="414"/>
    </row>
    <row r="283">
      <c r="C283" s="414"/>
    </row>
    <row r="284">
      <c r="C284" s="414"/>
    </row>
    <row r="285">
      <c r="C285" s="414"/>
    </row>
    <row r="286">
      <c r="C286" s="414"/>
    </row>
    <row r="287">
      <c r="C287" s="414"/>
    </row>
    <row r="288">
      <c r="C288" s="414"/>
    </row>
    <row r="289">
      <c r="C289" s="414"/>
    </row>
    <row r="290">
      <c r="C290" s="414"/>
    </row>
    <row r="291">
      <c r="C291" s="414"/>
    </row>
    <row r="292">
      <c r="C292" s="414"/>
    </row>
    <row r="293">
      <c r="C293" s="414"/>
    </row>
    <row r="294">
      <c r="C294" s="414"/>
    </row>
    <row r="295">
      <c r="C295" s="414"/>
    </row>
    <row r="296">
      <c r="C296" s="414"/>
    </row>
    <row r="297">
      <c r="C297" s="414"/>
    </row>
    <row r="298">
      <c r="C298" s="414"/>
    </row>
    <row r="299">
      <c r="C299" s="414"/>
    </row>
    <row r="300">
      <c r="C300" s="414"/>
    </row>
    <row r="301">
      <c r="C301" s="414"/>
    </row>
    <row r="302">
      <c r="C302" s="414"/>
    </row>
    <row r="303">
      <c r="C303" s="414"/>
    </row>
    <row r="304">
      <c r="C304" s="414"/>
    </row>
    <row r="305">
      <c r="C305" s="414"/>
    </row>
    <row r="306">
      <c r="C306" s="414"/>
    </row>
    <row r="307">
      <c r="C307" s="414"/>
    </row>
    <row r="308">
      <c r="C308" s="414"/>
    </row>
    <row r="309">
      <c r="C309" s="414"/>
    </row>
    <row r="310">
      <c r="C310" s="414"/>
    </row>
    <row r="311">
      <c r="C311" s="414"/>
    </row>
    <row r="312">
      <c r="C312" s="414"/>
    </row>
    <row r="313">
      <c r="C313" s="414"/>
    </row>
    <row r="314">
      <c r="C314" s="414"/>
    </row>
    <row r="315">
      <c r="C315" s="414"/>
    </row>
    <row r="316">
      <c r="C316" s="414"/>
    </row>
    <row r="317">
      <c r="C317" s="414"/>
    </row>
    <row r="318">
      <c r="C318" s="414"/>
    </row>
    <row r="319">
      <c r="C319" s="414"/>
    </row>
    <row r="320">
      <c r="C320" s="414"/>
    </row>
    <row r="321">
      <c r="C321" s="414"/>
    </row>
    <row r="322">
      <c r="C322" s="414"/>
    </row>
    <row r="323">
      <c r="C323" s="414"/>
    </row>
    <row r="324">
      <c r="C324" s="414"/>
    </row>
    <row r="325">
      <c r="C325" s="414"/>
    </row>
    <row r="326">
      <c r="C326" s="414"/>
    </row>
    <row r="327">
      <c r="C327" s="414"/>
    </row>
    <row r="328">
      <c r="C328" s="414"/>
    </row>
    <row r="329">
      <c r="C329" s="414"/>
    </row>
    <row r="330">
      <c r="C330" s="414"/>
    </row>
    <row r="331">
      <c r="C331" s="414"/>
    </row>
    <row r="332">
      <c r="C332" s="414"/>
    </row>
    <row r="333">
      <c r="C333" s="414"/>
    </row>
    <row r="334">
      <c r="C334" s="414"/>
    </row>
    <row r="335">
      <c r="C335" s="414"/>
    </row>
    <row r="336">
      <c r="C336" s="414"/>
    </row>
    <row r="337">
      <c r="C337" s="414"/>
    </row>
    <row r="338">
      <c r="C338" s="414"/>
    </row>
    <row r="339">
      <c r="C339" s="414"/>
    </row>
    <row r="340">
      <c r="C340" s="414"/>
    </row>
    <row r="341">
      <c r="C341" s="414"/>
    </row>
    <row r="342">
      <c r="C342" s="414"/>
    </row>
    <row r="343">
      <c r="C343" s="414"/>
    </row>
    <row r="344">
      <c r="C344" s="414"/>
    </row>
    <row r="345">
      <c r="C345" s="414"/>
    </row>
    <row r="346">
      <c r="C346" s="414"/>
    </row>
    <row r="347">
      <c r="C347" s="414"/>
    </row>
    <row r="348">
      <c r="C348" s="414"/>
    </row>
    <row r="349">
      <c r="C349" s="414"/>
    </row>
    <row r="350">
      <c r="C350" s="414"/>
    </row>
    <row r="351">
      <c r="C351" s="414"/>
    </row>
    <row r="352">
      <c r="C352" s="414"/>
    </row>
    <row r="353">
      <c r="C353" s="414"/>
    </row>
    <row r="354">
      <c r="C354" s="414"/>
    </row>
    <row r="355">
      <c r="C355" s="414"/>
    </row>
    <row r="356">
      <c r="C356" s="414"/>
    </row>
    <row r="357">
      <c r="C357" s="414"/>
    </row>
    <row r="358">
      <c r="C358" s="414"/>
    </row>
    <row r="359">
      <c r="C359" s="414"/>
    </row>
    <row r="360">
      <c r="C360" s="414"/>
    </row>
    <row r="361">
      <c r="C361" s="414"/>
    </row>
    <row r="362">
      <c r="C362" s="414"/>
    </row>
    <row r="363">
      <c r="C363" s="414"/>
    </row>
    <row r="364">
      <c r="C364" s="414"/>
    </row>
    <row r="365">
      <c r="C365" s="414"/>
    </row>
    <row r="366">
      <c r="C366" s="414"/>
    </row>
    <row r="367">
      <c r="C367" s="414"/>
    </row>
    <row r="368">
      <c r="C368" s="414"/>
    </row>
    <row r="369">
      <c r="C369" s="414"/>
    </row>
    <row r="370">
      <c r="C370" s="414"/>
    </row>
    <row r="371">
      <c r="C371" s="414"/>
    </row>
    <row r="372">
      <c r="C372" s="414"/>
    </row>
    <row r="373">
      <c r="C373" s="414"/>
    </row>
    <row r="374">
      <c r="C374" s="414"/>
    </row>
    <row r="375">
      <c r="C375" s="414"/>
    </row>
    <row r="376">
      <c r="C376" s="414"/>
    </row>
    <row r="377">
      <c r="C377" s="414"/>
    </row>
    <row r="378">
      <c r="C378" s="414"/>
    </row>
    <row r="379">
      <c r="C379" s="414"/>
    </row>
    <row r="380">
      <c r="C380" s="414"/>
    </row>
    <row r="381">
      <c r="C381" s="414"/>
    </row>
    <row r="382">
      <c r="C382" s="414"/>
    </row>
    <row r="383">
      <c r="C383" s="414"/>
    </row>
    <row r="384">
      <c r="C384" s="414"/>
    </row>
    <row r="385">
      <c r="C385" s="414"/>
    </row>
    <row r="386">
      <c r="C386" s="414"/>
    </row>
    <row r="387">
      <c r="C387" s="414"/>
    </row>
    <row r="388">
      <c r="C388" s="414"/>
    </row>
    <row r="389">
      <c r="C389" s="414"/>
    </row>
    <row r="390">
      <c r="C390" s="414"/>
    </row>
    <row r="391">
      <c r="C391" s="414"/>
    </row>
    <row r="392">
      <c r="C392" s="414"/>
    </row>
    <row r="393">
      <c r="C393" s="414"/>
    </row>
    <row r="394">
      <c r="C394" s="414"/>
    </row>
    <row r="395">
      <c r="C395" s="414"/>
    </row>
    <row r="396">
      <c r="C396" s="414"/>
    </row>
    <row r="397">
      <c r="C397" s="414"/>
    </row>
    <row r="398">
      <c r="C398" s="414"/>
    </row>
    <row r="399">
      <c r="C399" s="414"/>
    </row>
    <row r="400">
      <c r="C400" s="414"/>
    </row>
    <row r="401">
      <c r="C401" s="414"/>
    </row>
    <row r="402">
      <c r="C402" s="414"/>
    </row>
    <row r="403">
      <c r="C403" s="414"/>
    </row>
    <row r="404">
      <c r="C404" s="414"/>
    </row>
    <row r="405">
      <c r="C405" s="414"/>
    </row>
    <row r="406">
      <c r="C406" s="414"/>
    </row>
    <row r="407">
      <c r="C407" s="414"/>
    </row>
    <row r="408">
      <c r="C408" s="414"/>
    </row>
    <row r="409">
      <c r="C409" s="414"/>
    </row>
    <row r="410">
      <c r="C410" s="414"/>
    </row>
    <row r="411">
      <c r="C411" s="414"/>
    </row>
    <row r="412">
      <c r="C412" s="414"/>
    </row>
    <row r="413">
      <c r="C413" s="414"/>
    </row>
    <row r="414">
      <c r="C414" s="414"/>
    </row>
    <row r="415">
      <c r="C415" s="414"/>
    </row>
    <row r="416">
      <c r="C416" s="414"/>
    </row>
    <row r="417">
      <c r="C417" s="414"/>
    </row>
    <row r="418">
      <c r="C418" s="414"/>
    </row>
    <row r="419">
      <c r="C419" s="414"/>
    </row>
    <row r="420">
      <c r="C420" s="414"/>
    </row>
    <row r="421">
      <c r="C421" s="414"/>
    </row>
    <row r="422">
      <c r="C422" s="414"/>
    </row>
    <row r="423">
      <c r="C423" s="414"/>
    </row>
    <row r="424">
      <c r="C424" s="414"/>
    </row>
    <row r="425">
      <c r="C425" s="414"/>
    </row>
    <row r="426">
      <c r="C426" s="414"/>
    </row>
    <row r="427">
      <c r="C427" s="414"/>
    </row>
    <row r="428">
      <c r="C428" s="414"/>
    </row>
    <row r="429">
      <c r="C429" s="414"/>
    </row>
    <row r="430">
      <c r="C430" s="414"/>
    </row>
    <row r="431">
      <c r="C431" s="414"/>
    </row>
    <row r="432">
      <c r="C432" s="414"/>
    </row>
    <row r="433">
      <c r="C433" s="414"/>
    </row>
    <row r="434">
      <c r="C434" s="414"/>
    </row>
    <row r="435">
      <c r="C435" s="414"/>
    </row>
    <row r="436">
      <c r="C436" s="414"/>
    </row>
    <row r="437">
      <c r="C437" s="414"/>
    </row>
    <row r="438">
      <c r="C438" s="414"/>
    </row>
    <row r="439">
      <c r="C439" s="414"/>
    </row>
    <row r="440">
      <c r="C440" s="414"/>
    </row>
    <row r="441">
      <c r="C441" s="414"/>
    </row>
    <row r="442">
      <c r="C442" s="414"/>
    </row>
    <row r="443">
      <c r="C443" s="414"/>
    </row>
    <row r="444">
      <c r="C444" s="414"/>
    </row>
    <row r="445">
      <c r="C445" s="414"/>
    </row>
    <row r="446">
      <c r="C446" s="414"/>
    </row>
    <row r="447">
      <c r="C447" s="414"/>
    </row>
    <row r="448">
      <c r="C448" s="414"/>
    </row>
    <row r="449">
      <c r="C449" s="414"/>
    </row>
    <row r="450">
      <c r="C450" s="414"/>
    </row>
    <row r="451">
      <c r="C451" s="414"/>
    </row>
    <row r="452">
      <c r="C452" s="414"/>
    </row>
    <row r="453">
      <c r="C453" s="414"/>
    </row>
    <row r="454">
      <c r="C454" s="414"/>
    </row>
    <row r="455">
      <c r="C455" s="414"/>
    </row>
    <row r="456">
      <c r="C456" s="414"/>
    </row>
    <row r="457">
      <c r="C457" s="414"/>
    </row>
    <row r="458">
      <c r="C458" s="414"/>
    </row>
    <row r="459">
      <c r="C459" s="414"/>
    </row>
    <row r="460">
      <c r="C460" s="414"/>
    </row>
    <row r="461">
      <c r="C461" s="414"/>
    </row>
    <row r="462">
      <c r="C462" s="414"/>
    </row>
    <row r="463">
      <c r="C463" s="414"/>
    </row>
    <row r="464">
      <c r="C464" s="414"/>
    </row>
    <row r="465">
      <c r="C465" s="414"/>
    </row>
    <row r="466">
      <c r="C466" s="414"/>
    </row>
    <row r="467">
      <c r="C467" s="414"/>
    </row>
    <row r="468">
      <c r="C468" s="414"/>
    </row>
    <row r="469">
      <c r="C469" s="414"/>
    </row>
    <row r="470">
      <c r="C470" s="414"/>
    </row>
    <row r="471">
      <c r="C471" s="414"/>
    </row>
    <row r="472">
      <c r="C472" s="414"/>
    </row>
    <row r="473">
      <c r="C473" s="414"/>
    </row>
    <row r="474">
      <c r="C474" s="414"/>
    </row>
    <row r="475">
      <c r="C475" s="414"/>
    </row>
    <row r="476">
      <c r="C476" s="414"/>
    </row>
    <row r="477">
      <c r="C477" s="414"/>
    </row>
    <row r="478">
      <c r="C478" s="414"/>
    </row>
    <row r="479">
      <c r="C479" s="414"/>
    </row>
    <row r="480">
      <c r="C480" s="414"/>
    </row>
    <row r="481">
      <c r="C481" s="414"/>
    </row>
    <row r="482">
      <c r="C482" s="414"/>
    </row>
    <row r="483">
      <c r="C483" s="414"/>
    </row>
    <row r="484">
      <c r="C484" s="414"/>
    </row>
    <row r="485">
      <c r="C485" s="414"/>
    </row>
    <row r="486">
      <c r="C486" s="414"/>
    </row>
    <row r="487">
      <c r="C487" s="414"/>
    </row>
    <row r="488">
      <c r="C488" s="414"/>
    </row>
    <row r="489">
      <c r="C489" s="414"/>
    </row>
    <row r="490">
      <c r="C490" s="414"/>
    </row>
    <row r="491">
      <c r="C491" s="414"/>
    </row>
    <row r="492">
      <c r="C492" s="414"/>
    </row>
    <row r="493">
      <c r="C493" s="414"/>
    </row>
    <row r="494">
      <c r="C494" s="414"/>
    </row>
    <row r="495">
      <c r="C495" s="414"/>
    </row>
    <row r="496">
      <c r="C496" s="414"/>
    </row>
    <row r="497">
      <c r="C497" s="414"/>
    </row>
    <row r="498">
      <c r="C498" s="414"/>
    </row>
    <row r="499">
      <c r="C499" s="414"/>
    </row>
    <row r="500">
      <c r="C500" s="414"/>
    </row>
    <row r="501">
      <c r="C501" s="414"/>
    </row>
    <row r="502">
      <c r="C502" s="414"/>
    </row>
    <row r="503">
      <c r="C503" s="414"/>
    </row>
    <row r="504">
      <c r="C504" s="414"/>
    </row>
    <row r="505">
      <c r="C505" s="414"/>
    </row>
    <row r="506">
      <c r="C506" s="414"/>
    </row>
    <row r="507">
      <c r="C507" s="414"/>
    </row>
    <row r="508">
      <c r="C508" s="414"/>
    </row>
    <row r="509">
      <c r="C509" s="414"/>
    </row>
    <row r="510">
      <c r="C510" s="414"/>
    </row>
    <row r="511">
      <c r="C511" s="414"/>
    </row>
    <row r="512">
      <c r="C512" s="414"/>
    </row>
    <row r="513">
      <c r="C513" s="414"/>
    </row>
    <row r="514">
      <c r="C514" s="414"/>
    </row>
    <row r="515">
      <c r="C515" s="414"/>
    </row>
    <row r="516">
      <c r="C516" s="414"/>
    </row>
    <row r="517">
      <c r="C517" s="414"/>
    </row>
    <row r="518">
      <c r="C518" s="414"/>
    </row>
    <row r="519">
      <c r="C519" s="414"/>
    </row>
    <row r="520">
      <c r="C520" s="414"/>
    </row>
    <row r="521">
      <c r="C521" s="414"/>
    </row>
    <row r="522">
      <c r="C522" s="414"/>
    </row>
    <row r="523">
      <c r="C523" s="414"/>
    </row>
    <row r="524">
      <c r="C524" s="414"/>
    </row>
    <row r="525">
      <c r="C525" s="414"/>
    </row>
    <row r="526">
      <c r="C526" s="414"/>
    </row>
    <row r="527">
      <c r="C527" s="414"/>
    </row>
    <row r="528">
      <c r="C528" s="414"/>
    </row>
    <row r="529">
      <c r="C529" s="414"/>
    </row>
    <row r="530">
      <c r="C530" s="414"/>
    </row>
    <row r="531">
      <c r="C531" s="414"/>
    </row>
    <row r="532">
      <c r="C532" s="414"/>
    </row>
    <row r="533">
      <c r="C533" s="414"/>
    </row>
    <row r="534">
      <c r="C534" s="414"/>
    </row>
    <row r="535">
      <c r="C535" s="414"/>
    </row>
    <row r="536">
      <c r="C536" s="414"/>
    </row>
    <row r="537">
      <c r="C537" s="414"/>
    </row>
    <row r="538">
      <c r="C538" s="414"/>
    </row>
    <row r="539">
      <c r="C539" s="414"/>
    </row>
    <row r="540">
      <c r="C540" s="414"/>
    </row>
    <row r="541">
      <c r="C541" s="414"/>
    </row>
    <row r="542">
      <c r="C542" s="414"/>
    </row>
    <row r="543">
      <c r="C543" s="414"/>
    </row>
    <row r="544">
      <c r="C544" s="414"/>
    </row>
    <row r="545">
      <c r="C545" s="414"/>
    </row>
    <row r="546">
      <c r="C546" s="414"/>
    </row>
    <row r="547">
      <c r="C547" s="414"/>
    </row>
    <row r="548">
      <c r="C548" s="414"/>
    </row>
    <row r="549">
      <c r="C549" s="414"/>
    </row>
    <row r="550">
      <c r="C550" s="414"/>
    </row>
    <row r="551">
      <c r="C551" s="414"/>
    </row>
    <row r="552">
      <c r="C552" s="414"/>
    </row>
    <row r="553">
      <c r="C553" s="414"/>
    </row>
    <row r="554">
      <c r="C554" s="414"/>
    </row>
    <row r="555">
      <c r="C555" s="414"/>
    </row>
    <row r="556">
      <c r="C556" s="414"/>
    </row>
    <row r="557">
      <c r="C557" s="414"/>
    </row>
    <row r="558">
      <c r="C558" s="414"/>
    </row>
    <row r="559">
      <c r="C559" s="414"/>
    </row>
    <row r="560">
      <c r="C560" s="414"/>
    </row>
    <row r="561">
      <c r="C561" s="414"/>
    </row>
    <row r="562">
      <c r="C562" s="414"/>
    </row>
    <row r="563">
      <c r="C563" s="414"/>
    </row>
    <row r="564">
      <c r="C564" s="414"/>
    </row>
    <row r="565">
      <c r="C565" s="414"/>
    </row>
    <row r="566">
      <c r="C566" s="414"/>
    </row>
    <row r="567">
      <c r="C567" s="414"/>
    </row>
    <row r="568">
      <c r="C568" s="414"/>
    </row>
    <row r="569">
      <c r="C569" s="414"/>
    </row>
    <row r="570">
      <c r="C570" s="414"/>
    </row>
    <row r="571">
      <c r="C571" s="414"/>
    </row>
    <row r="572">
      <c r="C572" s="414"/>
    </row>
    <row r="573">
      <c r="C573" s="414"/>
    </row>
    <row r="574">
      <c r="C574" s="414"/>
    </row>
    <row r="575">
      <c r="C575" s="414"/>
    </row>
    <row r="576">
      <c r="C576" s="414"/>
    </row>
    <row r="577">
      <c r="C577" s="414"/>
    </row>
    <row r="578">
      <c r="C578" s="414"/>
    </row>
    <row r="579">
      <c r="C579" s="414"/>
    </row>
    <row r="580">
      <c r="C580" s="414"/>
    </row>
    <row r="581">
      <c r="C581" s="414"/>
    </row>
    <row r="582">
      <c r="C582" s="414"/>
    </row>
    <row r="583">
      <c r="C583" s="414"/>
    </row>
    <row r="584">
      <c r="C584" s="414"/>
    </row>
    <row r="585">
      <c r="C585" s="414"/>
    </row>
    <row r="586">
      <c r="C586" s="414"/>
    </row>
    <row r="587">
      <c r="C587" s="414"/>
    </row>
    <row r="588">
      <c r="C588" s="414"/>
    </row>
    <row r="589">
      <c r="C589" s="414"/>
    </row>
    <row r="590">
      <c r="C590" s="414"/>
    </row>
    <row r="591">
      <c r="C591" s="414"/>
    </row>
    <row r="592">
      <c r="C592" s="414"/>
    </row>
    <row r="593">
      <c r="C593" s="414"/>
    </row>
    <row r="594">
      <c r="C594" s="414"/>
    </row>
    <row r="595">
      <c r="C595" s="414"/>
    </row>
    <row r="596">
      <c r="C596" s="414"/>
    </row>
    <row r="597">
      <c r="C597" s="414"/>
    </row>
    <row r="598">
      <c r="C598" s="414"/>
    </row>
    <row r="599">
      <c r="C599" s="414"/>
    </row>
    <row r="600">
      <c r="C600" s="414"/>
    </row>
    <row r="601">
      <c r="C601" s="414"/>
    </row>
    <row r="602">
      <c r="C602" s="414"/>
    </row>
    <row r="603">
      <c r="C603" s="414"/>
    </row>
    <row r="604">
      <c r="C604" s="414"/>
    </row>
    <row r="605">
      <c r="C605" s="414"/>
    </row>
    <row r="606">
      <c r="C606" s="414"/>
    </row>
    <row r="607">
      <c r="C607" s="414"/>
    </row>
    <row r="608">
      <c r="C608" s="414"/>
    </row>
    <row r="609">
      <c r="C609" s="414"/>
    </row>
    <row r="610">
      <c r="C610" s="414"/>
    </row>
    <row r="611">
      <c r="C611" s="414"/>
    </row>
    <row r="612">
      <c r="C612" s="414"/>
    </row>
    <row r="613">
      <c r="C613" s="414"/>
    </row>
    <row r="614">
      <c r="C614" s="414"/>
    </row>
    <row r="615">
      <c r="C615" s="414"/>
    </row>
    <row r="616">
      <c r="C616" s="414"/>
    </row>
    <row r="617">
      <c r="C617" s="414"/>
    </row>
    <row r="618">
      <c r="C618" s="414"/>
    </row>
    <row r="619">
      <c r="C619" s="414"/>
    </row>
    <row r="620">
      <c r="C620" s="414"/>
    </row>
    <row r="621">
      <c r="C621" s="414"/>
    </row>
    <row r="622">
      <c r="C622" s="414"/>
    </row>
    <row r="623">
      <c r="C623" s="414"/>
    </row>
    <row r="624">
      <c r="C624" s="414"/>
    </row>
    <row r="625">
      <c r="C625" s="414"/>
    </row>
    <row r="626">
      <c r="C626" s="414"/>
    </row>
    <row r="627">
      <c r="C627" s="414"/>
    </row>
    <row r="628">
      <c r="C628" s="414"/>
    </row>
    <row r="629">
      <c r="C629" s="414"/>
    </row>
    <row r="630">
      <c r="C630" s="414"/>
    </row>
    <row r="631">
      <c r="C631" s="414"/>
    </row>
    <row r="632">
      <c r="C632" s="414"/>
    </row>
    <row r="633">
      <c r="C633" s="414"/>
    </row>
    <row r="634">
      <c r="C634" s="414"/>
    </row>
    <row r="635">
      <c r="C635" s="414"/>
    </row>
    <row r="636">
      <c r="C636" s="414"/>
    </row>
    <row r="637">
      <c r="C637" s="414"/>
    </row>
    <row r="638">
      <c r="C638" s="414"/>
    </row>
    <row r="639">
      <c r="C639" s="414"/>
    </row>
    <row r="640">
      <c r="C640" s="414"/>
    </row>
    <row r="641">
      <c r="C641" s="414"/>
    </row>
    <row r="642">
      <c r="C642" s="414"/>
    </row>
    <row r="643">
      <c r="C643" s="414"/>
    </row>
    <row r="644">
      <c r="C644" s="414"/>
    </row>
    <row r="645">
      <c r="C645" s="414"/>
    </row>
    <row r="646">
      <c r="C646" s="414"/>
    </row>
    <row r="647">
      <c r="C647" s="414"/>
    </row>
    <row r="648">
      <c r="C648" s="414"/>
    </row>
    <row r="649">
      <c r="C649" s="414"/>
    </row>
    <row r="650">
      <c r="C650" s="414"/>
    </row>
    <row r="651">
      <c r="C651" s="414"/>
    </row>
    <row r="652">
      <c r="C652" s="414"/>
    </row>
    <row r="653">
      <c r="C653" s="414"/>
    </row>
    <row r="654">
      <c r="C654" s="414"/>
    </row>
    <row r="655">
      <c r="C655" s="414"/>
    </row>
    <row r="656">
      <c r="C656" s="414"/>
    </row>
    <row r="657">
      <c r="C657" s="414"/>
    </row>
    <row r="658">
      <c r="C658" s="414"/>
    </row>
    <row r="659">
      <c r="C659" s="414"/>
    </row>
    <row r="660">
      <c r="C660" s="414"/>
    </row>
    <row r="661">
      <c r="C661" s="414"/>
    </row>
    <row r="662">
      <c r="C662" s="414"/>
    </row>
    <row r="663">
      <c r="C663" s="414"/>
    </row>
    <row r="664">
      <c r="C664" s="414"/>
    </row>
    <row r="665">
      <c r="C665" s="414"/>
    </row>
    <row r="666">
      <c r="C666" s="414"/>
    </row>
    <row r="667">
      <c r="C667" s="414"/>
    </row>
    <row r="668">
      <c r="C668" s="414"/>
    </row>
    <row r="669">
      <c r="C669" s="414"/>
    </row>
    <row r="670">
      <c r="C670" s="414"/>
    </row>
    <row r="671">
      <c r="C671" s="414"/>
    </row>
    <row r="672">
      <c r="C672" s="414"/>
    </row>
    <row r="673">
      <c r="C673" s="414"/>
    </row>
    <row r="674">
      <c r="C674" s="414"/>
    </row>
    <row r="675">
      <c r="C675" s="414"/>
    </row>
    <row r="676">
      <c r="C676" s="414"/>
    </row>
    <row r="677">
      <c r="C677" s="414"/>
    </row>
    <row r="678">
      <c r="C678" s="414"/>
    </row>
    <row r="679">
      <c r="C679" s="414"/>
    </row>
    <row r="680">
      <c r="C680" s="414"/>
    </row>
    <row r="681">
      <c r="C681" s="414"/>
    </row>
    <row r="682">
      <c r="C682" s="414"/>
    </row>
    <row r="683">
      <c r="C683" s="414"/>
    </row>
    <row r="684">
      <c r="C684" s="414"/>
    </row>
    <row r="685">
      <c r="C685" s="414"/>
    </row>
    <row r="686">
      <c r="C686" s="414"/>
    </row>
    <row r="687">
      <c r="C687" s="414"/>
    </row>
    <row r="688">
      <c r="C688" s="414"/>
    </row>
    <row r="689">
      <c r="C689" s="414"/>
    </row>
    <row r="690">
      <c r="C690" s="414"/>
    </row>
    <row r="691">
      <c r="C691" s="414"/>
    </row>
    <row r="692">
      <c r="C692" s="414"/>
    </row>
    <row r="693">
      <c r="C693" s="414"/>
    </row>
    <row r="694">
      <c r="C694" s="414"/>
    </row>
    <row r="695">
      <c r="C695" s="414"/>
    </row>
    <row r="696">
      <c r="C696" s="414"/>
    </row>
    <row r="697">
      <c r="C697" s="414"/>
    </row>
    <row r="698">
      <c r="C698" s="414"/>
    </row>
    <row r="699">
      <c r="C699" s="414"/>
    </row>
    <row r="700">
      <c r="C700" s="414"/>
    </row>
    <row r="701">
      <c r="C701" s="414"/>
    </row>
    <row r="702">
      <c r="C702" s="414"/>
    </row>
    <row r="703">
      <c r="C703" s="414"/>
    </row>
    <row r="704">
      <c r="C704" s="414"/>
    </row>
    <row r="705">
      <c r="C705" s="414"/>
    </row>
    <row r="706">
      <c r="C706" s="414"/>
    </row>
    <row r="707">
      <c r="C707" s="414"/>
    </row>
    <row r="708">
      <c r="C708" s="414"/>
    </row>
    <row r="709">
      <c r="C709" s="414"/>
    </row>
    <row r="710">
      <c r="C710" s="414"/>
    </row>
    <row r="711">
      <c r="C711" s="414"/>
    </row>
    <row r="712">
      <c r="C712" s="414"/>
    </row>
    <row r="713">
      <c r="C713" s="414"/>
    </row>
    <row r="714">
      <c r="C714" s="414"/>
    </row>
    <row r="715">
      <c r="C715" s="414"/>
    </row>
    <row r="716">
      <c r="C716" s="414"/>
    </row>
    <row r="717">
      <c r="C717" s="414"/>
    </row>
    <row r="718">
      <c r="C718" s="414"/>
    </row>
    <row r="719">
      <c r="C719" s="414"/>
    </row>
    <row r="720">
      <c r="C720" s="414"/>
    </row>
    <row r="721">
      <c r="C721" s="414"/>
    </row>
    <row r="722">
      <c r="C722" s="414"/>
    </row>
    <row r="723">
      <c r="C723" s="414"/>
    </row>
    <row r="724">
      <c r="C724" s="414"/>
    </row>
    <row r="725">
      <c r="C725" s="414"/>
    </row>
    <row r="726">
      <c r="C726" s="414"/>
    </row>
    <row r="727">
      <c r="C727" s="414"/>
    </row>
    <row r="728">
      <c r="C728" s="414"/>
    </row>
    <row r="729">
      <c r="C729" s="414"/>
    </row>
    <row r="730">
      <c r="C730" s="414"/>
    </row>
    <row r="731">
      <c r="C731" s="414"/>
    </row>
    <row r="732">
      <c r="C732" s="414"/>
    </row>
    <row r="733">
      <c r="C733" s="414"/>
    </row>
    <row r="734">
      <c r="C734" s="414"/>
    </row>
    <row r="735">
      <c r="C735" s="414"/>
    </row>
    <row r="736">
      <c r="C736" s="414"/>
    </row>
    <row r="737">
      <c r="C737" s="414"/>
    </row>
    <row r="738">
      <c r="C738" s="414"/>
    </row>
    <row r="739">
      <c r="C739" s="414"/>
    </row>
    <row r="740">
      <c r="C740" s="414"/>
    </row>
    <row r="741">
      <c r="C741" s="414"/>
    </row>
    <row r="742">
      <c r="C742" s="414"/>
    </row>
    <row r="743">
      <c r="C743" s="414"/>
    </row>
    <row r="744">
      <c r="C744" s="414"/>
    </row>
    <row r="745">
      <c r="C745" s="414"/>
    </row>
    <row r="746">
      <c r="C746" s="414"/>
    </row>
    <row r="747">
      <c r="C747" s="414"/>
    </row>
    <row r="748">
      <c r="C748" s="414"/>
    </row>
    <row r="749">
      <c r="C749" s="414"/>
    </row>
    <row r="750">
      <c r="C750" s="414"/>
    </row>
    <row r="751">
      <c r="C751" s="414"/>
    </row>
    <row r="752">
      <c r="C752" s="414"/>
    </row>
    <row r="753">
      <c r="C753" s="414"/>
    </row>
    <row r="754">
      <c r="C754" s="414"/>
    </row>
    <row r="755">
      <c r="C755" s="414"/>
    </row>
    <row r="756">
      <c r="C756" s="414"/>
    </row>
    <row r="757">
      <c r="C757" s="414"/>
    </row>
    <row r="758">
      <c r="C758" s="414"/>
    </row>
    <row r="759">
      <c r="C759" s="414"/>
    </row>
    <row r="760">
      <c r="C760" s="414"/>
    </row>
    <row r="761">
      <c r="C761" s="414"/>
    </row>
    <row r="762">
      <c r="C762" s="414"/>
    </row>
    <row r="763">
      <c r="C763" s="414"/>
    </row>
    <row r="764">
      <c r="C764" s="414"/>
    </row>
    <row r="765">
      <c r="C765" s="414"/>
    </row>
    <row r="766">
      <c r="C766" s="414"/>
    </row>
    <row r="767">
      <c r="C767" s="414"/>
    </row>
    <row r="768">
      <c r="C768" s="414"/>
    </row>
    <row r="769">
      <c r="C769" s="414"/>
    </row>
    <row r="770">
      <c r="C770" s="414"/>
    </row>
    <row r="771">
      <c r="C771" s="414"/>
    </row>
    <row r="772">
      <c r="C772" s="414"/>
    </row>
    <row r="773">
      <c r="C773" s="414"/>
    </row>
    <row r="774">
      <c r="C774" s="414"/>
    </row>
    <row r="775">
      <c r="C775" s="414"/>
    </row>
    <row r="776">
      <c r="C776" s="414"/>
    </row>
    <row r="777">
      <c r="C777" s="414"/>
    </row>
    <row r="778">
      <c r="C778" s="414"/>
    </row>
    <row r="779">
      <c r="C779" s="414"/>
    </row>
    <row r="780">
      <c r="C780" s="414"/>
    </row>
    <row r="781">
      <c r="C781" s="414"/>
    </row>
    <row r="782">
      <c r="C782" s="414"/>
    </row>
    <row r="783">
      <c r="C783" s="414"/>
    </row>
    <row r="784">
      <c r="C784" s="414"/>
    </row>
    <row r="785">
      <c r="C785" s="414"/>
    </row>
    <row r="786">
      <c r="C786" s="414"/>
    </row>
    <row r="787">
      <c r="C787" s="414"/>
    </row>
    <row r="788">
      <c r="C788" s="414"/>
    </row>
    <row r="789">
      <c r="C789" s="414"/>
    </row>
    <row r="790">
      <c r="C790" s="414"/>
    </row>
    <row r="791">
      <c r="C791" s="414"/>
    </row>
    <row r="792">
      <c r="C792" s="414"/>
    </row>
    <row r="793">
      <c r="C793" s="414"/>
    </row>
    <row r="794">
      <c r="C794" s="414"/>
    </row>
    <row r="795">
      <c r="C795" s="414"/>
    </row>
    <row r="796">
      <c r="C796" s="414"/>
    </row>
    <row r="797">
      <c r="C797" s="414"/>
    </row>
    <row r="798">
      <c r="C798" s="414"/>
    </row>
    <row r="799">
      <c r="C799" s="414"/>
    </row>
    <row r="800">
      <c r="C800" s="414"/>
    </row>
    <row r="801">
      <c r="C801" s="414"/>
    </row>
    <row r="802">
      <c r="C802" s="414"/>
    </row>
    <row r="803">
      <c r="C803" s="414"/>
    </row>
    <row r="804">
      <c r="C804" s="414"/>
    </row>
    <row r="805">
      <c r="C805" s="414"/>
    </row>
    <row r="806">
      <c r="C806" s="414"/>
    </row>
    <row r="807">
      <c r="C807" s="414"/>
    </row>
    <row r="808">
      <c r="C808" s="414"/>
    </row>
    <row r="809">
      <c r="C809" s="414"/>
    </row>
    <row r="810">
      <c r="C810" s="414"/>
    </row>
    <row r="811">
      <c r="C811" s="414"/>
    </row>
    <row r="812">
      <c r="C812" s="414"/>
    </row>
    <row r="813">
      <c r="C813" s="414"/>
    </row>
    <row r="814">
      <c r="C814" s="414"/>
    </row>
    <row r="815">
      <c r="C815" s="414"/>
    </row>
    <row r="816">
      <c r="C816" s="414"/>
    </row>
    <row r="817">
      <c r="C817" s="414"/>
    </row>
    <row r="818">
      <c r="C818" s="414"/>
    </row>
    <row r="819">
      <c r="C819" s="414"/>
    </row>
    <row r="820">
      <c r="C820" s="414"/>
    </row>
    <row r="821">
      <c r="C821" s="414"/>
    </row>
    <row r="822">
      <c r="C822" s="414"/>
    </row>
    <row r="823">
      <c r="C823" s="414"/>
    </row>
    <row r="824">
      <c r="C824" s="414"/>
    </row>
    <row r="825">
      <c r="C825" s="414"/>
    </row>
    <row r="826">
      <c r="C826" s="414"/>
    </row>
    <row r="827">
      <c r="C827" s="414"/>
    </row>
    <row r="828">
      <c r="C828" s="414"/>
    </row>
    <row r="829">
      <c r="C829" s="414"/>
    </row>
    <row r="830">
      <c r="C830" s="414"/>
    </row>
    <row r="831">
      <c r="C831" s="414"/>
    </row>
    <row r="832">
      <c r="C832" s="414"/>
    </row>
    <row r="833">
      <c r="C833" s="414"/>
    </row>
    <row r="834">
      <c r="C834" s="414"/>
    </row>
    <row r="835">
      <c r="C835" s="414"/>
    </row>
    <row r="836">
      <c r="C836" s="414"/>
    </row>
    <row r="837">
      <c r="C837" s="414"/>
    </row>
    <row r="838">
      <c r="C838" s="414"/>
    </row>
    <row r="839">
      <c r="C839" s="414"/>
    </row>
    <row r="840">
      <c r="C840" s="414"/>
    </row>
    <row r="841">
      <c r="C841" s="414"/>
    </row>
    <row r="842">
      <c r="C842" s="414"/>
    </row>
    <row r="843">
      <c r="C843" s="414"/>
    </row>
    <row r="844">
      <c r="C844" s="414"/>
    </row>
    <row r="845">
      <c r="C845" s="414"/>
    </row>
    <row r="846">
      <c r="C846" s="414"/>
    </row>
    <row r="847">
      <c r="C847" s="414"/>
    </row>
    <row r="848">
      <c r="C848" s="414"/>
    </row>
    <row r="849">
      <c r="C849" s="414"/>
    </row>
    <row r="850">
      <c r="C850" s="414"/>
    </row>
    <row r="851">
      <c r="C851" s="414"/>
    </row>
    <row r="852">
      <c r="C852" s="414"/>
    </row>
    <row r="853">
      <c r="C853" s="414"/>
    </row>
    <row r="854">
      <c r="C854" s="414"/>
    </row>
    <row r="855">
      <c r="C855" s="414"/>
    </row>
    <row r="856">
      <c r="C856" s="414"/>
    </row>
    <row r="857">
      <c r="C857" s="414"/>
    </row>
    <row r="858">
      <c r="C858" s="414"/>
    </row>
    <row r="859">
      <c r="C859" s="414"/>
    </row>
    <row r="860">
      <c r="C860" s="414"/>
    </row>
    <row r="861">
      <c r="C861" s="414"/>
    </row>
    <row r="862">
      <c r="C862" s="414"/>
    </row>
    <row r="863">
      <c r="C863" s="414"/>
    </row>
    <row r="864">
      <c r="C864" s="414"/>
    </row>
    <row r="865">
      <c r="C865" s="414"/>
    </row>
    <row r="866">
      <c r="C866" s="414"/>
    </row>
    <row r="867">
      <c r="C867" s="414"/>
    </row>
    <row r="868">
      <c r="C868" s="414"/>
    </row>
    <row r="869">
      <c r="C869" s="414"/>
    </row>
    <row r="870">
      <c r="C870" s="414"/>
    </row>
    <row r="871">
      <c r="C871" s="414"/>
    </row>
    <row r="872">
      <c r="C872" s="414"/>
    </row>
    <row r="873">
      <c r="C873" s="414"/>
    </row>
    <row r="874">
      <c r="C874" s="414"/>
    </row>
    <row r="875">
      <c r="C875" s="414"/>
    </row>
    <row r="876">
      <c r="C876" s="414"/>
    </row>
    <row r="877">
      <c r="C877" s="414"/>
    </row>
    <row r="878">
      <c r="C878" s="414"/>
    </row>
    <row r="879">
      <c r="C879" s="414"/>
    </row>
    <row r="880">
      <c r="C880" s="414"/>
    </row>
    <row r="881">
      <c r="C881" s="414"/>
    </row>
    <row r="882">
      <c r="C882" s="414"/>
    </row>
    <row r="883">
      <c r="C883" s="414"/>
    </row>
    <row r="884">
      <c r="C884" s="414"/>
    </row>
    <row r="885">
      <c r="C885" s="414"/>
    </row>
    <row r="886">
      <c r="C886" s="414"/>
    </row>
    <row r="887">
      <c r="C887" s="414"/>
    </row>
    <row r="888">
      <c r="C888" s="414"/>
    </row>
    <row r="889">
      <c r="C889" s="414"/>
    </row>
    <row r="890">
      <c r="C890" s="414"/>
    </row>
    <row r="891">
      <c r="C891" s="414"/>
    </row>
    <row r="892">
      <c r="C892" s="414"/>
    </row>
    <row r="893">
      <c r="C893" s="414"/>
    </row>
    <row r="894">
      <c r="C894" s="414"/>
    </row>
    <row r="895">
      <c r="C895" s="414"/>
    </row>
    <row r="896">
      <c r="C896" s="414"/>
    </row>
    <row r="897">
      <c r="C897" s="414"/>
    </row>
    <row r="898">
      <c r="C898" s="414"/>
    </row>
    <row r="899">
      <c r="C899" s="414"/>
    </row>
    <row r="900">
      <c r="C900" s="414"/>
    </row>
    <row r="901">
      <c r="C901" s="414"/>
    </row>
    <row r="902">
      <c r="C902" s="414"/>
    </row>
    <row r="903">
      <c r="C903" s="414"/>
    </row>
    <row r="904">
      <c r="C904" s="414"/>
    </row>
    <row r="905">
      <c r="C905" s="414"/>
    </row>
    <row r="906">
      <c r="C906" s="414"/>
    </row>
    <row r="907">
      <c r="C907" s="414"/>
    </row>
    <row r="908">
      <c r="C908" s="414"/>
    </row>
    <row r="909">
      <c r="C909" s="414"/>
    </row>
    <row r="910">
      <c r="C910" s="414"/>
    </row>
    <row r="911">
      <c r="C911" s="414"/>
    </row>
    <row r="912">
      <c r="C912" s="414"/>
    </row>
    <row r="913">
      <c r="C913" s="414"/>
    </row>
    <row r="914">
      <c r="C914" s="414"/>
    </row>
    <row r="915">
      <c r="C915" s="414"/>
    </row>
    <row r="916">
      <c r="C916" s="414"/>
    </row>
    <row r="917">
      <c r="C917" s="414"/>
    </row>
    <row r="918">
      <c r="C918" s="414"/>
    </row>
    <row r="919">
      <c r="C919" s="414"/>
    </row>
    <row r="920">
      <c r="C920" s="414"/>
    </row>
    <row r="921">
      <c r="C921" s="414"/>
    </row>
    <row r="922">
      <c r="C922" s="414"/>
    </row>
    <row r="923">
      <c r="C923" s="414"/>
    </row>
    <row r="924">
      <c r="C924" s="414"/>
    </row>
    <row r="925">
      <c r="C925" s="414"/>
    </row>
    <row r="926">
      <c r="C926" s="414"/>
    </row>
    <row r="927">
      <c r="C927" s="414"/>
    </row>
    <row r="928">
      <c r="C928" s="414"/>
    </row>
    <row r="929">
      <c r="C929" s="414"/>
    </row>
    <row r="930">
      <c r="C930" s="414"/>
    </row>
    <row r="931">
      <c r="C931" s="414"/>
    </row>
    <row r="932">
      <c r="C932" s="414"/>
    </row>
    <row r="933">
      <c r="C933" s="414"/>
    </row>
    <row r="934">
      <c r="C934" s="414"/>
    </row>
    <row r="935">
      <c r="C935" s="414"/>
    </row>
    <row r="936">
      <c r="C936" s="414"/>
    </row>
    <row r="937">
      <c r="C937" s="414"/>
    </row>
    <row r="938">
      <c r="C938" s="414"/>
    </row>
    <row r="939">
      <c r="C939" s="414"/>
    </row>
    <row r="940">
      <c r="C940" s="414"/>
    </row>
    <row r="941">
      <c r="C941" s="414"/>
    </row>
    <row r="942">
      <c r="C942" s="414"/>
    </row>
    <row r="943">
      <c r="C943" s="414"/>
    </row>
    <row r="944">
      <c r="C944" s="414"/>
    </row>
    <row r="945">
      <c r="C945" s="414"/>
    </row>
    <row r="946">
      <c r="C946" s="414"/>
    </row>
    <row r="947">
      <c r="C947" s="414"/>
    </row>
    <row r="948">
      <c r="C948" s="414"/>
    </row>
    <row r="949">
      <c r="C949" s="414"/>
    </row>
    <row r="950">
      <c r="C950" s="414"/>
    </row>
    <row r="951">
      <c r="C951" s="414"/>
    </row>
    <row r="952">
      <c r="C952" s="414"/>
    </row>
    <row r="953">
      <c r="C953" s="414"/>
    </row>
    <row r="954">
      <c r="C954" s="414"/>
    </row>
    <row r="955">
      <c r="C955" s="414"/>
    </row>
    <row r="956">
      <c r="C956" s="414"/>
    </row>
    <row r="957">
      <c r="C957" s="414"/>
    </row>
    <row r="958">
      <c r="C958" s="414"/>
    </row>
    <row r="959">
      <c r="C959" s="414"/>
    </row>
    <row r="960">
      <c r="C960" s="414"/>
    </row>
    <row r="961">
      <c r="C961" s="414"/>
    </row>
    <row r="962">
      <c r="C962" s="414"/>
    </row>
    <row r="963">
      <c r="C963" s="414"/>
    </row>
    <row r="964">
      <c r="C964" s="414"/>
    </row>
    <row r="965">
      <c r="C965" s="414"/>
    </row>
    <row r="966">
      <c r="C966" s="414"/>
    </row>
    <row r="967">
      <c r="C967" s="414"/>
    </row>
    <row r="968">
      <c r="C968" s="414"/>
    </row>
    <row r="969">
      <c r="C969" s="414"/>
    </row>
    <row r="970">
      <c r="C970" s="414"/>
    </row>
    <row r="971">
      <c r="C971" s="414"/>
    </row>
    <row r="972">
      <c r="C972" s="414"/>
    </row>
    <row r="973">
      <c r="C973" s="414"/>
    </row>
    <row r="974">
      <c r="C974" s="414"/>
    </row>
    <row r="975">
      <c r="C975" s="414"/>
    </row>
    <row r="976">
      <c r="C976" s="414"/>
    </row>
    <row r="977">
      <c r="C977" s="414"/>
    </row>
    <row r="978">
      <c r="C978" s="414"/>
    </row>
    <row r="979">
      <c r="C979" s="414"/>
    </row>
    <row r="980">
      <c r="C980" s="414"/>
    </row>
    <row r="981">
      <c r="C981" s="414"/>
    </row>
    <row r="982">
      <c r="C982" s="414"/>
    </row>
    <row r="983">
      <c r="C983" s="414"/>
    </row>
    <row r="984">
      <c r="C984" s="414"/>
    </row>
    <row r="985">
      <c r="C985" s="414"/>
    </row>
    <row r="986">
      <c r="C986" s="414"/>
    </row>
    <row r="987">
      <c r="C987" s="414"/>
    </row>
    <row r="988">
      <c r="C988" s="414"/>
    </row>
    <row r="989">
      <c r="C989" s="414"/>
    </row>
    <row r="990">
      <c r="C990" s="414"/>
    </row>
    <row r="991">
      <c r="C991" s="414"/>
    </row>
    <row r="992">
      <c r="C992" s="414"/>
    </row>
    <row r="993">
      <c r="C993" s="414"/>
    </row>
    <row r="994">
      <c r="C994" s="414"/>
    </row>
    <row r="995">
      <c r="C995" s="414"/>
    </row>
    <row r="996">
      <c r="C996" s="414"/>
    </row>
    <row r="997">
      <c r="C997" s="414"/>
    </row>
    <row r="998">
      <c r="C998" s="414"/>
    </row>
    <row r="999">
      <c r="C999" s="414"/>
    </row>
    <row r="1000">
      <c r="C1000" s="414"/>
    </row>
  </sheetData>
  <drawing r:id="rId1"/>
</worksheet>
</file>