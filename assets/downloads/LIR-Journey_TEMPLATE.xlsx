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JPatera\Documents\GitHub\The-SaaS-Revenue-System\assets\downloads\"/>
    </mc:Choice>
  </mc:AlternateContent>
  <xr:revisionPtr revIDLastSave="0" documentId="13_ncr:1_{1CBCD672-ECC0-47B4-AA54-7AE1D79A08AB}" xr6:coauthVersionLast="47" xr6:coauthVersionMax="47" xr10:uidLastSave="{00000000-0000-0000-0000-000000000000}"/>
  <bookViews>
    <workbookView xWindow="45972" yWindow="-120" windowWidth="46296" windowHeight="25416" activeTab="4" xr2:uid="{00000000-000D-0000-FFFF-FFFF00000000}"/>
  </bookViews>
  <sheets>
    <sheet name="pre-PMF LIR option 1" sheetId="2" r:id="rId1"/>
    <sheet name="pre-PMF LIR option 2" sheetId="8" r:id="rId2"/>
    <sheet name="pre-PMF LIR option3" sheetId="9" r:id="rId3"/>
    <sheet name="PMF+ LIR (quarter)" sheetId="6" r:id="rId4"/>
    <sheet name="PMF+ LIR (month)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9" l="1"/>
  <c r="H26" i="8"/>
  <c r="L27" i="8"/>
  <c r="D32" i="6"/>
  <c r="D33" i="6"/>
  <c r="D34" i="6"/>
  <c r="D35" i="6"/>
  <c r="D36" i="6"/>
  <c r="D37" i="6"/>
  <c r="I27" i="9"/>
  <c r="J27" i="9"/>
  <c r="K27" i="9"/>
  <c r="L27" i="9"/>
  <c r="M27" i="9"/>
  <c r="N27" i="9"/>
  <c r="O27" i="9"/>
  <c r="P27" i="9"/>
  <c r="Q27" i="9"/>
  <c r="R27" i="9"/>
  <c r="S27" i="9"/>
  <c r="H27" i="9"/>
  <c r="G26" i="2"/>
  <c r="Q29" i="9"/>
  <c r="R29" i="9"/>
  <c r="S29" i="9"/>
  <c r="P30" i="9"/>
  <c r="Q30" i="9"/>
  <c r="R30" i="9"/>
  <c r="S30" i="9"/>
  <c r="N31" i="9"/>
  <c r="O31" i="9"/>
  <c r="P31" i="9"/>
  <c r="Q31" i="9"/>
  <c r="R31" i="9"/>
  <c r="S31" i="9"/>
  <c r="J32" i="9"/>
  <c r="N32" i="9"/>
  <c r="O32" i="9"/>
  <c r="P32" i="9"/>
  <c r="Q32" i="9"/>
  <c r="R32" i="9"/>
  <c r="S32" i="9"/>
  <c r="M33" i="9"/>
  <c r="N33" i="9"/>
  <c r="O33" i="9"/>
  <c r="P33" i="9"/>
  <c r="Q33" i="9"/>
  <c r="R33" i="9"/>
  <c r="S33" i="9"/>
  <c r="L34" i="9"/>
  <c r="M34" i="9"/>
  <c r="N34" i="9"/>
  <c r="O34" i="9"/>
  <c r="P34" i="9"/>
  <c r="Q34" i="9"/>
  <c r="R34" i="9"/>
  <c r="S34" i="9"/>
  <c r="L35" i="9"/>
  <c r="M35" i="9"/>
  <c r="N35" i="9"/>
  <c r="O35" i="9"/>
  <c r="P35" i="9"/>
  <c r="Q35" i="9"/>
  <c r="R35" i="9"/>
  <c r="S35" i="9"/>
  <c r="J36" i="9"/>
  <c r="K36" i="9"/>
  <c r="L36" i="9"/>
  <c r="M36" i="9"/>
  <c r="N36" i="9"/>
  <c r="O36" i="9"/>
  <c r="P36" i="9"/>
  <c r="Q36" i="9"/>
  <c r="R36" i="9"/>
  <c r="S36" i="9"/>
  <c r="K37" i="9"/>
  <c r="L37" i="9"/>
  <c r="M37" i="9"/>
  <c r="N37" i="9"/>
  <c r="O37" i="9"/>
  <c r="P37" i="9"/>
  <c r="Q37" i="9"/>
  <c r="R37" i="9"/>
  <c r="S37" i="9"/>
  <c r="K28" i="9"/>
  <c r="O28" i="9"/>
  <c r="R28" i="9"/>
  <c r="S28" i="9"/>
  <c r="G37" i="9"/>
  <c r="H37" i="9" s="1"/>
  <c r="F37" i="9"/>
  <c r="E37" i="9"/>
  <c r="D37" i="9"/>
  <c r="C37" i="9"/>
  <c r="G36" i="9"/>
  <c r="H36" i="9" s="1"/>
  <c r="F36" i="9"/>
  <c r="E36" i="9"/>
  <c r="D36" i="9"/>
  <c r="C36" i="9"/>
  <c r="G35" i="9"/>
  <c r="I35" i="9" s="1"/>
  <c r="F35" i="9"/>
  <c r="E35" i="9"/>
  <c r="D35" i="9"/>
  <c r="C35" i="9"/>
  <c r="G34" i="9"/>
  <c r="K34" i="9" s="1"/>
  <c r="F34" i="9"/>
  <c r="E34" i="9"/>
  <c r="D34" i="9"/>
  <c r="C34" i="9"/>
  <c r="G33" i="9"/>
  <c r="H33" i="9" s="1"/>
  <c r="F33" i="9"/>
  <c r="E33" i="9"/>
  <c r="D33" i="9"/>
  <c r="C33" i="9"/>
  <c r="G32" i="9"/>
  <c r="K32" i="9" s="1"/>
  <c r="F32" i="9"/>
  <c r="E32" i="9"/>
  <c r="D32" i="9"/>
  <c r="C32" i="9"/>
  <c r="G31" i="9"/>
  <c r="I31" i="9" s="1"/>
  <c r="F31" i="9"/>
  <c r="E31" i="9"/>
  <c r="D31" i="9"/>
  <c r="C31" i="9"/>
  <c r="G30" i="9"/>
  <c r="K30" i="9" s="1"/>
  <c r="F30" i="9"/>
  <c r="E30" i="9"/>
  <c r="D30" i="9"/>
  <c r="C30" i="9"/>
  <c r="G29" i="9"/>
  <c r="O29" i="9" s="1"/>
  <c r="F29" i="9"/>
  <c r="E29" i="9"/>
  <c r="D29" i="9"/>
  <c r="C29" i="9"/>
  <c r="G28" i="9"/>
  <c r="L28" i="9" s="1"/>
  <c r="F28" i="9"/>
  <c r="E28" i="9"/>
  <c r="D28" i="9"/>
  <c r="C28" i="9"/>
  <c r="S26" i="9"/>
  <c r="R26" i="9"/>
  <c r="Q26" i="9"/>
  <c r="P26" i="9"/>
  <c r="O26" i="9"/>
  <c r="N26" i="9"/>
  <c r="M26" i="9"/>
  <c r="L26" i="9"/>
  <c r="K26" i="9"/>
  <c r="J26" i="9"/>
  <c r="I26" i="9"/>
  <c r="H26" i="9"/>
  <c r="M27" i="8"/>
  <c r="N27" i="8"/>
  <c r="O27" i="8"/>
  <c r="Q27" i="8"/>
  <c r="R27" i="8"/>
  <c r="S27" i="8"/>
  <c r="H28" i="8"/>
  <c r="I28" i="8"/>
  <c r="J28" i="8"/>
  <c r="K28" i="8"/>
  <c r="P28" i="8"/>
  <c r="Q28" i="8"/>
  <c r="R28" i="8"/>
  <c r="S28" i="8"/>
  <c r="L29" i="8"/>
  <c r="M29" i="8"/>
  <c r="N29" i="8"/>
  <c r="O29" i="8"/>
  <c r="P29" i="8"/>
  <c r="Q29" i="8"/>
  <c r="R29" i="8"/>
  <c r="S29" i="8"/>
  <c r="I30" i="8"/>
  <c r="J30" i="8"/>
  <c r="K30" i="8"/>
  <c r="N30" i="8"/>
  <c r="O30" i="8"/>
  <c r="P30" i="8"/>
  <c r="Q30" i="8"/>
  <c r="R30" i="8"/>
  <c r="S30" i="8"/>
  <c r="M31" i="8"/>
  <c r="N31" i="8"/>
  <c r="O31" i="8"/>
  <c r="P31" i="8"/>
  <c r="Q31" i="8"/>
  <c r="R31" i="8"/>
  <c r="S31" i="8"/>
  <c r="K32" i="8"/>
  <c r="L32" i="8"/>
  <c r="M32" i="8"/>
  <c r="N32" i="8"/>
  <c r="O32" i="8"/>
  <c r="P32" i="8"/>
  <c r="Q32" i="8"/>
  <c r="R32" i="8"/>
  <c r="S32" i="8"/>
  <c r="L33" i="8"/>
  <c r="M33" i="8"/>
  <c r="N33" i="8"/>
  <c r="O33" i="8"/>
  <c r="P33" i="8"/>
  <c r="Q33" i="8"/>
  <c r="R33" i="8"/>
  <c r="S33" i="8"/>
  <c r="K34" i="8"/>
  <c r="L34" i="8"/>
  <c r="M34" i="8"/>
  <c r="N34" i="8"/>
  <c r="O34" i="8"/>
  <c r="P34" i="8"/>
  <c r="Q34" i="8"/>
  <c r="R34" i="8"/>
  <c r="S34" i="8"/>
  <c r="K35" i="8"/>
  <c r="L35" i="8"/>
  <c r="M35" i="8"/>
  <c r="N35" i="8"/>
  <c r="O35" i="8"/>
  <c r="P35" i="8"/>
  <c r="Q35" i="8"/>
  <c r="R35" i="8"/>
  <c r="S35" i="8"/>
  <c r="I26" i="8"/>
  <c r="J26" i="8"/>
  <c r="K26" i="8"/>
  <c r="P26" i="8"/>
  <c r="Q26" i="8"/>
  <c r="R26" i="8"/>
  <c r="S26" i="8"/>
  <c r="G27" i="2"/>
  <c r="H27" i="2"/>
  <c r="I27" i="2"/>
  <c r="J27" i="2"/>
  <c r="K27" i="2"/>
  <c r="L27" i="2"/>
  <c r="M27" i="2"/>
  <c r="N27" i="2"/>
  <c r="O27" i="2"/>
  <c r="P27" i="2"/>
  <c r="Q27" i="2"/>
  <c r="R27" i="2"/>
  <c r="G28" i="2"/>
  <c r="H28" i="2"/>
  <c r="I28" i="2"/>
  <c r="J28" i="2"/>
  <c r="K28" i="2"/>
  <c r="L28" i="2"/>
  <c r="M28" i="2"/>
  <c r="N28" i="2"/>
  <c r="O28" i="2"/>
  <c r="P28" i="2"/>
  <c r="Q28" i="2"/>
  <c r="R28" i="2"/>
  <c r="G29" i="2"/>
  <c r="H29" i="2"/>
  <c r="I29" i="2"/>
  <c r="J29" i="2"/>
  <c r="K29" i="2"/>
  <c r="L29" i="2"/>
  <c r="M29" i="2"/>
  <c r="N29" i="2"/>
  <c r="O29" i="2"/>
  <c r="P29" i="2"/>
  <c r="Q29" i="2"/>
  <c r="R29" i="2"/>
  <c r="G30" i="2"/>
  <c r="H30" i="2"/>
  <c r="I30" i="2"/>
  <c r="J30" i="2"/>
  <c r="K30" i="2"/>
  <c r="L30" i="2"/>
  <c r="M30" i="2"/>
  <c r="N30" i="2"/>
  <c r="O30" i="2"/>
  <c r="P30" i="2"/>
  <c r="Q30" i="2"/>
  <c r="R30" i="2"/>
  <c r="G31" i="2"/>
  <c r="H31" i="2"/>
  <c r="I31" i="2"/>
  <c r="J31" i="2"/>
  <c r="K31" i="2"/>
  <c r="L31" i="2"/>
  <c r="M31" i="2"/>
  <c r="N31" i="2"/>
  <c r="O31" i="2"/>
  <c r="P31" i="2"/>
  <c r="Q31" i="2"/>
  <c r="R31" i="2"/>
  <c r="G32" i="2"/>
  <c r="H32" i="2"/>
  <c r="I32" i="2"/>
  <c r="J32" i="2"/>
  <c r="K32" i="2"/>
  <c r="L32" i="2"/>
  <c r="M32" i="2"/>
  <c r="N32" i="2"/>
  <c r="O32" i="2"/>
  <c r="P32" i="2"/>
  <c r="Q32" i="2"/>
  <c r="R32" i="2"/>
  <c r="G33" i="2"/>
  <c r="H33" i="2"/>
  <c r="I33" i="2"/>
  <c r="J33" i="2"/>
  <c r="K33" i="2"/>
  <c r="L33" i="2"/>
  <c r="M33" i="2"/>
  <c r="N33" i="2"/>
  <c r="O33" i="2"/>
  <c r="P33" i="2"/>
  <c r="Q33" i="2"/>
  <c r="R33" i="2"/>
  <c r="G34" i="2"/>
  <c r="H34" i="2"/>
  <c r="I34" i="2"/>
  <c r="J34" i="2"/>
  <c r="K34" i="2"/>
  <c r="L34" i="2"/>
  <c r="M34" i="2"/>
  <c r="N34" i="2"/>
  <c r="O34" i="2"/>
  <c r="P34" i="2"/>
  <c r="Q34" i="2"/>
  <c r="R34" i="2"/>
  <c r="G35" i="2"/>
  <c r="H35" i="2"/>
  <c r="I35" i="2"/>
  <c r="J35" i="2"/>
  <c r="K35" i="2"/>
  <c r="L35" i="2"/>
  <c r="M35" i="2"/>
  <c r="N35" i="2"/>
  <c r="O35" i="2"/>
  <c r="P35" i="2"/>
  <c r="Q35" i="2"/>
  <c r="R35" i="2"/>
  <c r="H26" i="2"/>
  <c r="I26" i="2"/>
  <c r="J26" i="2"/>
  <c r="K26" i="2"/>
  <c r="L26" i="2"/>
  <c r="M26" i="2"/>
  <c r="N26" i="2"/>
  <c r="O26" i="2"/>
  <c r="P26" i="2"/>
  <c r="Q26" i="2"/>
  <c r="R26" i="2"/>
  <c r="G26" i="8"/>
  <c r="M26" i="8" s="1"/>
  <c r="G27" i="8"/>
  <c r="I27" i="8" s="1"/>
  <c r="G28" i="8"/>
  <c r="M28" i="8" s="1"/>
  <c r="G29" i="8"/>
  <c r="I29" i="8" s="1"/>
  <c r="G30" i="8"/>
  <c r="M30" i="8" s="1"/>
  <c r="G31" i="8"/>
  <c r="I31" i="8" s="1"/>
  <c r="G32" i="8"/>
  <c r="H32" i="8" s="1"/>
  <c r="G33" i="8"/>
  <c r="H33" i="8" s="1"/>
  <c r="G34" i="8"/>
  <c r="H34" i="8" s="1"/>
  <c r="G35" i="8"/>
  <c r="H35" i="8" s="1"/>
  <c r="F35" i="8"/>
  <c r="E35" i="8"/>
  <c r="D35" i="8"/>
  <c r="C35" i="8"/>
  <c r="F34" i="8"/>
  <c r="E34" i="8"/>
  <c r="D34" i="8"/>
  <c r="C34" i="8"/>
  <c r="F33" i="8"/>
  <c r="E33" i="8"/>
  <c r="D33" i="8"/>
  <c r="C33" i="8"/>
  <c r="F32" i="8"/>
  <c r="E32" i="8"/>
  <c r="D32" i="8"/>
  <c r="C32" i="8"/>
  <c r="F31" i="8"/>
  <c r="E31" i="8"/>
  <c r="D31" i="8"/>
  <c r="C31" i="8"/>
  <c r="F30" i="8"/>
  <c r="E30" i="8"/>
  <c r="D30" i="8"/>
  <c r="C30" i="8"/>
  <c r="F29" i="8"/>
  <c r="E29" i="8"/>
  <c r="D29" i="8"/>
  <c r="C29" i="8"/>
  <c r="F28" i="8"/>
  <c r="E28" i="8"/>
  <c r="D28" i="8"/>
  <c r="C28" i="8"/>
  <c r="F27" i="8"/>
  <c r="E27" i="8"/>
  <c r="D27" i="8"/>
  <c r="C27" i="8"/>
  <c r="F26" i="8"/>
  <c r="E26" i="8"/>
  <c r="D26" i="8"/>
  <c r="C26" i="8"/>
  <c r="S25" i="8"/>
  <c r="R25" i="8"/>
  <c r="Q25" i="8"/>
  <c r="P25" i="8"/>
  <c r="O25" i="8"/>
  <c r="N25" i="8"/>
  <c r="M25" i="8"/>
  <c r="L25" i="8"/>
  <c r="K25" i="8"/>
  <c r="J25" i="8"/>
  <c r="I25" i="8"/>
  <c r="H25" i="8"/>
  <c r="E37" i="7"/>
  <c r="F37" i="7" s="1"/>
  <c r="G36" i="7"/>
  <c r="F36" i="7"/>
  <c r="E36" i="7"/>
  <c r="G35" i="7"/>
  <c r="F35" i="7"/>
  <c r="E35" i="7"/>
  <c r="H35" i="7" s="1"/>
  <c r="E34" i="7"/>
  <c r="H34" i="7" s="1"/>
  <c r="E33" i="7"/>
  <c r="H33" i="7" s="1"/>
  <c r="E32" i="7"/>
  <c r="I32" i="7" s="1"/>
  <c r="L31" i="7"/>
  <c r="I31" i="7"/>
  <c r="H31" i="7"/>
  <c r="G31" i="7"/>
  <c r="F31" i="7"/>
  <c r="E31" i="7"/>
  <c r="K31" i="7" s="1"/>
  <c r="L30" i="7"/>
  <c r="K30" i="7"/>
  <c r="J30" i="7"/>
  <c r="I30" i="7"/>
  <c r="H30" i="7"/>
  <c r="G30" i="7"/>
  <c r="E30" i="7"/>
  <c r="F30" i="7" s="1"/>
  <c r="N29" i="7"/>
  <c r="G29" i="7"/>
  <c r="F29" i="7"/>
  <c r="E29" i="7"/>
  <c r="J29" i="7" s="1"/>
  <c r="L28" i="7"/>
  <c r="K28" i="7"/>
  <c r="J28" i="7"/>
  <c r="H28" i="7"/>
  <c r="E28" i="7"/>
  <c r="O28" i="7" s="1"/>
  <c r="P27" i="7"/>
  <c r="N27" i="7"/>
  <c r="K27" i="7"/>
  <c r="J27" i="7"/>
  <c r="I27" i="7"/>
  <c r="H27" i="7"/>
  <c r="F27" i="7"/>
  <c r="E27" i="7"/>
  <c r="M27" i="7" s="1"/>
  <c r="P26" i="7"/>
  <c r="H26" i="7"/>
  <c r="E26" i="7"/>
  <c r="L26" i="7" s="1"/>
  <c r="D26" i="7"/>
  <c r="C26" i="7"/>
  <c r="F25" i="7"/>
  <c r="E25" i="7"/>
  <c r="D11" i="7"/>
  <c r="D12" i="7" s="1"/>
  <c r="C11" i="7"/>
  <c r="C27" i="7" s="1"/>
  <c r="G9" i="7"/>
  <c r="G25" i="7" s="1"/>
  <c r="F9" i="7"/>
  <c r="F37" i="6"/>
  <c r="E37" i="6"/>
  <c r="G36" i="6"/>
  <c r="E36" i="6"/>
  <c r="F36" i="6" s="1"/>
  <c r="G35" i="6"/>
  <c r="E35" i="6"/>
  <c r="H35" i="6" s="1"/>
  <c r="I34" i="6"/>
  <c r="H34" i="6"/>
  <c r="F34" i="6"/>
  <c r="E34" i="6"/>
  <c r="G34" i="6" s="1"/>
  <c r="J33" i="6"/>
  <c r="I33" i="6"/>
  <c r="H33" i="6"/>
  <c r="F33" i="6"/>
  <c r="E33" i="6"/>
  <c r="G33" i="6" s="1"/>
  <c r="I32" i="6"/>
  <c r="G32" i="6"/>
  <c r="E32" i="6"/>
  <c r="J32" i="6" s="1"/>
  <c r="K31" i="6"/>
  <c r="I31" i="6"/>
  <c r="G31" i="6"/>
  <c r="E31" i="6"/>
  <c r="L31" i="6" s="1"/>
  <c r="D31" i="6"/>
  <c r="L30" i="6"/>
  <c r="K30" i="6"/>
  <c r="J30" i="6"/>
  <c r="I30" i="6"/>
  <c r="H30" i="6"/>
  <c r="G30" i="6"/>
  <c r="F30" i="6"/>
  <c r="E30" i="6"/>
  <c r="M30" i="6" s="1"/>
  <c r="D30" i="6"/>
  <c r="N29" i="6"/>
  <c r="L29" i="6"/>
  <c r="J29" i="6"/>
  <c r="H29" i="6"/>
  <c r="F29" i="6"/>
  <c r="E29" i="6"/>
  <c r="K29" i="6" s="1"/>
  <c r="D29" i="6"/>
  <c r="E28" i="6"/>
  <c r="H28" i="6" s="1"/>
  <c r="D28" i="6"/>
  <c r="K27" i="6"/>
  <c r="E27" i="6"/>
  <c r="N27" i="6" s="1"/>
  <c r="D27" i="6"/>
  <c r="C27" i="6"/>
  <c r="Q26" i="6"/>
  <c r="P26" i="6"/>
  <c r="O26" i="6"/>
  <c r="N26" i="6"/>
  <c r="L26" i="6"/>
  <c r="K26" i="6"/>
  <c r="J26" i="6"/>
  <c r="I26" i="6"/>
  <c r="H26" i="6"/>
  <c r="G26" i="6"/>
  <c r="F26" i="6"/>
  <c r="E26" i="6"/>
  <c r="M26" i="6" s="1"/>
  <c r="D26" i="6"/>
  <c r="C26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C12" i="6"/>
  <c r="C13" i="6" s="1"/>
  <c r="C11" i="6"/>
  <c r="F35" i="2"/>
  <c r="E35" i="2"/>
  <c r="D35" i="2"/>
  <c r="C35" i="2"/>
  <c r="F34" i="2"/>
  <c r="E34" i="2"/>
  <c r="D34" i="2"/>
  <c r="C34" i="2"/>
  <c r="F33" i="2"/>
  <c r="E33" i="2"/>
  <c r="D33" i="2"/>
  <c r="C33" i="2"/>
  <c r="F32" i="2"/>
  <c r="E32" i="2"/>
  <c r="D32" i="2"/>
  <c r="C32" i="2"/>
  <c r="F31" i="2"/>
  <c r="E31" i="2"/>
  <c r="D31" i="2"/>
  <c r="C31" i="2"/>
  <c r="F30" i="2"/>
  <c r="E30" i="2"/>
  <c r="D30" i="2"/>
  <c r="C30" i="2"/>
  <c r="F29" i="2"/>
  <c r="E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R25" i="2"/>
  <c r="Q25" i="2"/>
  <c r="P25" i="2"/>
  <c r="O25" i="2"/>
  <c r="N25" i="2"/>
  <c r="M25" i="2"/>
  <c r="L25" i="2"/>
  <c r="K25" i="2"/>
  <c r="J25" i="2"/>
  <c r="I25" i="2"/>
  <c r="H25" i="2"/>
  <c r="G25" i="2"/>
  <c r="P28" i="9" l="1"/>
  <c r="J34" i="9"/>
  <c r="N29" i="9"/>
  <c r="M29" i="9"/>
  <c r="K29" i="9"/>
  <c r="K33" i="9"/>
  <c r="J33" i="9"/>
  <c r="I33" i="9"/>
  <c r="J29" i="9"/>
  <c r="I34" i="9"/>
  <c r="J37" i="9"/>
  <c r="I29" i="9"/>
  <c r="I37" i="9"/>
  <c r="S26" i="2" a="1"/>
  <c r="S26" i="2" s="1"/>
  <c r="J30" i="9"/>
  <c r="I36" i="9"/>
  <c r="I32" i="9"/>
  <c r="M31" i="9"/>
  <c r="T31" i="9" s="1"/>
  <c r="I30" i="9"/>
  <c r="Q28" i="9"/>
  <c r="I28" i="9"/>
  <c r="H34" i="9"/>
  <c r="L33" i="9"/>
  <c r="H32" i="9"/>
  <c r="L31" i="9"/>
  <c r="H30" i="9"/>
  <c r="L29" i="9"/>
  <c r="K35" i="9"/>
  <c r="K31" i="9"/>
  <c r="O30" i="9"/>
  <c r="J35" i="9"/>
  <c r="J31" i="9"/>
  <c r="N28" i="9"/>
  <c r="M30" i="9"/>
  <c r="M28" i="9"/>
  <c r="H35" i="9"/>
  <c r="L32" i="9"/>
  <c r="H31" i="9"/>
  <c r="L30" i="9"/>
  <c r="P29" i="9"/>
  <c r="H29" i="9"/>
  <c r="N30" i="9"/>
  <c r="M32" i="9"/>
  <c r="H28" i="9"/>
  <c r="H30" i="8"/>
  <c r="L26" i="8"/>
  <c r="H31" i="8"/>
  <c r="L30" i="8"/>
  <c r="H29" i="8"/>
  <c r="L28" i="8"/>
  <c r="P27" i="8"/>
  <c r="T27" i="8" s="1"/>
  <c r="H27" i="8"/>
  <c r="J32" i="8"/>
  <c r="L31" i="8"/>
  <c r="O26" i="8"/>
  <c r="J35" i="8"/>
  <c r="K31" i="8"/>
  <c r="T31" i="8" s="1"/>
  <c r="K29" i="8"/>
  <c r="O28" i="8"/>
  <c r="K27" i="8"/>
  <c r="I32" i="8"/>
  <c r="N26" i="8"/>
  <c r="I35" i="8"/>
  <c r="J31" i="8"/>
  <c r="J29" i="8"/>
  <c r="N28" i="8"/>
  <c r="T28" i="8" s="1"/>
  <c r="J27" i="8"/>
  <c r="S27" i="2"/>
  <c r="S28" i="2"/>
  <c r="S34" i="2"/>
  <c r="S33" i="2"/>
  <c r="S32" i="2"/>
  <c r="S35" i="2"/>
  <c r="S29" i="2"/>
  <c r="T32" i="9"/>
  <c r="T28" i="9"/>
  <c r="T36" i="9"/>
  <c r="T37" i="9"/>
  <c r="J34" i="8"/>
  <c r="T34" i="8" s="1"/>
  <c r="I34" i="8"/>
  <c r="K33" i="8"/>
  <c r="J33" i="8"/>
  <c r="I33" i="8"/>
  <c r="T26" i="8"/>
  <c r="T35" i="8"/>
  <c r="T29" i="8"/>
  <c r="T30" i="8"/>
  <c r="T32" i="8"/>
  <c r="S30" i="2"/>
  <c r="S31" i="2"/>
  <c r="D28" i="7"/>
  <c r="D13" i="7"/>
  <c r="C29" i="6"/>
  <c r="C14" i="6"/>
  <c r="M26" i="7"/>
  <c r="K29" i="7"/>
  <c r="J32" i="7"/>
  <c r="I33" i="7"/>
  <c r="I34" i="7"/>
  <c r="G27" i="6"/>
  <c r="O27" i="6"/>
  <c r="I28" i="6"/>
  <c r="K32" i="6"/>
  <c r="H27" i="6"/>
  <c r="P27" i="6"/>
  <c r="J28" i="6"/>
  <c r="M29" i="6"/>
  <c r="F31" i="6"/>
  <c r="H9" i="7"/>
  <c r="F26" i="7"/>
  <c r="N26" i="7"/>
  <c r="G27" i="7"/>
  <c r="O27" i="7"/>
  <c r="I28" i="7"/>
  <c r="L29" i="7"/>
  <c r="K32" i="7"/>
  <c r="J33" i="7"/>
  <c r="I27" i="6"/>
  <c r="C28" i="6"/>
  <c r="K28" i="6"/>
  <c r="G26" i="7"/>
  <c r="O26" i="7"/>
  <c r="M29" i="7"/>
  <c r="M28" i="6"/>
  <c r="J27" i="6"/>
  <c r="L28" i="6"/>
  <c r="G29" i="6"/>
  <c r="H31" i="6"/>
  <c r="F32" i="6"/>
  <c r="F35" i="6"/>
  <c r="I26" i="7"/>
  <c r="Q26" i="7"/>
  <c r="F32" i="7"/>
  <c r="L27" i="6"/>
  <c r="F28" i="6"/>
  <c r="N28" i="6"/>
  <c r="I29" i="6"/>
  <c r="J31" i="6"/>
  <c r="H32" i="6"/>
  <c r="C12" i="7"/>
  <c r="J26" i="7"/>
  <c r="M28" i="7"/>
  <c r="H29" i="7"/>
  <c r="G32" i="7"/>
  <c r="F33" i="7"/>
  <c r="F34" i="7"/>
  <c r="K26" i="7"/>
  <c r="D27" i="7"/>
  <c r="L27" i="7"/>
  <c r="F28" i="7"/>
  <c r="N28" i="7"/>
  <c r="I29" i="7"/>
  <c r="M30" i="7"/>
  <c r="J31" i="7"/>
  <c r="H32" i="7"/>
  <c r="G33" i="7"/>
  <c r="G34" i="7"/>
  <c r="M27" i="6"/>
  <c r="G28" i="6"/>
  <c r="O28" i="6"/>
  <c r="F27" i="6"/>
  <c r="G28" i="7"/>
  <c r="T33" i="8" l="1"/>
  <c r="T35" i="9"/>
  <c r="T34" i="9"/>
  <c r="T29" i="9"/>
  <c r="T30" i="9"/>
  <c r="T33" i="9"/>
  <c r="T37" i="8"/>
  <c r="C13" i="7"/>
  <c r="C28" i="7"/>
  <c r="H25" i="7"/>
  <c r="I9" i="7"/>
  <c r="C30" i="6"/>
  <c r="C15" i="6"/>
  <c r="D14" i="7"/>
  <c r="D29" i="7"/>
  <c r="T39" i="9" l="1"/>
  <c r="C31" i="6"/>
  <c r="C16" i="6"/>
  <c r="I25" i="7"/>
  <c r="J9" i="7"/>
  <c r="D30" i="7"/>
  <c r="D15" i="7"/>
  <c r="C14" i="7"/>
  <c r="C29" i="7"/>
  <c r="S37" i="2" l="1"/>
  <c r="D16" i="7"/>
  <c r="D31" i="7"/>
  <c r="J25" i="7"/>
  <c r="K9" i="7"/>
  <c r="C17" i="6"/>
  <c r="C32" i="6"/>
  <c r="C30" i="7"/>
  <c r="C15" i="7"/>
  <c r="K25" i="7" l="1"/>
  <c r="L9" i="7"/>
  <c r="C18" i="6"/>
  <c r="C33" i="6"/>
  <c r="C31" i="7"/>
  <c r="C16" i="7"/>
  <c r="D32" i="7"/>
  <c r="D17" i="7"/>
  <c r="C17" i="7" l="1"/>
  <c r="C32" i="7"/>
  <c r="C19" i="6"/>
  <c r="C34" i="6"/>
  <c r="D33" i="7"/>
  <c r="D18" i="7"/>
  <c r="M9" i="7"/>
  <c r="L25" i="7"/>
  <c r="D19" i="7" l="1"/>
  <c r="D34" i="7"/>
  <c r="C20" i="6"/>
  <c r="C35" i="6"/>
  <c r="N9" i="7"/>
  <c r="M25" i="7"/>
  <c r="C33" i="7"/>
  <c r="C18" i="7"/>
  <c r="N25" i="7" l="1"/>
  <c r="O9" i="7"/>
  <c r="C21" i="6"/>
  <c r="C37" i="6" s="1"/>
  <c r="C36" i="6"/>
  <c r="C19" i="7"/>
  <c r="C34" i="7"/>
  <c r="D20" i="7"/>
  <c r="D35" i="7"/>
  <c r="C20" i="7" l="1"/>
  <c r="C35" i="7"/>
  <c r="O25" i="7"/>
  <c r="P9" i="7"/>
  <c r="D36" i="7"/>
  <c r="D21" i="7"/>
  <c r="D37" i="7" s="1"/>
  <c r="P25" i="7" l="1"/>
  <c r="Q9" i="7"/>
  <c r="Q25" i="7" s="1"/>
  <c r="C36" i="7"/>
  <c r="C21" i="7"/>
  <c r="C37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<sst xmlns="http://schemas.openxmlformats.org/spreadsheetml/2006/main" count="258" uniqueCount="87">
  <si>
    <t>% of Customers that achieve leading indicator of customer retention by month of tenure</t>
  </si>
  <si>
    <t>Option 1: constant threshold</t>
  </si>
  <si>
    <t>How To Guide:</t>
  </si>
  <si>
    <t>KEY</t>
  </si>
  <si>
    <t>●</t>
  </si>
  <si>
    <t>Replace the blue hardcoded numbers (placeholders) and months in the "Raw Data" section with your own data and fill in each cohort</t>
  </si>
  <si>
    <t>Threshold</t>
  </si>
  <si>
    <t>To add or subtract months or cohorts, drag and copy formulas across or down or delete cells</t>
  </si>
  <si>
    <t>LIR Achieved</t>
  </si>
  <si>
    <t>LIR Not Achieved</t>
  </si>
  <si>
    <t>Raw Data</t>
  </si>
  <si>
    <t>Customer Tenure (Months)</t>
  </si>
  <si>
    <t>Month Closed</t>
  </si>
  <si>
    <t>ACV</t>
  </si>
  <si>
    <t>ICP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</si>
  <si>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</si>
  <si>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</si>
  <si>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</si>
  <si>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</si>
  <si>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</si>
  <si>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</si>
  <si>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</si>
  <si>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</si>
  <si>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</si>
  <si>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</si>
  <si>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</si>
  <si>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</si>
  <si>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Customer 1</t>
  </si>
  <si>
    <t>Jan '23</t>
  </si>
  <si>
    <t>No</t>
  </si>
  <si>
    <t>&lt;-- Number of actions</t>
  </si>
  <si>
    <t>Customer 2</t>
  </si>
  <si>
    <t>Yes</t>
  </si>
  <si>
    <t>Customer 3</t>
  </si>
  <si>
    <t>Feb '23</t>
  </si>
  <si>
    <t>Customer 4</t>
  </si>
  <si>
    <t>May '23</t>
  </si>
  <si>
    <t>Customer 5</t>
  </si>
  <si>
    <t>Customer 6</t>
  </si>
  <si>
    <t>June '23</t>
  </si>
  <si>
    <t>Customer 7</t>
  </si>
  <si>
    <t>July '23</t>
  </si>
  <si>
    <t>Customer 8</t>
  </si>
  <si>
    <t>Customer 9</t>
  </si>
  <si>
    <t>Aug '23</t>
  </si>
  <si>
    <t>Customer 10</t>
  </si>
  <si>
    <t>Aug '24</t>
  </si>
  <si>
    <t>Output</t>
  </si>
  <si>
    <t>Current LIR</t>
  </si>
  <si>
    <t>% Customers Achieving LIR</t>
  </si>
  <si>
    <t>Goal</t>
  </si>
  <si>
    <t>Option 2: constant % attainment based on customer level target</t>
  </si>
  <si>
    <t>Expected Year 1 Usage</t>
  </si>
  <si>
    <t>Option 3: variable % attainment based on customer level target</t>
  </si>
  <si>
    <t>&lt;--LIR threshold</t>
  </si>
  <si>
    <t>% of Customers that achieve leading indicator of customer retention by quarter of tenure</t>
  </si>
  <si>
    <t>Replace the blue hardcoded numbers (placeholders) and quarters in the "Raw Data" section with your own data and fill in each cohort</t>
  </si>
  <si>
    <t>Quarter</t>
  </si>
  <si>
    <t>Quarter 0</t>
  </si>
  <si>
    <t>Quarter 1</t>
  </si>
  <si>
    <t>Quarter 2</t>
  </si>
  <si>
    <t>Quarter 3</t>
  </si>
  <si>
    <t>Quarter 4</t>
  </si>
  <si>
    <t>Quarter 5</t>
  </si>
  <si>
    <t>Quarter 6</t>
  </si>
  <si>
    <t>Quarter 7</t>
  </si>
  <si>
    <t>Quarter 8</t>
  </si>
  <si>
    <t>Quarter 9</t>
  </si>
  <si>
    <t>Quarter 10</t>
  </si>
  <si>
    <t>Quarter 11</t>
  </si>
  <si>
    <t>Quarter 12</t>
  </si>
  <si>
    <t>Q1 2021</t>
  </si>
  <si>
    <t>&lt;-- Number of customers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</si>
  <si>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</si>
  <si>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</si>
  <si>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</si>
  <si>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</si>
  <si>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</si>
  <si>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</si>
  <si>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</si>
  <si>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</si>
  <si>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</si>
  <si>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</si>
  <si>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</si>
  <si>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&lt;-- % of customers</t>
  </si>
  <si>
    <t>Month</t>
  </si>
  <si>
    <t>Leading Indicator of Retention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</si>
</sst>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&quot;Month &quot;#;;&quot;Month 0&quot;"/>
    <numFmt numFmtId="166" formatCode="&quot;Cohort &quot;#;;&quot;Cohort 0&quot;"/>
    <numFmt numFmtId="167" formatCode="mmm\ yyyy"/>
    <numFmt numFmtId="168" formatCode="#,##0%_);\(#,##0%\)"/>
  </numFmts>
  <fonts count="15" x14ac:knownFonts="1">
    <font>
      <sz val="11"/>
      <color theme="1"/>
      <name val="Calibri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theme="9"/>
      </patternFill>
    </fill>
    <fill>
      <patternFill patternType="solid">
        <fgColor rgb="FFFF0000"/>
        <bgColor rgb="FFE06666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 style="thin">
        <color rgb="FF000000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000000"/>
      </left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62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5" fillId="0" borderId="0" xfId="0" applyFont="1"/>
    <xf numFmtId="0" fontId="9" fillId="0" borderId="0" xfId="0" applyFont="1"/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0" fontId="10" fillId="0" borderId="2" xfId="0" applyFont="1" applyBorder="1"/>
    <xf numFmtId="0" fontId="10" fillId="0" borderId="3" xfId="0" applyFont="1" applyBorder="1"/>
    <xf numFmtId="167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0" fontId="2" fillId="0" borderId="3" xfId="0" applyFont="1" applyBorder="1"/>
    <xf numFmtId="166" fontId="2" fillId="0" borderId="3" xfId="0" applyNumberFormat="1" applyFont="1" applyBorder="1" applyAlignment="1">
      <alignment horizontal="center"/>
    </xf>
    <xf numFmtId="0" fontId="10" fillId="0" borderId="2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8" fontId="2" fillId="0" borderId="6" xfId="0" applyNumberFormat="1" applyFont="1" applyBorder="1"/>
    <xf numFmtId="168" fontId="2" fillId="0" borderId="7" xfId="0" applyNumberFormat="1" applyFont="1" applyBorder="1"/>
    <xf numFmtId="167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168" fontId="2" fillId="0" borderId="8" xfId="0" applyNumberFormat="1" applyFont="1" applyBorder="1"/>
    <xf numFmtId="168" fontId="2" fillId="0" borderId="3" xfId="0" applyNumberFormat="1" applyFont="1" applyBorder="1"/>
    <xf numFmtId="166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168" fontId="2" fillId="0" borderId="10" xfId="0" applyNumberFormat="1" applyFont="1" applyBorder="1"/>
    <xf numFmtId="168" fontId="2" fillId="0" borderId="9" xfId="0" applyNumberFormat="1" applyFont="1" applyBorder="1"/>
    <xf numFmtId="0" fontId="10" fillId="0" borderId="3" xfId="0" applyFont="1" applyBorder="1" applyAlignment="1">
      <alignment horizontal="center"/>
    </xf>
    <xf numFmtId="167" fontId="10" fillId="0" borderId="2" xfId="0" applyNumberFormat="1" applyFont="1" applyBorder="1" applyAlignment="1">
      <alignment horizontal="center"/>
    </xf>
    <xf numFmtId="167" fontId="10" fillId="0" borderId="3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9" fontId="9" fillId="0" borderId="11" xfId="1" applyFont="1" applyBorder="1"/>
    <xf numFmtId="9" fontId="9" fillId="0" borderId="0" xfId="0" applyNumberFormat="1" applyFont="1"/>
    <xf numFmtId="0" fontId="5" fillId="0" borderId="4" xfId="0" applyFont="1" applyBorder="1"/>
    <xf numFmtId="0" fontId="5" fillId="0" borderId="4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0" fillId="0" borderId="16" xfId="0" applyBorder="1"/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12" fillId="0" borderId="18" xfId="0" applyFont="1" applyBorder="1" applyAlignment="1">
      <alignment horizontal="center"/>
    </xf>
    <xf numFmtId="0" fontId="2" fillId="4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3" borderId="4" xfId="0" applyFont="1" applyFill="1" applyBorder="1"/>
    <xf numFmtId="0" fontId="6" fillId="0" borderId="1" xfId="0" applyFont="1" applyBorder="1" applyAlignment="1">
      <alignment horizontal="center" wrapText="1"/>
    </xf>
    <xf numFmtId="1" fontId="2" fillId="0" borderId="2" xfId="0" applyNumberFormat="1" applyFont="1" applyBorder="1" applyAlignment="1">
      <alignment horizontal="center"/>
    </xf>
    <xf numFmtId="9" fontId="12" fillId="0" borderId="18" xfId="0" applyNumberFormat="1" applyFont="1" applyBorder="1" applyAlignment="1">
      <alignment horizontal="center"/>
    </xf>
    <xf numFmtId="9" fontId="14" fillId="0" borderId="3" xfId="0" applyNumberFormat="1" applyFont="1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9" fontId="2" fillId="0" borderId="4" xfId="1" applyFont="1" applyBorder="1" applyAlignment="1">
      <alignment horizontal="center"/>
    </xf>
    <xf numFmtId="0" fontId="4" fillId="2" borderId="4" xfId="0" applyFont="1" applyFill="1" applyBorder="1"/>
    <xf numFmtId="0" fontId="1" fillId="2" borderId="4" xfId="0" applyFont="1" applyFill="1" applyBorder="1"/>
    <xf numFmtId="0" fontId="3" fillId="3" borderId="4" xfId="0" applyFont="1" applyFill="1" applyBorder="1" applyAlignment="1">
      <alignment horizontal="center"/>
    </xf>
    <xf numFmtId="0" fontId="8" fillId="0" borderId="4" xfId="0" applyFont="1" applyBorder="1"/>
    <xf numFmtId="0" fontId="7" fillId="2" borderId="13" xfId="0" applyFont="1" applyFill="1" applyBorder="1" applyAlignment="1">
      <alignment horizontal="center" vertical="center"/>
    </xf>
    <xf numFmtId="0" fontId="8" fillId="0" borderId="14" xfId="0" applyFont="1" applyBorder="1"/>
    <xf numFmtId="0" fontId="8" fillId="0" borderId="15" xfId="0" applyFont="1" applyBorder="1"/>
  </cellXfs>
  <cellStyles count="2">
    <cellStyle name="Normal" xfId="0" builtinId="0"/>
    <cellStyle name="Percent" xfId="1" builtinId="5"/>
  </cellStyles>
  <dxfs count="8">
    <dxf>
      <font>
        <color rgb="FF00B050"/>
      </font>
      <fill>
        <patternFill>
          <bgColor rgb="FF00B050"/>
        </patternFill>
      </fill>
    </dxf>
    <dxf>
      <font>
        <color rgb="FFFF0845"/>
      </font>
      <fill>
        <patternFill>
          <bgColor rgb="FFFF0845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845"/>
      </font>
      <fill>
        <patternFill>
          <bgColor rgb="FFFF0845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845"/>
      </font>
      <fill>
        <patternFill>
          <bgColor rgb="FFFF0845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845"/>
      </font>
      <fill>
        <patternFill>
          <bgColor rgb="FFFF0845"/>
        </patternFill>
      </fill>
    </dxf>
  </dxfs>
  <tableStyles count="0" defaultTableStyle="TableStyleMedium2" defaultPivotStyle="PivotStyleLight16"/>
  <colors>
    <mruColors>
      <color rgb="FFFF08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29"/>
  <sheetViews>
    <sheetView showGridLines="0" zoomScaleNormal="100" workbookViewId="0"/>
  </sheetViews>
  <sheetFormatPr defaultColWidth="14.44140625" defaultRowHeight="15" customHeight="1" x14ac:dyDescent="0.3"/>
  <cols>
    <col min="1" max="1" width="1.6640625" customWidth="1"/>
    <col min="2" max="2" width="2.33203125" customWidth="1"/>
    <col min="3" max="3" width="9.44140625" customWidth="1"/>
    <col min="4" max="5" width="12.33203125" customWidth="1"/>
    <col min="6" max="6" width="5.33203125" customWidth="1"/>
    <col min="7" max="18" width="10.6640625" customWidth="1"/>
    <col min="19" max="19" width="9.6640625" customWidth="1"/>
    <col min="20" max="20" width="8.6640625" customWidth="1"/>
  </cols>
  <sheetData>
    <row r="1" spans="1:20" ht="14.4" x14ac:dyDescent="0.3">
      <c r="A1" s="55" t="s">
        <v>86</v>
      </c>
      <c r="B1" s="5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20" ht="14.4" x14ac:dyDescent="0.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4.4" x14ac:dyDescent="0.3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spans="1:20" ht="14.4" x14ac:dyDescent="0.3">
      <c r="A5" s="1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O5" s="59" t="s">
        <v>3</v>
      </c>
      <c r="P5" s="60"/>
      <c r="Q5" s="61"/>
    </row>
    <row r="6" spans="1:20" ht="14.4" x14ac:dyDescent="0.3">
      <c r="B6" s="3" t="s">
        <v>4</v>
      </c>
      <c r="C6" s="3" t="s">
        <v>5</v>
      </c>
      <c r="O6" s="43">
        <v>5</v>
      </c>
      <c r="P6" s="37" t="s">
        <v>6</v>
      </c>
      <c r="Q6" s="40"/>
    </row>
    <row r="7" spans="1:20" ht="14.4" x14ac:dyDescent="0.3">
      <c r="B7" s="3" t="s">
        <v>4</v>
      </c>
      <c r="C7" s="3" t="s">
        <v>7</v>
      </c>
      <c r="O7" s="44"/>
      <c r="P7" s="38" t="s">
        <v>8</v>
      </c>
      <c r="Q7" s="41"/>
    </row>
    <row r="8" spans="1:20" ht="15" customHeight="1" x14ac:dyDescent="0.3">
      <c r="O8" s="45"/>
      <c r="P8" s="39" t="s">
        <v>9</v>
      </c>
      <c r="Q8" s="42"/>
    </row>
    <row r="9" spans="1:20" ht="14.4" x14ac:dyDescent="0.3"/>
    <row r="10" spans="1:20" ht="14.4" x14ac:dyDescent="0.3">
      <c r="A10" s="47" t="s">
        <v>10</v>
      </c>
      <c r="B10" s="47"/>
      <c r="C10" s="47"/>
      <c r="D10" s="47"/>
      <c r="E10" s="47"/>
      <c r="F10" s="47"/>
      <c r="G10" s="57" t="s">
        <v>11</v>
      </c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</row>
    <row r="11" spans="1:20" ht="14.4" x14ac:dyDescent="0.3">
      <c r="D11" s="5" t="s">
        <v>12</v>
      </c>
      <c r="E11" s="5" t="s">
        <v>13</v>
      </c>
      <c r="F11" s="5" t="s">
        <v>14</v>
      </c>
      <c r="G11" s="6" t="s">
        <v>15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</row>
    <row r="12" spans="1:20" ht="14.4" x14ac:dyDescent="0.3">
      <c r="C12" s="7" t="s">
        <v>27</v>
      </c>
      <c r="D12" s="8" t="s">
        <v>28</v>
      </c>
      <c r="E12" s="9">
        <v>9000</v>
      </c>
      <c r="F12" s="8" t="s">
        <v>29</v>
      </c>
      <c r="G12" s="10">
        <v>0</v>
      </c>
      <c r="H12" s="10">
        <v>0</v>
      </c>
      <c r="I12" s="10">
        <v>2</v>
      </c>
      <c r="J12" s="10">
        <v>4</v>
      </c>
      <c r="K12" s="10">
        <v>5</v>
      </c>
      <c r="L12" s="10">
        <v>5</v>
      </c>
      <c r="M12" s="10">
        <v>4</v>
      </c>
      <c r="N12" s="10">
        <v>6</v>
      </c>
      <c r="O12" s="10">
        <v>6</v>
      </c>
      <c r="P12" s="10">
        <v>7</v>
      </c>
      <c r="Q12" s="10"/>
      <c r="R12" s="10"/>
      <c r="S12" s="3" t="s">
        <v>30</v>
      </c>
    </row>
    <row r="13" spans="1:20" ht="14.4" x14ac:dyDescent="0.3">
      <c r="C13" s="7" t="s">
        <v>31</v>
      </c>
      <c r="D13" s="8" t="s">
        <v>28</v>
      </c>
      <c r="E13" s="9">
        <v>10000</v>
      </c>
      <c r="F13" s="8" t="s">
        <v>32</v>
      </c>
      <c r="G13" s="11">
        <v>2</v>
      </c>
      <c r="H13" s="11">
        <v>4</v>
      </c>
      <c r="I13" s="11">
        <v>5</v>
      </c>
      <c r="J13" s="11">
        <v>6</v>
      </c>
      <c r="K13" s="11">
        <v>7</v>
      </c>
      <c r="L13" s="11">
        <v>10</v>
      </c>
      <c r="M13" s="11">
        <v>15</v>
      </c>
      <c r="N13" s="11">
        <v>15</v>
      </c>
      <c r="O13" s="11">
        <v>20</v>
      </c>
      <c r="P13" s="11"/>
      <c r="Q13" s="11"/>
      <c r="R13" s="11"/>
    </row>
    <row r="14" spans="1:20" ht="14.4" x14ac:dyDescent="0.3">
      <c r="C14" s="7" t="s">
        <v>33</v>
      </c>
      <c r="D14" s="8" t="s">
        <v>34</v>
      </c>
      <c r="E14" s="9">
        <v>40000</v>
      </c>
      <c r="F14" s="8" t="s">
        <v>32</v>
      </c>
      <c r="G14" s="11">
        <v>0</v>
      </c>
      <c r="H14" s="11">
        <v>3</v>
      </c>
      <c r="I14" s="11">
        <v>6</v>
      </c>
      <c r="J14" s="11">
        <v>3</v>
      </c>
      <c r="K14" s="11">
        <v>12</v>
      </c>
      <c r="L14" s="11">
        <v>14</v>
      </c>
      <c r="M14" s="11">
        <v>14</v>
      </c>
      <c r="N14" s="11">
        <v>15</v>
      </c>
      <c r="O14" s="11"/>
      <c r="P14" s="11"/>
      <c r="Q14" s="11"/>
      <c r="R14" s="11"/>
    </row>
    <row r="15" spans="1:20" ht="14.4" x14ac:dyDescent="0.3">
      <c r="C15" s="7" t="s">
        <v>35</v>
      </c>
      <c r="D15" s="8" t="s">
        <v>36</v>
      </c>
      <c r="E15" s="9">
        <v>50000</v>
      </c>
      <c r="F15" s="8" t="s">
        <v>32</v>
      </c>
      <c r="G15" s="11">
        <v>6</v>
      </c>
      <c r="H15" s="11">
        <v>15</v>
      </c>
      <c r="I15" s="11">
        <v>19</v>
      </c>
      <c r="J15" s="11">
        <v>41</v>
      </c>
      <c r="K15" s="11">
        <v>43</v>
      </c>
      <c r="L15" s="11">
        <v>56</v>
      </c>
      <c r="M15" s="11"/>
      <c r="N15" s="11"/>
      <c r="O15" s="11"/>
      <c r="P15" s="11"/>
      <c r="Q15" s="11"/>
      <c r="R15" s="11"/>
    </row>
    <row r="16" spans="1:20" ht="14.4" x14ac:dyDescent="0.3">
      <c r="C16" s="7" t="s">
        <v>37</v>
      </c>
      <c r="D16" s="8" t="s">
        <v>36</v>
      </c>
      <c r="E16" s="9">
        <v>25000</v>
      </c>
      <c r="F16" s="8" t="s">
        <v>32</v>
      </c>
      <c r="G16" s="11">
        <v>3</v>
      </c>
      <c r="H16" s="11">
        <v>3</v>
      </c>
      <c r="I16" s="11">
        <v>5</v>
      </c>
      <c r="J16" s="11">
        <v>16</v>
      </c>
      <c r="K16" s="11">
        <v>18</v>
      </c>
      <c r="L16" s="11">
        <v>20</v>
      </c>
      <c r="M16" s="11"/>
      <c r="N16" s="11"/>
      <c r="O16" s="11"/>
      <c r="P16" s="11"/>
      <c r="Q16" s="11"/>
      <c r="R16" s="11"/>
    </row>
    <row r="17" spans="1:19" ht="14.4" x14ac:dyDescent="0.3">
      <c r="C17" s="7" t="s">
        <v>38</v>
      </c>
      <c r="D17" s="8" t="s">
        <v>39</v>
      </c>
      <c r="E17" s="9">
        <v>12000</v>
      </c>
      <c r="F17" s="8" t="s">
        <v>29</v>
      </c>
      <c r="G17" s="11">
        <v>0</v>
      </c>
      <c r="H17" s="11">
        <v>0</v>
      </c>
      <c r="I17" s="11">
        <v>0</v>
      </c>
      <c r="J17" s="11">
        <v>1</v>
      </c>
      <c r="K17" s="11">
        <v>2</v>
      </c>
      <c r="L17" s="11"/>
      <c r="M17" s="11"/>
      <c r="N17" s="11"/>
      <c r="O17" s="11"/>
      <c r="P17" s="11"/>
      <c r="Q17" s="11"/>
      <c r="R17" s="11"/>
    </row>
    <row r="18" spans="1:19" ht="14.4" x14ac:dyDescent="0.3">
      <c r="C18" s="7" t="s">
        <v>40</v>
      </c>
      <c r="D18" s="8" t="s">
        <v>41</v>
      </c>
      <c r="E18" s="9">
        <v>76000</v>
      </c>
      <c r="F18" s="8" t="s">
        <v>32</v>
      </c>
      <c r="G18" s="11">
        <v>0</v>
      </c>
      <c r="H18" s="11">
        <v>4</v>
      </c>
      <c r="I18" s="11">
        <v>6</v>
      </c>
      <c r="J18" s="11">
        <v>10</v>
      </c>
      <c r="K18" s="11"/>
      <c r="L18" s="11"/>
      <c r="M18" s="11"/>
      <c r="N18" s="11"/>
      <c r="O18" s="11"/>
      <c r="P18" s="11"/>
      <c r="Q18" s="11"/>
      <c r="R18" s="11"/>
    </row>
    <row r="19" spans="1:19" ht="14.4" x14ac:dyDescent="0.3">
      <c r="C19" s="7" t="s">
        <v>42</v>
      </c>
      <c r="D19" s="8" t="s">
        <v>41</v>
      </c>
      <c r="E19" s="9">
        <v>90000</v>
      </c>
      <c r="F19" s="8" t="s">
        <v>32</v>
      </c>
      <c r="G19" s="11">
        <v>5</v>
      </c>
      <c r="H19" s="11">
        <v>6</v>
      </c>
      <c r="I19" s="11">
        <v>7</v>
      </c>
      <c r="J19" s="11">
        <v>14</v>
      </c>
      <c r="K19" s="11"/>
      <c r="L19" s="11"/>
      <c r="M19" s="11"/>
      <c r="N19" s="11"/>
      <c r="O19" s="11"/>
      <c r="P19" s="11"/>
      <c r="Q19" s="11"/>
      <c r="R19" s="11"/>
    </row>
    <row r="20" spans="1:19" ht="14.4" x14ac:dyDescent="0.3">
      <c r="C20" s="7" t="s">
        <v>43</v>
      </c>
      <c r="D20" s="8" t="s">
        <v>44</v>
      </c>
      <c r="E20" s="9">
        <v>45000</v>
      </c>
      <c r="F20" s="8" t="s">
        <v>32</v>
      </c>
      <c r="G20" s="11">
        <v>0</v>
      </c>
      <c r="H20" s="11">
        <v>5</v>
      </c>
      <c r="I20" s="11">
        <v>12</v>
      </c>
      <c r="J20" s="11"/>
      <c r="K20" s="11"/>
      <c r="L20" s="11"/>
      <c r="M20" s="11"/>
      <c r="N20" s="11"/>
      <c r="O20" s="11"/>
      <c r="P20" s="11"/>
      <c r="Q20" s="11"/>
      <c r="R20" s="11"/>
    </row>
    <row r="21" spans="1:19" ht="14.4" x14ac:dyDescent="0.3">
      <c r="C21" s="7" t="s">
        <v>45</v>
      </c>
      <c r="D21" s="8" t="s">
        <v>46</v>
      </c>
      <c r="E21" s="9">
        <v>55000</v>
      </c>
      <c r="F21" s="8" t="s">
        <v>32</v>
      </c>
      <c r="G21" s="11">
        <v>4</v>
      </c>
      <c r="H21" s="11">
        <v>4</v>
      </c>
      <c r="I21" s="11">
        <v>4</v>
      </c>
      <c r="J21" s="11"/>
      <c r="K21" s="11"/>
      <c r="L21" s="11"/>
      <c r="M21" s="11"/>
      <c r="N21" s="11"/>
      <c r="O21" s="11"/>
      <c r="P21" s="11"/>
      <c r="Q21" s="11"/>
      <c r="R21" s="11"/>
    </row>
    <row r="22" spans="1:19" ht="15.75" customHeight="1" x14ac:dyDescent="0.3"/>
    <row r="23" spans="1:19" ht="15.75" customHeight="1" x14ac:dyDescent="0.3"/>
    <row r="24" spans="1:19" ht="15.75" customHeight="1" x14ac:dyDescent="0.3">
      <c r="A24" s="47" t="s">
        <v>47</v>
      </c>
      <c r="B24" s="47"/>
      <c r="C24" s="47"/>
      <c r="D24" s="47"/>
      <c r="E24" s="47"/>
      <c r="F24" s="47"/>
      <c r="G24" s="57" t="s">
        <v>11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47"/>
    </row>
    <row r="25" spans="1:19" ht="15.75" customHeight="1" x14ac:dyDescent="0.3">
      <c r="D25" s="5" t="s">
        <v>12</v>
      </c>
      <c r="E25" s="5" t="s">
        <v>13</v>
      </c>
      <c r="F25" s="5" t="s">
        <v>14</v>
      </c>
      <c r="G25" s="6" t="str">
        <f t="shared" ref="G25:R25" si="0">G11</f>
        <v>Month 1</v>
      </c>
      <c r="H25" s="6" t="str">
        <f t="shared" si="0"/>
        <v>Month 2</v>
      </c>
      <c r="I25" s="6" t="str">
        <f t="shared" si="0"/>
        <v>Month 3</v>
      </c>
      <c r="J25" s="6" t="str">
        <f t="shared" si="0"/>
        <v>Month 4</v>
      </c>
      <c r="K25" s="6" t="str">
        <f t="shared" si="0"/>
        <v>Month 5</v>
      </c>
      <c r="L25" s="6" t="str">
        <f t="shared" si="0"/>
        <v>Month 6</v>
      </c>
      <c r="M25" s="6" t="str">
        <f t="shared" si="0"/>
        <v>Month 7</v>
      </c>
      <c r="N25" s="6" t="str">
        <f t="shared" si="0"/>
        <v>Month 8</v>
      </c>
      <c r="O25" s="6" t="str">
        <f t="shared" si="0"/>
        <v>Month 9</v>
      </c>
      <c r="P25" s="6" t="str">
        <f t="shared" si="0"/>
        <v>Month 10</v>
      </c>
      <c r="Q25" s="6" t="str">
        <f t="shared" si="0"/>
        <v>Month 11</v>
      </c>
      <c r="R25" s="6" t="str">
        <f t="shared" si="0"/>
        <v>Month 12</v>
      </c>
      <c r="S25" s="6" t="s">
        <v>48</v>
      </c>
    </row>
    <row r="26" spans="1:19" ht="15.75" customHeight="1" x14ac:dyDescent="0.3">
      <c r="C26" s="7" t="str">
        <f t="shared" ref="C26:F26" si="1">C12</f>
        <v>Customer 1</v>
      </c>
      <c r="D26" s="12" t="str">
        <f t="shared" si="1"/>
        <v>Jan '23</v>
      </c>
      <c r="E26" s="13">
        <f t="shared" si="1"/>
        <v>9000</v>
      </c>
      <c r="F26" s="14" t="str">
        <f t="shared" si="1"/>
        <v>No</v>
      </c>
      <c r="G26" s="15">
        <f>IF(ISBLANK(G12),"", (IF(G12&lt;$O$6, 0, 1)))</f>
        <v>0</v>
      </c>
      <c r="H26" s="15">
        <f t="shared" ref="H26:R26" si="2">IF(ISBLANK(H12),"", (IF(H12&lt;$O$6, 0, 1)))</f>
        <v>0</v>
      </c>
      <c r="I26" s="15">
        <f t="shared" si="2"/>
        <v>0</v>
      </c>
      <c r="J26" s="15">
        <f t="shared" si="2"/>
        <v>0</v>
      </c>
      <c r="K26" s="15">
        <f t="shared" si="2"/>
        <v>1</v>
      </c>
      <c r="L26" s="15">
        <f t="shared" si="2"/>
        <v>1</v>
      </c>
      <c r="M26" s="15">
        <f t="shared" si="2"/>
        <v>0</v>
      </c>
      <c r="N26" s="15">
        <f t="shared" si="2"/>
        <v>1</v>
      </c>
      <c r="O26" s="15">
        <f t="shared" si="2"/>
        <v>1</v>
      </c>
      <c r="P26" s="15">
        <f t="shared" si="2"/>
        <v>1</v>
      </c>
      <c r="Q26" s="15" t="str">
        <f t="shared" si="2"/>
        <v/>
      </c>
      <c r="R26" s="15" t="str">
        <f t="shared" si="2"/>
        <v/>
      </c>
      <c r="S26" s="15" cm="1">
        <f t="array" ref="S26">LOOKUP(2,1/(G26:R26&lt;&gt;""),G26:R26)</f>
        <v>1</v>
      </c>
    </row>
    <row r="27" spans="1:19" ht="15.75" customHeight="1" x14ac:dyDescent="0.3">
      <c r="C27" s="16" t="str">
        <f t="shared" ref="C27:F27" si="3">C13</f>
        <v>Customer 2</v>
      </c>
      <c r="D27" s="12" t="str">
        <f t="shared" si="3"/>
        <v>Jan '23</v>
      </c>
      <c r="E27" s="13">
        <f t="shared" si="3"/>
        <v>10000</v>
      </c>
      <c r="F27" s="14" t="str">
        <f t="shared" si="3"/>
        <v>Yes</v>
      </c>
      <c r="G27" s="15">
        <f t="shared" ref="G27:R27" si="4">IF(ISBLANK(G13),"", (IF(G13&lt;$O$6, 0, 1)))</f>
        <v>0</v>
      </c>
      <c r="H27" s="15">
        <f t="shared" si="4"/>
        <v>0</v>
      </c>
      <c r="I27" s="15">
        <f t="shared" si="4"/>
        <v>1</v>
      </c>
      <c r="J27" s="15">
        <f t="shared" si="4"/>
        <v>1</v>
      </c>
      <c r="K27" s="15">
        <f t="shared" si="4"/>
        <v>1</v>
      </c>
      <c r="L27" s="15">
        <f t="shared" si="4"/>
        <v>1</v>
      </c>
      <c r="M27" s="15">
        <f t="shared" si="4"/>
        <v>1</v>
      </c>
      <c r="N27" s="15">
        <f t="shared" si="4"/>
        <v>1</v>
      </c>
      <c r="O27" s="15">
        <f t="shared" si="4"/>
        <v>1</v>
      </c>
      <c r="P27" s="15" t="str">
        <f t="shared" si="4"/>
        <v/>
      </c>
      <c r="Q27" s="15" t="str">
        <f t="shared" si="4"/>
        <v/>
      </c>
      <c r="R27" s="15" t="str">
        <f t="shared" si="4"/>
        <v/>
      </c>
      <c r="S27" s="15">
        <f t="shared" ref="S27:S35" si="5">LOOKUP(2,1/(G27:R27&lt;&gt;""),G27:R27)</f>
        <v>1</v>
      </c>
    </row>
    <row r="28" spans="1:19" ht="15.75" customHeight="1" x14ac:dyDescent="0.3">
      <c r="C28" s="16" t="str">
        <f t="shared" ref="C28:F28" si="6">C14</f>
        <v>Customer 3</v>
      </c>
      <c r="D28" s="12" t="str">
        <f t="shared" si="6"/>
        <v>Feb '23</v>
      </c>
      <c r="E28" s="13">
        <f t="shared" si="6"/>
        <v>40000</v>
      </c>
      <c r="F28" s="14" t="str">
        <f t="shared" si="6"/>
        <v>Yes</v>
      </c>
      <c r="G28" s="15">
        <f t="shared" ref="G28:R28" si="7">IF(ISBLANK(G14),"", (IF(G14&lt;$O$6, 0, 1)))</f>
        <v>0</v>
      </c>
      <c r="H28" s="15">
        <f t="shared" si="7"/>
        <v>0</v>
      </c>
      <c r="I28" s="15">
        <f t="shared" si="7"/>
        <v>1</v>
      </c>
      <c r="J28" s="15">
        <f t="shared" si="7"/>
        <v>0</v>
      </c>
      <c r="K28" s="15">
        <f t="shared" si="7"/>
        <v>1</v>
      </c>
      <c r="L28" s="15">
        <f t="shared" si="7"/>
        <v>1</v>
      </c>
      <c r="M28" s="15">
        <f t="shared" si="7"/>
        <v>1</v>
      </c>
      <c r="N28" s="15">
        <f t="shared" si="7"/>
        <v>1</v>
      </c>
      <c r="O28" s="15" t="str">
        <f t="shared" si="7"/>
        <v/>
      </c>
      <c r="P28" s="15" t="str">
        <f t="shared" si="7"/>
        <v/>
      </c>
      <c r="Q28" s="15" t="str">
        <f t="shared" si="7"/>
        <v/>
      </c>
      <c r="R28" s="15" t="str">
        <f t="shared" si="7"/>
        <v/>
      </c>
      <c r="S28" s="15">
        <f t="shared" si="5"/>
        <v>1</v>
      </c>
    </row>
    <row r="29" spans="1:19" ht="15.75" customHeight="1" x14ac:dyDescent="0.3">
      <c r="C29" s="16" t="str">
        <f t="shared" ref="C29:F29" si="8">C15</f>
        <v>Customer 4</v>
      </c>
      <c r="D29" s="12" t="str">
        <f t="shared" si="8"/>
        <v>May '23</v>
      </c>
      <c r="E29" s="13">
        <f t="shared" si="8"/>
        <v>50000</v>
      </c>
      <c r="F29" s="14" t="str">
        <f t="shared" si="8"/>
        <v>Yes</v>
      </c>
      <c r="G29" s="15">
        <f t="shared" ref="G29:R29" si="9">IF(ISBLANK(G15),"", (IF(G15&lt;$O$6, 0, 1)))</f>
        <v>1</v>
      </c>
      <c r="H29" s="15">
        <f t="shared" si="9"/>
        <v>1</v>
      </c>
      <c r="I29" s="15">
        <f t="shared" si="9"/>
        <v>1</v>
      </c>
      <c r="J29" s="15">
        <f t="shared" si="9"/>
        <v>1</v>
      </c>
      <c r="K29" s="15">
        <f t="shared" si="9"/>
        <v>1</v>
      </c>
      <c r="L29" s="15">
        <f t="shared" si="9"/>
        <v>1</v>
      </c>
      <c r="M29" s="15" t="str">
        <f t="shared" si="9"/>
        <v/>
      </c>
      <c r="N29" s="15" t="str">
        <f t="shared" si="9"/>
        <v/>
      </c>
      <c r="O29" s="15" t="str">
        <f t="shared" si="9"/>
        <v/>
      </c>
      <c r="P29" s="15" t="str">
        <f t="shared" si="9"/>
        <v/>
      </c>
      <c r="Q29" s="15" t="str">
        <f t="shared" si="9"/>
        <v/>
      </c>
      <c r="R29" s="15" t="str">
        <f t="shared" si="9"/>
        <v/>
      </c>
      <c r="S29" s="15">
        <f t="shared" si="5"/>
        <v>1</v>
      </c>
    </row>
    <row r="30" spans="1:19" ht="15.75" customHeight="1" x14ac:dyDescent="0.3">
      <c r="C30" s="16" t="str">
        <f t="shared" ref="C30:F30" si="10">C16</f>
        <v>Customer 5</v>
      </c>
      <c r="D30" s="12" t="str">
        <f t="shared" si="10"/>
        <v>May '23</v>
      </c>
      <c r="E30" s="13">
        <f t="shared" si="10"/>
        <v>25000</v>
      </c>
      <c r="F30" s="14" t="str">
        <f t="shared" si="10"/>
        <v>Yes</v>
      </c>
      <c r="G30" s="15">
        <f t="shared" ref="G30:R30" si="11">IF(ISBLANK(G16),"", (IF(G16&lt;$O$6, 0, 1)))</f>
        <v>0</v>
      </c>
      <c r="H30" s="15">
        <f t="shared" si="11"/>
        <v>0</v>
      </c>
      <c r="I30" s="15">
        <f t="shared" si="11"/>
        <v>1</v>
      </c>
      <c r="J30" s="15">
        <f t="shared" si="11"/>
        <v>1</v>
      </c>
      <c r="K30" s="15">
        <f t="shared" si="11"/>
        <v>1</v>
      </c>
      <c r="L30" s="15">
        <f t="shared" si="11"/>
        <v>1</v>
      </c>
      <c r="M30" s="15" t="str">
        <f t="shared" si="11"/>
        <v/>
      </c>
      <c r="N30" s="15" t="str">
        <f t="shared" si="11"/>
        <v/>
      </c>
      <c r="O30" s="15" t="str">
        <f t="shared" si="11"/>
        <v/>
      </c>
      <c r="P30" s="15" t="str">
        <f t="shared" si="11"/>
        <v/>
      </c>
      <c r="Q30" s="15" t="str">
        <f t="shared" si="11"/>
        <v/>
      </c>
      <c r="R30" s="15" t="str">
        <f t="shared" si="11"/>
        <v/>
      </c>
      <c r="S30" s="15">
        <f t="shared" si="5"/>
        <v>1</v>
      </c>
    </row>
    <row r="31" spans="1:19" ht="15.75" customHeight="1" x14ac:dyDescent="0.3">
      <c r="C31" s="16" t="str">
        <f t="shared" ref="C31:F31" si="12">C17</f>
        <v>Customer 6</v>
      </c>
      <c r="D31" s="12" t="str">
        <f t="shared" si="12"/>
        <v>June '23</v>
      </c>
      <c r="E31" s="13">
        <f t="shared" si="12"/>
        <v>12000</v>
      </c>
      <c r="F31" s="14" t="str">
        <f t="shared" si="12"/>
        <v>No</v>
      </c>
      <c r="G31" s="15">
        <f t="shared" ref="G31:R31" si="13">IF(ISBLANK(G17),"", (IF(G17&lt;$O$6, 0, 1)))</f>
        <v>0</v>
      </c>
      <c r="H31" s="15">
        <f t="shared" si="13"/>
        <v>0</v>
      </c>
      <c r="I31" s="15">
        <f t="shared" si="13"/>
        <v>0</v>
      </c>
      <c r="J31" s="15">
        <f t="shared" si="13"/>
        <v>0</v>
      </c>
      <c r="K31" s="15">
        <f t="shared" si="13"/>
        <v>0</v>
      </c>
      <c r="L31" s="15" t="str">
        <f t="shared" si="13"/>
        <v/>
      </c>
      <c r="M31" s="15" t="str">
        <f t="shared" si="13"/>
        <v/>
      </c>
      <c r="N31" s="15" t="str">
        <f t="shared" si="13"/>
        <v/>
      </c>
      <c r="O31" s="15" t="str">
        <f t="shared" si="13"/>
        <v/>
      </c>
      <c r="P31" s="15" t="str">
        <f t="shared" si="13"/>
        <v/>
      </c>
      <c r="Q31" s="15" t="str">
        <f t="shared" si="13"/>
        <v/>
      </c>
      <c r="R31" s="15" t="str">
        <f t="shared" si="13"/>
        <v/>
      </c>
      <c r="S31" s="15">
        <f t="shared" si="5"/>
        <v>0</v>
      </c>
    </row>
    <row r="32" spans="1:19" ht="15.75" customHeight="1" x14ac:dyDescent="0.3">
      <c r="C32" s="16" t="str">
        <f t="shared" ref="C32:F32" si="14">C18</f>
        <v>Customer 7</v>
      </c>
      <c r="D32" s="12" t="str">
        <f t="shared" si="14"/>
        <v>July '23</v>
      </c>
      <c r="E32" s="13">
        <f t="shared" si="14"/>
        <v>76000</v>
      </c>
      <c r="F32" s="14" t="str">
        <f t="shared" si="14"/>
        <v>Yes</v>
      </c>
      <c r="G32" s="15">
        <f t="shared" ref="G32:R32" si="15">IF(ISBLANK(G18),"", (IF(G18&lt;$O$6, 0, 1)))</f>
        <v>0</v>
      </c>
      <c r="H32" s="15">
        <f t="shared" si="15"/>
        <v>0</v>
      </c>
      <c r="I32" s="15">
        <f t="shared" si="15"/>
        <v>1</v>
      </c>
      <c r="J32" s="15">
        <f t="shared" si="15"/>
        <v>1</v>
      </c>
      <c r="K32" s="15" t="str">
        <f t="shared" si="15"/>
        <v/>
      </c>
      <c r="L32" s="15" t="str">
        <f t="shared" si="15"/>
        <v/>
      </c>
      <c r="M32" s="15" t="str">
        <f t="shared" si="15"/>
        <v/>
      </c>
      <c r="N32" s="15" t="str">
        <f t="shared" si="15"/>
        <v/>
      </c>
      <c r="O32" s="15" t="str">
        <f t="shared" si="15"/>
        <v/>
      </c>
      <c r="P32" s="15" t="str">
        <f t="shared" si="15"/>
        <v/>
      </c>
      <c r="Q32" s="15" t="str">
        <f t="shared" si="15"/>
        <v/>
      </c>
      <c r="R32" s="15" t="str">
        <f t="shared" si="15"/>
        <v/>
      </c>
      <c r="S32" s="15">
        <f t="shared" si="5"/>
        <v>1</v>
      </c>
    </row>
    <row r="33" spans="3:19" ht="15.75" customHeight="1" x14ac:dyDescent="0.3">
      <c r="C33" s="16" t="str">
        <f t="shared" ref="C33:F33" si="16">C19</f>
        <v>Customer 8</v>
      </c>
      <c r="D33" s="12" t="str">
        <f t="shared" si="16"/>
        <v>July '23</v>
      </c>
      <c r="E33" s="13">
        <f t="shared" si="16"/>
        <v>90000</v>
      </c>
      <c r="F33" s="14" t="str">
        <f t="shared" si="16"/>
        <v>Yes</v>
      </c>
      <c r="G33" s="15">
        <f t="shared" ref="G33:R33" si="17">IF(ISBLANK(G19),"", (IF(G19&lt;$O$6, 0, 1)))</f>
        <v>1</v>
      </c>
      <c r="H33" s="15">
        <f t="shared" si="17"/>
        <v>1</v>
      </c>
      <c r="I33" s="15">
        <f t="shared" si="17"/>
        <v>1</v>
      </c>
      <c r="J33" s="15">
        <f t="shared" si="17"/>
        <v>1</v>
      </c>
      <c r="K33" s="15" t="str">
        <f t="shared" si="17"/>
        <v/>
      </c>
      <c r="L33" s="15" t="str">
        <f t="shared" si="17"/>
        <v/>
      </c>
      <c r="M33" s="15" t="str">
        <f t="shared" si="17"/>
        <v/>
      </c>
      <c r="N33" s="15" t="str">
        <f t="shared" si="17"/>
        <v/>
      </c>
      <c r="O33" s="15" t="str">
        <f t="shared" si="17"/>
        <v/>
      </c>
      <c r="P33" s="15" t="str">
        <f t="shared" si="17"/>
        <v/>
      </c>
      <c r="Q33" s="15" t="str">
        <f t="shared" si="17"/>
        <v/>
      </c>
      <c r="R33" s="15" t="str">
        <f t="shared" si="17"/>
        <v/>
      </c>
      <c r="S33" s="15">
        <f t="shared" si="5"/>
        <v>1</v>
      </c>
    </row>
    <row r="34" spans="3:19" ht="15.75" customHeight="1" x14ac:dyDescent="0.3">
      <c r="C34" s="16" t="str">
        <f t="shared" ref="C34:F34" si="18">C20</f>
        <v>Customer 9</v>
      </c>
      <c r="D34" s="12" t="str">
        <f t="shared" si="18"/>
        <v>Aug '23</v>
      </c>
      <c r="E34" s="13">
        <f t="shared" si="18"/>
        <v>45000</v>
      </c>
      <c r="F34" s="14" t="str">
        <f t="shared" si="18"/>
        <v>Yes</v>
      </c>
      <c r="G34" s="15">
        <f t="shared" ref="G34:R34" si="19">IF(ISBLANK(G20),"", (IF(G20&lt;$O$6, 0, 1)))</f>
        <v>0</v>
      </c>
      <c r="H34" s="15">
        <f t="shared" si="19"/>
        <v>1</v>
      </c>
      <c r="I34" s="15">
        <f t="shared" si="19"/>
        <v>1</v>
      </c>
      <c r="J34" s="15" t="str">
        <f t="shared" si="19"/>
        <v/>
      </c>
      <c r="K34" s="15" t="str">
        <f t="shared" si="19"/>
        <v/>
      </c>
      <c r="L34" s="15" t="str">
        <f t="shared" si="19"/>
        <v/>
      </c>
      <c r="M34" s="15" t="str">
        <f t="shared" si="19"/>
        <v/>
      </c>
      <c r="N34" s="15" t="str">
        <f t="shared" si="19"/>
        <v/>
      </c>
      <c r="O34" s="15" t="str">
        <f t="shared" si="19"/>
        <v/>
      </c>
      <c r="P34" s="15" t="str">
        <f t="shared" si="19"/>
        <v/>
      </c>
      <c r="Q34" s="15" t="str">
        <f t="shared" si="19"/>
        <v/>
      </c>
      <c r="R34" s="15" t="str">
        <f t="shared" si="19"/>
        <v/>
      </c>
      <c r="S34" s="15">
        <f t="shared" si="5"/>
        <v>1</v>
      </c>
    </row>
    <row r="35" spans="3:19" ht="15.75" customHeight="1" x14ac:dyDescent="0.3">
      <c r="C35" s="16" t="str">
        <f t="shared" ref="C35:F35" si="20">C21</f>
        <v>Customer 10</v>
      </c>
      <c r="D35" s="12" t="str">
        <f t="shared" si="20"/>
        <v>Aug '24</v>
      </c>
      <c r="E35" s="13">
        <f t="shared" si="20"/>
        <v>55000</v>
      </c>
      <c r="F35" s="14" t="str">
        <f t="shared" si="20"/>
        <v>Yes</v>
      </c>
      <c r="G35" s="15">
        <f t="shared" ref="G35:R35" si="21">IF(ISBLANK(G21),"", (IF(G21&lt;$O$6, 0, 1)))</f>
        <v>0</v>
      </c>
      <c r="H35" s="15">
        <f t="shared" si="21"/>
        <v>0</v>
      </c>
      <c r="I35" s="15">
        <f t="shared" si="21"/>
        <v>0</v>
      </c>
      <c r="J35" s="15" t="str">
        <f t="shared" si="21"/>
        <v/>
      </c>
      <c r="K35" s="15" t="str">
        <f t="shared" si="21"/>
        <v/>
      </c>
      <c r="L35" s="15" t="str">
        <f t="shared" si="21"/>
        <v/>
      </c>
      <c r="M35" s="15" t="str">
        <f t="shared" si="21"/>
        <v/>
      </c>
      <c r="N35" s="15" t="str">
        <f t="shared" si="21"/>
        <v/>
      </c>
      <c r="O35" s="15" t="str">
        <f t="shared" si="21"/>
        <v/>
      </c>
      <c r="P35" s="15" t="str">
        <f t="shared" si="21"/>
        <v/>
      </c>
      <c r="Q35" s="15" t="str">
        <f t="shared" si="21"/>
        <v/>
      </c>
      <c r="R35" s="15" t="str">
        <f t="shared" si="21"/>
        <v/>
      </c>
      <c r="S35" s="15">
        <f t="shared" si="5"/>
        <v>0</v>
      </c>
    </row>
    <row r="36" spans="3:19" ht="15.75" customHeight="1" x14ac:dyDescent="0.3"/>
    <row r="37" spans="3:19" ht="15.75" customHeight="1" x14ac:dyDescent="0.3">
      <c r="Q37" s="4"/>
      <c r="R37" s="34" t="s">
        <v>49</v>
      </c>
      <c r="S37" s="35">
        <f>SUM(S26:S35)/COUNT(S26:S35)</f>
        <v>0.8</v>
      </c>
    </row>
    <row r="38" spans="3:19" ht="15.75" customHeight="1" x14ac:dyDescent="0.3">
      <c r="R38" s="34" t="s">
        <v>50</v>
      </c>
      <c r="S38" s="36">
        <v>0.7</v>
      </c>
    </row>
    <row r="39" spans="3:19" ht="15.75" customHeight="1" x14ac:dyDescent="0.3"/>
    <row r="40" spans="3:19" ht="15.75" customHeight="1" x14ac:dyDescent="0.3"/>
    <row r="41" spans="3:19" ht="15.75" customHeight="1" x14ac:dyDescent="0.3"/>
    <row r="42" spans="3:19" ht="15.75" customHeight="1" x14ac:dyDescent="0.3"/>
    <row r="43" spans="3:19" ht="15.75" customHeight="1" x14ac:dyDescent="0.3"/>
    <row r="44" spans="3:19" ht="15.75" customHeight="1" x14ac:dyDescent="0.3"/>
    <row r="45" spans="3:19" ht="15.75" customHeight="1" x14ac:dyDescent="0.3"/>
    <row r="46" spans="3:19" ht="15.75" customHeight="1" x14ac:dyDescent="0.3"/>
    <row r="47" spans="3:19" ht="15.75" customHeight="1" x14ac:dyDescent="0.3"/>
    <row r="48" spans="3:1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</sheetData>
  <mergeCells count="3">
    <mergeCell ref="G10:R10"/>
    <mergeCell ref="G24:R24"/>
    <mergeCell ref="O5:Q5"/>
  </mergeCells>
  <phoneticPr fontId="13" type="noConversion"/>
  <conditionalFormatting sqref="G26:S35">
    <cfRule type="containsText" dxfId="7" priority="1" operator="containsText" text="0">
      <formula>NOT(ISERROR(SEARCH("0",G26)))</formula>
    </cfRule>
    <cfRule type="containsText" dxfId="6" priority="2" operator="containsText" text="1">
      <formula>NOT(ISERROR(SEARCH("1",G26)))</formula>
    </cfRule>
  </conditionalFormatting>
  <pageMargins left="0.7" right="0.7" top="0.75" bottom="0.75" header="0" footer="0"/>
  <pageSetup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E839-ED0F-6045-8298-3005FCBA86EC}">
  <dimension ref="A1:AM998"/>
  <sheetViews>
    <sheetView showGridLines="0" workbookViewId="0"/>
  </sheetViews>
  <sheetFormatPr defaultColWidth="14.44140625" defaultRowHeight="15" customHeight="1" x14ac:dyDescent="0.3"/>
  <cols>
    <col min="1" max="1" width="1.6640625" customWidth="1"/>
    <col min="2" max="2" width="2.33203125" customWidth="1"/>
    <col min="3" max="3" width="9.44140625" customWidth="1"/>
    <col min="4" max="5" width="12.33203125" customWidth="1"/>
    <col min="6" max="6" width="5.109375" customWidth="1"/>
    <col min="7" max="7" width="12.33203125" customWidth="1"/>
    <col min="8" max="19" width="10.6640625" customWidth="1"/>
    <col min="20" max="20" width="9.6640625" customWidth="1"/>
    <col min="21" max="39" width="8.6640625" customWidth="1"/>
  </cols>
  <sheetData>
    <row r="1" spans="1:39" ht="14.4" x14ac:dyDescent="0.3">
      <c r="A1" s="55" t="s">
        <v>86</v>
      </c>
      <c r="B1" s="5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39" ht="14.4" x14ac:dyDescent="0.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14.4" x14ac:dyDescent="0.3">
      <c r="A3" s="3" t="s">
        <v>51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5" spans="1:39" ht="14.4" x14ac:dyDescent="0.3">
      <c r="A5" s="1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P5" s="59" t="s">
        <v>3</v>
      </c>
      <c r="Q5" s="60"/>
      <c r="R5" s="61"/>
    </row>
    <row r="6" spans="1:39" ht="14.4" x14ac:dyDescent="0.3">
      <c r="B6" s="3" t="s">
        <v>4</v>
      </c>
      <c r="C6" s="3" t="s">
        <v>5</v>
      </c>
      <c r="P6" s="50">
        <v>0.25</v>
      </c>
      <c r="Q6" s="37" t="s">
        <v>6</v>
      </c>
      <c r="R6" s="40"/>
    </row>
    <row r="7" spans="1:39" ht="14.4" x14ac:dyDescent="0.3">
      <c r="B7" s="3" t="s">
        <v>4</v>
      </c>
      <c r="C7" s="3" t="s">
        <v>7</v>
      </c>
      <c r="P7" s="44"/>
      <c r="Q7" s="38" t="s">
        <v>8</v>
      </c>
      <c r="R7" s="41"/>
    </row>
    <row r="8" spans="1:39" ht="15" customHeight="1" x14ac:dyDescent="0.3">
      <c r="P8" s="45"/>
      <c r="Q8" s="39" t="s">
        <v>9</v>
      </c>
      <c r="R8" s="42"/>
    </row>
    <row r="9" spans="1:39" ht="14.4" x14ac:dyDescent="0.3"/>
    <row r="10" spans="1:39" ht="14.4" x14ac:dyDescent="0.3">
      <c r="A10" s="47" t="s">
        <v>10</v>
      </c>
      <c r="B10" s="47"/>
      <c r="C10" s="47"/>
      <c r="D10" s="47"/>
      <c r="E10" s="47"/>
      <c r="F10" s="47"/>
      <c r="G10" s="47"/>
      <c r="H10" s="57" t="s">
        <v>11</v>
      </c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</row>
    <row r="11" spans="1:39" ht="28.8" x14ac:dyDescent="0.3">
      <c r="D11" s="5" t="s">
        <v>12</v>
      </c>
      <c r="E11" s="5" t="s">
        <v>13</v>
      </c>
      <c r="F11" s="5" t="s">
        <v>14</v>
      </c>
      <c r="G11" s="48" t="s">
        <v>52</v>
      </c>
      <c r="H11" s="6" t="s">
        <v>15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</row>
    <row r="12" spans="1:39" ht="14.4" x14ac:dyDescent="0.3">
      <c r="C12" s="7" t="s">
        <v>27</v>
      </c>
      <c r="D12" s="8" t="s">
        <v>28</v>
      </c>
      <c r="E12" s="9">
        <v>9000</v>
      </c>
      <c r="F12" s="8" t="s">
        <v>29</v>
      </c>
      <c r="G12" s="31">
        <v>10</v>
      </c>
      <c r="H12" s="10">
        <v>0</v>
      </c>
      <c r="I12" s="10">
        <v>0</v>
      </c>
      <c r="J12" s="10">
        <v>2</v>
      </c>
      <c r="K12" s="10">
        <v>4</v>
      </c>
      <c r="L12" s="10">
        <v>5</v>
      </c>
      <c r="M12" s="10">
        <v>5</v>
      </c>
      <c r="N12" s="10">
        <v>4</v>
      </c>
      <c r="O12" s="10">
        <v>6</v>
      </c>
      <c r="P12" s="10">
        <v>6</v>
      </c>
      <c r="Q12" s="10">
        <v>7</v>
      </c>
      <c r="R12" s="10"/>
      <c r="S12" s="10"/>
      <c r="T12" s="3" t="s">
        <v>30</v>
      </c>
    </row>
    <row r="13" spans="1:39" ht="14.4" x14ac:dyDescent="0.3">
      <c r="C13" s="7" t="s">
        <v>31</v>
      </c>
      <c r="D13" s="8" t="s">
        <v>28</v>
      </c>
      <c r="E13" s="9">
        <v>10000</v>
      </c>
      <c r="F13" s="8" t="s">
        <v>32</v>
      </c>
      <c r="G13" s="31">
        <v>20</v>
      </c>
      <c r="H13" s="11">
        <v>2</v>
      </c>
      <c r="I13" s="11">
        <v>4</v>
      </c>
      <c r="J13" s="11">
        <v>5</v>
      </c>
      <c r="K13" s="11">
        <v>6</v>
      </c>
      <c r="L13" s="11">
        <v>7</v>
      </c>
      <c r="M13" s="11">
        <v>10</v>
      </c>
      <c r="N13" s="11">
        <v>15</v>
      </c>
      <c r="O13" s="11">
        <v>15</v>
      </c>
      <c r="P13" s="11">
        <v>20</v>
      </c>
      <c r="Q13" s="11"/>
      <c r="R13" s="11"/>
      <c r="S13" s="11"/>
    </row>
    <row r="14" spans="1:39" ht="14.4" x14ac:dyDescent="0.3">
      <c r="C14" s="7" t="s">
        <v>33</v>
      </c>
      <c r="D14" s="8" t="s">
        <v>34</v>
      </c>
      <c r="E14" s="9">
        <v>40000</v>
      </c>
      <c r="F14" s="8" t="s">
        <v>32</v>
      </c>
      <c r="G14" s="31">
        <v>20</v>
      </c>
      <c r="H14" s="11">
        <v>0</v>
      </c>
      <c r="I14" s="11">
        <v>3</v>
      </c>
      <c r="J14" s="11">
        <v>6</v>
      </c>
      <c r="K14" s="11">
        <v>3</v>
      </c>
      <c r="L14" s="11">
        <v>12</v>
      </c>
      <c r="M14" s="11">
        <v>14</v>
      </c>
      <c r="N14" s="11">
        <v>14</v>
      </c>
      <c r="O14" s="11">
        <v>15</v>
      </c>
      <c r="P14" s="11"/>
      <c r="Q14" s="11"/>
      <c r="R14" s="11"/>
      <c r="S14" s="11"/>
    </row>
    <row r="15" spans="1:39" ht="14.4" x14ac:dyDescent="0.3">
      <c r="C15" s="7" t="s">
        <v>35</v>
      </c>
      <c r="D15" s="8" t="s">
        <v>36</v>
      </c>
      <c r="E15" s="9">
        <v>50000</v>
      </c>
      <c r="F15" s="8" t="s">
        <v>32</v>
      </c>
      <c r="G15" s="31">
        <v>100</v>
      </c>
      <c r="H15" s="11">
        <v>6</v>
      </c>
      <c r="I15" s="11">
        <v>15</v>
      </c>
      <c r="J15" s="11">
        <v>19</v>
      </c>
      <c r="K15" s="11">
        <v>41</v>
      </c>
      <c r="L15" s="11">
        <v>43</v>
      </c>
      <c r="M15" s="11">
        <v>56</v>
      </c>
      <c r="N15" s="11"/>
      <c r="O15" s="11"/>
      <c r="P15" s="11"/>
      <c r="Q15" s="11"/>
      <c r="R15" s="11"/>
      <c r="S15" s="11"/>
    </row>
    <row r="16" spans="1:39" ht="14.4" x14ac:dyDescent="0.3">
      <c r="C16" s="7" t="s">
        <v>37</v>
      </c>
      <c r="D16" s="8" t="s">
        <v>36</v>
      </c>
      <c r="E16" s="9">
        <v>25000</v>
      </c>
      <c r="F16" s="8" t="s">
        <v>32</v>
      </c>
      <c r="G16" s="31">
        <v>40</v>
      </c>
      <c r="H16" s="11">
        <v>3</v>
      </c>
      <c r="I16" s="11">
        <v>3</v>
      </c>
      <c r="J16" s="11">
        <v>5</v>
      </c>
      <c r="K16" s="11">
        <v>16</v>
      </c>
      <c r="L16" s="11">
        <v>18</v>
      </c>
      <c r="M16" s="11">
        <v>20</v>
      </c>
      <c r="N16" s="11"/>
      <c r="O16" s="11"/>
      <c r="P16" s="11"/>
      <c r="Q16" s="11"/>
      <c r="R16" s="11"/>
      <c r="S16" s="11"/>
    </row>
    <row r="17" spans="1:20" ht="14.4" x14ac:dyDescent="0.3">
      <c r="C17" s="7" t="s">
        <v>38</v>
      </c>
      <c r="D17" s="8" t="s">
        <v>39</v>
      </c>
      <c r="E17" s="9">
        <v>12000</v>
      </c>
      <c r="F17" s="8" t="s">
        <v>29</v>
      </c>
      <c r="G17" s="31">
        <v>50</v>
      </c>
      <c r="H17" s="11">
        <v>0</v>
      </c>
      <c r="I17" s="11">
        <v>0</v>
      </c>
      <c r="J17" s="11">
        <v>0</v>
      </c>
      <c r="K17" s="11">
        <v>1</v>
      </c>
      <c r="L17" s="11">
        <v>2</v>
      </c>
      <c r="M17" s="11"/>
      <c r="N17" s="11"/>
      <c r="O17" s="11"/>
      <c r="P17" s="11"/>
      <c r="Q17" s="11"/>
      <c r="R17" s="11"/>
      <c r="S17" s="11"/>
    </row>
    <row r="18" spans="1:20" ht="14.4" x14ac:dyDescent="0.3">
      <c r="C18" s="7" t="s">
        <v>40</v>
      </c>
      <c r="D18" s="8" t="s">
        <v>41</v>
      </c>
      <c r="E18" s="9">
        <v>76000</v>
      </c>
      <c r="F18" s="8" t="s">
        <v>32</v>
      </c>
      <c r="G18" s="31">
        <v>50</v>
      </c>
      <c r="H18" s="11">
        <v>0</v>
      </c>
      <c r="I18" s="11">
        <v>4</v>
      </c>
      <c r="J18" s="11">
        <v>6</v>
      </c>
      <c r="K18" s="11">
        <v>10</v>
      </c>
      <c r="L18" s="11"/>
      <c r="M18" s="11"/>
      <c r="N18" s="11"/>
      <c r="O18" s="11"/>
      <c r="P18" s="11"/>
      <c r="Q18" s="11"/>
      <c r="R18" s="11"/>
      <c r="S18" s="11"/>
    </row>
    <row r="19" spans="1:20" ht="14.4" x14ac:dyDescent="0.3">
      <c r="C19" s="7" t="s">
        <v>42</v>
      </c>
      <c r="D19" s="8" t="s">
        <v>41</v>
      </c>
      <c r="E19" s="9">
        <v>90000</v>
      </c>
      <c r="F19" s="8" t="s">
        <v>32</v>
      </c>
      <c r="G19" s="31">
        <v>40</v>
      </c>
      <c r="H19" s="11">
        <v>5</v>
      </c>
      <c r="I19" s="11">
        <v>6</v>
      </c>
      <c r="J19" s="11">
        <v>7</v>
      </c>
      <c r="K19" s="11">
        <v>14</v>
      </c>
      <c r="L19" s="11"/>
      <c r="M19" s="11"/>
      <c r="N19" s="11"/>
      <c r="O19" s="11"/>
      <c r="P19" s="11"/>
      <c r="Q19" s="11"/>
      <c r="R19" s="11"/>
      <c r="S19" s="11"/>
    </row>
    <row r="20" spans="1:20" ht="14.4" x14ac:dyDescent="0.3">
      <c r="C20" s="7" t="s">
        <v>43</v>
      </c>
      <c r="D20" s="8" t="s">
        <v>44</v>
      </c>
      <c r="E20" s="9">
        <v>45000</v>
      </c>
      <c r="F20" s="8" t="s">
        <v>32</v>
      </c>
      <c r="G20" s="31">
        <v>60</v>
      </c>
      <c r="H20" s="11">
        <v>0</v>
      </c>
      <c r="I20" s="11">
        <v>5</v>
      </c>
      <c r="J20" s="11">
        <v>12</v>
      </c>
      <c r="K20" s="11"/>
      <c r="L20" s="11"/>
      <c r="M20" s="11"/>
      <c r="N20" s="11"/>
      <c r="O20" s="11"/>
      <c r="P20" s="11"/>
      <c r="Q20" s="11"/>
      <c r="R20" s="11"/>
      <c r="S20" s="11"/>
    </row>
    <row r="21" spans="1:20" ht="14.4" x14ac:dyDescent="0.3">
      <c r="C21" s="7" t="s">
        <v>45</v>
      </c>
      <c r="D21" s="8" t="s">
        <v>46</v>
      </c>
      <c r="E21" s="9">
        <v>55000</v>
      </c>
      <c r="F21" s="8" t="s">
        <v>32</v>
      </c>
      <c r="G21" s="31">
        <v>75</v>
      </c>
      <c r="H21" s="11">
        <v>4</v>
      </c>
      <c r="I21" s="11">
        <v>4</v>
      </c>
      <c r="J21" s="11">
        <v>4</v>
      </c>
      <c r="K21" s="11"/>
      <c r="L21" s="11"/>
      <c r="M21" s="11"/>
      <c r="N21" s="11"/>
      <c r="O21" s="11"/>
      <c r="P21" s="11"/>
      <c r="Q21" s="11"/>
      <c r="R21" s="11"/>
      <c r="S21" s="11"/>
    </row>
    <row r="22" spans="1:20" ht="15.75" customHeight="1" x14ac:dyDescent="0.3"/>
    <row r="23" spans="1:20" ht="15.75" customHeight="1" x14ac:dyDescent="0.3"/>
    <row r="24" spans="1:20" ht="15.75" customHeight="1" x14ac:dyDescent="0.3">
      <c r="A24" s="47" t="s">
        <v>47</v>
      </c>
      <c r="B24" s="47"/>
      <c r="C24" s="47"/>
      <c r="D24" s="47"/>
      <c r="E24" s="47"/>
      <c r="F24" s="47"/>
      <c r="G24" s="47"/>
      <c r="H24" s="57" t="s">
        <v>11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47"/>
    </row>
    <row r="25" spans="1:20" ht="28.8" x14ac:dyDescent="0.3">
      <c r="D25" s="5" t="s">
        <v>12</v>
      </c>
      <c r="E25" s="5" t="s">
        <v>13</v>
      </c>
      <c r="F25" s="5" t="s">
        <v>14</v>
      </c>
      <c r="G25" s="48" t="s">
        <v>52</v>
      </c>
      <c r="H25" s="6" t="str">
        <f t="shared" ref="H25:S25" si="0">H11</f>
        <v>Month 1</v>
      </c>
      <c r="I25" s="6" t="str">
        <f t="shared" si="0"/>
        <v>Month 2</v>
      </c>
      <c r="J25" s="6" t="str">
        <f t="shared" si="0"/>
        <v>Month 3</v>
      </c>
      <c r="K25" s="6" t="str">
        <f t="shared" si="0"/>
        <v>Month 4</v>
      </c>
      <c r="L25" s="6" t="str">
        <f t="shared" si="0"/>
        <v>Month 5</v>
      </c>
      <c r="M25" s="6" t="str">
        <f t="shared" si="0"/>
        <v>Month 6</v>
      </c>
      <c r="N25" s="6" t="str">
        <f t="shared" si="0"/>
        <v>Month 7</v>
      </c>
      <c r="O25" s="6" t="str">
        <f t="shared" si="0"/>
        <v>Month 8</v>
      </c>
      <c r="P25" s="6" t="str">
        <f t="shared" si="0"/>
        <v>Month 9</v>
      </c>
      <c r="Q25" s="6" t="str">
        <f t="shared" si="0"/>
        <v>Month 10</v>
      </c>
      <c r="R25" s="6" t="str">
        <f t="shared" si="0"/>
        <v>Month 11</v>
      </c>
      <c r="S25" s="6" t="str">
        <f t="shared" si="0"/>
        <v>Month 12</v>
      </c>
      <c r="T25" s="6" t="s">
        <v>48</v>
      </c>
    </row>
    <row r="26" spans="1:20" ht="15.75" customHeight="1" x14ac:dyDescent="0.3">
      <c r="C26" s="7" t="str">
        <f t="shared" ref="C26:F35" si="1">C12</f>
        <v>Customer 1</v>
      </c>
      <c r="D26" s="12" t="str">
        <f t="shared" si="1"/>
        <v>Jan '23</v>
      </c>
      <c r="E26" s="13">
        <f t="shared" si="1"/>
        <v>9000</v>
      </c>
      <c r="F26" s="13" t="str">
        <f t="shared" si="1"/>
        <v>No</v>
      </c>
      <c r="G26" s="49">
        <f t="shared" ref="G26" si="2">G12</f>
        <v>10</v>
      </c>
      <c r="H26" s="15">
        <f>IF(ISBLANK(H12),"", (IF((H12/$G26)&lt;$P$6, 0, 1)))</f>
        <v>0</v>
      </c>
      <c r="I26" s="15">
        <f t="shared" ref="I26:S26" si="3">IF(ISBLANK(I12),"", (IF((I12/$G26)&lt;$P$6, 0, 1)))</f>
        <v>0</v>
      </c>
      <c r="J26" s="15">
        <f t="shared" si="3"/>
        <v>0</v>
      </c>
      <c r="K26" s="15">
        <f t="shared" si="3"/>
        <v>1</v>
      </c>
      <c r="L26" s="15">
        <f t="shared" si="3"/>
        <v>1</v>
      </c>
      <c r="M26" s="15">
        <f t="shared" si="3"/>
        <v>1</v>
      </c>
      <c r="N26" s="15">
        <f t="shared" si="3"/>
        <v>1</v>
      </c>
      <c r="O26" s="15">
        <f t="shared" si="3"/>
        <v>1</v>
      </c>
      <c r="P26" s="15">
        <f t="shared" si="3"/>
        <v>1</v>
      </c>
      <c r="Q26" s="15">
        <f t="shared" si="3"/>
        <v>1</v>
      </c>
      <c r="R26" s="15" t="str">
        <f t="shared" si="3"/>
        <v/>
      </c>
      <c r="S26" s="15" t="str">
        <f t="shared" si="3"/>
        <v/>
      </c>
      <c r="T26" s="15">
        <f t="shared" ref="T26:T35" si="4">LOOKUP(2,1/(H26:S26&lt;&gt;""),H26:S26)</f>
        <v>1</v>
      </c>
    </row>
    <row r="27" spans="1:20" ht="15.75" customHeight="1" x14ac:dyDescent="0.3">
      <c r="C27" s="16" t="str">
        <f t="shared" si="1"/>
        <v>Customer 2</v>
      </c>
      <c r="D27" s="12" t="str">
        <f t="shared" si="1"/>
        <v>Jan '23</v>
      </c>
      <c r="E27" s="13">
        <f t="shared" si="1"/>
        <v>10000</v>
      </c>
      <c r="F27" s="13" t="str">
        <f t="shared" si="1"/>
        <v>Yes</v>
      </c>
      <c r="G27" s="49">
        <f t="shared" ref="G27" si="5">G13</f>
        <v>20</v>
      </c>
      <c r="H27" s="15">
        <f t="shared" ref="H27:S27" si="6">IF(ISBLANK(H13),"", (IF((H13/$G27)&lt;$P$6, 0, 1)))</f>
        <v>0</v>
      </c>
      <c r="I27" s="15">
        <f t="shared" si="6"/>
        <v>0</v>
      </c>
      <c r="J27" s="15">
        <f t="shared" si="6"/>
        <v>1</v>
      </c>
      <c r="K27" s="15">
        <f t="shared" si="6"/>
        <v>1</v>
      </c>
      <c r="L27" s="15">
        <f>IF(ISBLANK(L13),"", (IF((L13/$G27)&lt;$P$6, 0, 1)))</f>
        <v>1</v>
      </c>
      <c r="M27" s="15">
        <f t="shared" si="6"/>
        <v>1</v>
      </c>
      <c r="N27" s="15">
        <f t="shared" si="6"/>
        <v>1</v>
      </c>
      <c r="O27" s="15">
        <f t="shared" si="6"/>
        <v>1</v>
      </c>
      <c r="P27" s="15">
        <f t="shared" si="6"/>
        <v>1</v>
      </c>
      <c r="Q27" s="15" t="str">
        <f t="shared" si="6"/>
        <v/>
      </c>
      <c r="R27" s="15" t="str">
        <f t="shared" si="6"/>
        <v/>
      </c>
      <c r="S27" s="15" t="str">
        <f t="shared" si="6"/>
        <v/>
      </c>
      <c r="T27" s="15">
        <f t="shared" si="4"/>
        <v>1</v>
      </c>
    </row>
    <row r="28" spans="1:20" ht="15.75" customHeight="1" x14ac:dyDescent="0.3">
      <c r="C28" s="16" t="str">
        <f t="shared" si="1"/>
        <v>Customer 3</v>
      </c>
      <c r="D28" s="12" t="str">
        <f t="shared" si="1"/>
        <v>Feb '23</v>
      </c>
      <c r="E28" s="13">
        <f t="shared" si="1"/>
        <v>40000</v>
      </c>
      <c r="F28" s="13" t="str">
        <f t="shared" si="1"/>
        <v>Yes</v>
      </c>
      <c r="G28" s="49">
        <f t="shared" ref="G28" si="7">G14</f>
        <v>20</v>
      </c>
      <c r="H28" s="15">
        <f t="shared" ref="H28:S28" si="8">IF(ISBLANK(H14),"", (IF((H14/$G28)&lt;$P$6, 0, 1)))</f>
        <v>0</v>
      </c>
      <c r="I28" s="15">
        <f t="shared" si="8"/>
        <v>0</v>
      </c>
      <c r="J28" s="15">
        <f t="shared" si="8"/>
        <v>1</v>
      </c>
      <c r="K28" s="15">
        <f t="shared" si="8"/>
        <v>0</v>
      </c>
      <c r="L28" s="15">
        <f t="shared" si="8"/>
        <v>1</v>
      </c>
      <c r="M28" s="15">
        <f t="shared" si="8"/>
        <v>1</v>
      </c>
      <c r="N28" s="15">
        <f t="shared" si="8"/>
        <v>1</v>
      </c>
      <c r="O28" s="15">
        <f t="shared" si="8"/>
        <v>1</v>
      </c>
      <c r="P28" s="15" t="str">
        <f t="shared" si="8"/>
        <v/>
      </c>
      <c r="Q28" s="15" t="str">
        <f t="shared" si="8"/>
        <v/>
      </c>
      <c r="R28" s="15" t="str">
        <f t="shared" si="8"/>
        <v/>
      </c>
      <c r="S28" s="15" t="str">
        <f t="shared" si="8"/>
        <v/>
      </c>
      <c r="T28" s="15">
        <f t="shared" si="4"/>
        <v>1</v>
      </c>
    </row>
    <row r="29" spans="1:20" ht="15.75" customHeight="1" x14ac:dyDescent="0.3">
      <c r="C29" s="16" t="str">
        <f t="shared" si="1"/>
        <v>Customer 4</v>
      </c>
      <c r="D29" s="12" t="str">
        <f t="shared" si="1"/>
        <v>May '23</v>
      </c>
      <c r="E29" s="13">
        <f t="shared" si="1"/>
        <v>50000</v>
      </c>
      <c r="F29" s="13" t="str">
        <f t="shared" si="1"/>
        <v>Yes</v>
      </c>
      <c r="G29" s="49">
        <f t="shared" ref="G29" si="9">G15</f>
        <v>100</v>
      </c>
      <c r="H29" s="15">
        <f t="shared" ref="H29:S29" si="10">IF(ISBLANK(H15),"", (IF((H15/$G29)&lt;$P$6, 0, 1)))</f>
        <v>0</v>
      </c>
      <c r="I29" s="15">
        <f t="shared" si="10"/>
        <v>0</v>
      </c>
      <c r="J29" s="15">
        <f t="shared" si="10"/>
        <v>0</v>
      </c>
      <c r="K29" s="15">
        <f t="shared" si="10"/>
        <v>1</v>
      </c>
      <c r="L29" s="15">
        <f t="shared" si="10"/>
        <v>1</v>
      </c>
      <c r="M29" s="15">
        <f t="shared" si="10"/>
        <v>1</v>
      </c>
      <c r="N29" s="15" t="str">
        <f t="shared" si="10"/>
        <v/>
      </c>
      <c r="O29" s="15" t="str">
        <f t="shared" si="10"/>
        <v/>
      </c>
      <c r="P29" s="15" t="str">
        <f t="shared" si="10"/>
        <v/>
      </c>
      <c r="Q29" s="15" t="str">
        <f t="shared" si="10"/>
        <v/>
      </c>
      <c r="R29" s="15" t="str">
        <f t="shared" si="10"/>
        <v/>
      </c>
      <c r="S29" s="15" t="str">
        <f t="shared" si="10"/>
        <v/>
      </c>
      <c r="T29" s="15">
        <f t="shared" si="4"/>
        <v>1</v>
      </c>
    </row>
    <row r="30" spans="1:20" ht="15.75" customHeight="1" x14ac:dyDescent="0.3">
      <c r="C30" s="16" t="str">
        <f t="shared" si="1"/>
        <v>Customer 5</v>
      </c>
      <c r="D30" s="12" t="str">
        <f t="shared" si="1"/>
        <v>May '23</v>
      </c>
      <c r="E30" s="13">
        <f t="shared" si="1"/>
        <v>25000</v>
      </c>
      <c r="F30" s="13" t="str">
        <f t="shared" si="1"/>
        <v>Yes</v>
      </c>
      <c r="G30" s="49">
        <f t="shared" ref="G30" si="11">G16</f>
        <v>40</v>
      </c>
      <c r="H30" s="15">
        <f t="shared" ref="H30:S30" si="12">IF(ISBLANK(H16),"", (IF((H16/$G30)&lt;$P$6, 0, 1)))</f>
        <v>0</v>
      </c>
      <c r="I30" s="15">
        <f t="shared" si="12"/>
        <v>0</v>
      </c>
      <c r="J30" s="15">
        <f t="shared" si="12"/>
        <v>0</v>
      </c>
      <c r="K30" s="15">
        <f t="shared" si="12"/>
        <v>1</v>
      </c>
      <c r="L30" s="15">
        <f t="shared" si="12"/>
        <v>1</v>
      </c>
      <c r="M30" s="15">
        <f t="shared" si="12"/>
        <v>1</v>
      </c>
      <c r="N30" s="15" t="str">
        <f t="shared" si="12"/>
        <v/>
      </c>
      <c r="O30" s="15" t="str">
        <f t="shared" si="12"/>
        <v/>
      </c>
      <c r="P30" s="15" t="str">
        <f t="shared" si="12"/>
        <v/>
      </c>
      <c r="Q30" s="15" t="str">
        <f t="shared" si="12"/>
        <v/>
      </c>
      <c r="R30" s="15" t="str">
        <f t="shared" si="12"/>
        <v/>
      </c>
      <c r="S30" s="15" t="str">
        <f t="shared" si="12"/>
        <v/>
      </c>
      <c r="T30" s="15">
        <f t="shared" si="4"/>
        <v>1</v>
      </c>
    </row>
    <row r="31" spans="1:20" ht="15.75" customHeight="1" x14ac:dyDescent="0.3">
      <c r="C31" s="16" t="str">
        <f t="shared" si="1"/>
        <v>Customer 6</v>
      </c>
      <c r="D31" s="12" t="str">
        <f t="shared" si="1"/>
        <v>June '23</v>
      </c>
      <c r="E31" s="13">
        <f t="shared" si="1"/>
        <v>12000</v>
      </c>
      <c r="F31" s="13" t="str">
        <f t="shared" si="1"/>
        <v>No</v>
      </c>
      <c r="G31" s="49">
        <f t="shared" ref="G31" si="13">G17</f>
        <v>50</v>
      </c>
      <c r="H31" s="15">
        <f t="shared" ref="H31:S31" si="14">IF(ISBLANK(H17),"", (IF((H17/$G31)&lt;$P$6, 0, 1)))</f>
        <v>0</v>
      </c>
      <c r="I31" s="15">
        <f t="shared" si="14"/>
        <v>0</v>
      </c>
      <c r="J31" s="15">
        <f t="shared" si="14"/>
        <v>0</v>
      </c>
      <c r="K31" s="15">
        <f t="shared" si="14"/>
        <v>0</v>
      </c>
      <c r="L31" s="15">
        <f t="shared" si="14"/>
        <v>0</v>
      </c>
      <c r="M31" s="15" t="str">
        <f t="shared" si="14"/>
        <v/>
      </c>
      <c r="N31" s="15" t="str">
        <f t="shared" si="14"/>
        <v/>
      </c>
      <c r="O31" s="15" t="str">
        <f t="shared" si="14"/>
        <v/>
      </c>
      <c r="P31" s="15" t="str">
        <f t="shared" si="14"/>
        <v/>
      </c>
      <c r="Q31" s="15" t="str">
        <f t="shared" si="14"/>
        <v/>
      </c>
      <c r="R31" s="15" t="str">
        <f t="shared" si="14"/>
        <v/>
      </c>
      <c r="S31" s="15" t="str">
        <f t="shared" si="14"/>
        <v/>
      </c>
      <c r="T31" s="15">
        <f t="shared" si="4"/>
        <v>0</v>
      </c>
    </row>
    <row r="32" spans="1:20" ht="15.75" customHeight="1" x14ac:dyDescent="0.3">
      <c r="C32" s="16" t="str">
        <f t="shared" si="1"/>
        <v>Customer 7</v>
      </c>
      <c r="D32" s="12" t="str">
        <f t="shared" si="1"/>
        <v>July '23</v>
      </c>
      <c r="E32" s="13">
        <f t="shared" si="1"/>
        <v>76000</v>
      </c>
      <c r="F32" s="13" t="str">
        <f t="shared" si="1"/>
        <v>Yes</v>
      </c>
      <c r="G32" s="49">
        <f t="shared" ref="G32" si="15">G18</f>
        <v>50</v>
      </c>
      <c r="H32" s="15">
        <f t="shared" ref="H32:S32" si="16">IF(ISBLANK(H18),"", (IF((H18/$G32)&lt;$P$6, 0, 1)))</f>
        <v>0</v>
      </c>
      <c r="I32" s="15">
        <f t="shared" si="16"/>
        <v>0</v>
      </c>
      <c r="J32" s="15">
        <f t="shared" si="16"/>
        <v>0</v>
      </c>
      <c r="K32" s="15">
        <f t="shared" si="16"/>
        <v>0</v>
      </c>
      <c r="L32" s="15" t="str">
        <f t="shared" si="16"/>
        <v/>
      </c>
      <c r="M32" s="15" t="str">
        <f t="shared" si="16"/>
        <v/>
      </c>
      <c r="N32" s="15" t="str">
        <f t="shared" si="16"/>
        <v/>
      </c>
      <c r="O32" s="15" t="str">
        <f t="shared" si="16"/>
        <v/>
      </c>
      <c r="P32" s="15" t="str">
        <f t="shared" si="16"/>
        <v/>
      </c>
      <c r="Q32" s="15" t="str">
        <f t="shared" si="16"/>
        <v/>
      </c>
      <c r="R32" s="15" t="str">
        <f t="shared" si="16"/>
        <v/>
      </c>
      <c r="S32" s="15" t="str">
        <f t="shared" si="16"/>
        <v/>
      </c>
      <c r="T32" s="15">
        <f t="shared" si="4"/>
        <v>0</v>
      </c>
    </row>
    <row r="33" spans="3:20" ht="15.75" customHeight="1" x14ac:dyDescent="0.3">
      <c r="C33" s="16" t="str">
        <f t="shared" si="1"/>
        <v>Customer 8</v>
      </c>
      <c r="D33" s="12" t="str">
        <f t="shared" si="1"/>
        <v>July '23</v>
      </c>
      <c r="E33" s="13">
        <f t="shared" si="1"/>
        <v>90000</v>
      </c>
      <c r="F33" s="13" t="str">
        <f t="shared" si="1"/>
        <v>Yes</v>
      </c>
      <c r="G33" s="49">
        <f t="shared" ref="G33" si="17">G19</f>
        <v>40</v>
      </c>
      <c r="H33" s="15">
        <f t="shared" ref="H33:S33" si="18">IF(ISBLANK(H19),"", (IF((H19/$G33)&lt;$P$6, 0, 1)))</f>
        <v>0</v>
      </c>
      <c r="I33" s="15">
        <f t="shared" si="18"/>
        <v>0</v>
      </c>
      <c r="J33" s="15">
        <f t="shared" si="18"/>
        <v>0</v>
      </c>
      <c r="K33" s="15">
        <f t="shared" si="18"/>
        <v>1</v>
      </c>
      <c r="L33" s="15" t="str">
        <f t="shared" si="18"/>
        <v/>
      </c>
      <c r="M33" s="15" t="str">
        <f t="shared" si="18"/>
        <v/>
      </c>
      <c r="N33" s="15" t="str">
        <f t="shared" si="18"/>
        <v/>
      </c>
      <c r="O33" s="15" t="str">
        <f t="shared" si="18"/>
        <v/>
      </c>
      <c r="P33" s="15" t="str">
        <f t="shared" si="18"/>
        <v/>
      </c>
      <c r="Q33" s="15" t="str">
        <f t="shared" si="18"/>
        <v/>
      </c>
      <c r="R33" s="15" t="str">
        <f t="shared" si="18"/>
        <v/>
      </c>
      <c r="S33" s="15" t="str">
        <f t="shared" si="18"/>
        <v/>
      </c>
      <c r="T33" s="15">
        <f t="shared" si="4"/>
        <v>1</v>
      </c>
    </row>
    <row r="34" spans="3:20" ht="15.75" customHeight="1" x14ac:dyDescent="0.3">
      <c r="C34" s="16" t="str">
        <f t="shared" si="1"/>
        <v>Customer 9</v>
      </c>
      <c r="D34" s="12" t="str">
        <f t="shared" si="1"/>
        <v>Aug '23</v>
      </c>
      <c r="E34" s="13">
        <f t="shared" si="1"/>
        <v>45000</v>
      </c>
      <c r="F34" s="13" t="str">
        <f t="shared" si="1"/>
        <v>Yes</v>
      </c>
      <c r="G34" s="49">
        <f t="shared" ref="G34" si="19">G20</f>
        <v>60</v>
      </c>
      <c r="H34" s="15">
        <f t="shared" ref="H34:S34" si="20">IF(ISBLANK(H20),"", (IF((H20/$G34)&lt;$P$6, 0, 1)))</f>
        <v>0</v>
      </c>
      <c r="I34" s="15">
        <f t="shared" si="20"/>
        <v>0</v>
      </c>
      <c r="J34" s="15">
        <f t="shared" si="20"/>
        <v>0</v>
      </c>
      <c r="K34" s="15" t="str">
        <f t="shared" si="20"/>
        <v/>
      </c>
      <c r="L34" s="15" t="str">
        <f t="shared" si="20"/>
        <v/>
      </c>
      <c r="M34" s="15" t="str">
        <f t="shared" si="20"/>
        <v/>
      </c>
      <c r="N34" s="15" t="str">
        <f t="shared" si="20"/>
        <v/>
      </c>
      <c r="O34" s="15" t="str">
        <f t="shared" si="20"/>
        <v/>
      </c>
      <c r="P34" s="15" t="str">
        <f t="shared" si="20"/>
        <v/>
      </c>
      <c r="Q34" s="15" t="str">
        <f t="shared" si="20"/>
        <v/>
      </c>
      <c r="R34" s="15" t="str">
        <f t="shared" si="20"/>
        <v/>
      </c>
      <c r="S34" s="15" t="str">
        <f t="shared" si="20"/>
        <v/>
      </c>
      <c r="T34" s="15">
        <f t="shared" si="4"/>
        <v>0</v>
      </c>
    </row>
    <row r="35" spans="3:20" ht="15.75" customHeight="1" x14ac:dyDescent="0.3">
      <c r="C35" s="16" t="str">
        <f t="shared" si="1"/>
        <v>Customer 10</v>
      </c>
      <c r="D35" s="12" t="str">
        <f t="shared" si="1"/>
        <v>Aug '24</v>
      </c>
      <c r="E35" s="13">
        <f t="shared" si="1"/>
        <v>55000</v>
      </c>
      <c r="F35" s="13" t="str">
        <f t="shared" si="1"/>
        <v>Yes</v>
      </c>
      <c r="G35" s="49">
        <f t="shared" ref="G35" si="21">G21</f>
        <v>75</v>
      </c>
      <c r="H35" s="15">
        <f t="shared" ref="H35:S35" si="22">IF(ISBLANK(H21),"", (IF((H21/$G35)&lt;$P$6, 0, 1)))</f>
        <v>0</v>
      </c>
      <c r="I35" s="15">
        <f t="shared" si="22"/>
        <v>0</v>
      </c>
      <c r="J35" s="15">
        <f t="shared" si="22"/>
        <v>0</v>
      </c>
      <c r="K35" s="15" t="str">
        <f t="shared" si="22"/>
        <v/>
      </c>
      <c r="L35" s="15" t="str">
        <f t="shared" si="22"/>
        <v/>
      </c>
      <c r="M35" s="15" t="str">
        <f t="shared" si="22"/>
        <v/>
      </c>
      <c r="N35" s="15" t="str">
        <f t="shared" si="22"/>
        <v/>
      </c>
      <c r="O35" s="15" t="str">
        <f t="shared" si="22"/>
        <v/>
      </c>
      <c r="P35" s="15" t="str">
        <f t="shared" si="22"/>
        <v/>
      </c>
      <c r="Q35" s="15" t="str">
        <f t="shared" si="22"/>
        <v/>
      </c>
      <c r="R35" s="15" t="str">
        <f t="shared" si="22"/>
        <v/>
      </c>
      <c r="S35" s="15" t="str">
        <f t="shared" si="22"/>
        <v/>
      </c>
      <c r="T35" s="15">
        <f t="shared" si="4"/>
        <v>0</v>
      </c>
    </row>
    <row r="36" spans="3:20" ht="15.75" customHeight="1" x14ac:dyDescent="0.3"/>
    <row r="37" spans="3:20" ht="15.75" customHeight="1" x14ac:dyDescent="0.3">
      <c r="R37" s="4"/>
      <c r="S37" s="34" t="s">
        <v>49</v>
      </c>
      <c r="T37" s="35">
        <f>SUM(T26:T35)/COUNT(T26:T35)</f>
        <v>0.6</v>
      </c>
    </row>
    <row r="38" spans="3:20" ht="15.75" customHeight="1" x14ac:dyDescent="0.3">
      <c r="S38" s="34" t="s">
        <v>50</v>
      </c>
      <c r="T38" s="36">
        <v>0.7</v>
      </c>
    </row>
    <row r="39" spans="3:20" ht="15.75" customHeight="1" x14ac:dyDescent="0.3"/>
    <row r="40" spans="3:20" ht="15.75" customHeight="1" x14ac:dyDescent="0.3"/>
    <row r="41" spans="3:20" ht="15.75" customHeight="1" x14ac:dyDescent="0.3"/>
    <row r="42" spans="3:20" ht="15.75" customHeight="1" x14ac:dyDescent="0.3"/>
    <row r="43" spans="3:20" ht="15.75" customHeight="1" x14ac:dyDescent="0.3"/>
    <row r="44" spans="3:20" ht="15.75" customHeight="1" x14ac:dyDescent="0.3"/>
    <row r="45" spans="3:20" ht="15.75" customHeight="1" x14ac:dyDescent="0.3"/>
    <row r="46" spans="3:20" ht="15.75" customHeight="1" x14ac:dyDescent="0.3"/>
    <row r="47" spans="3:20" ht="15.75" customHeight="1" x14ac:dyDescent="0.3"/>
    <row r="48" spans="3:2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3">
    <mergeCell ref="P5:R5"/>
    <mergeCell ref="H10:S10"/>
    <mergeCell ref="H24:S24"/>
  </mergeCells>
  <conditionalFormatting sqref="H26:S35">
    <cfRule type="containsText" dxfId="5" priority="1" operator="containsText" text="0">
      <formula>NOT(ISERROR(SEARCH("0",H26)))</formula>
    </cfRule>
    <cfRule type="containsText" dxfId="4" priority="2" stopIfTrue="1" operator="containsText" text="1">
      <formula>NOT(ISERROR(SEARCH("1",H26)))</formula>
    </cfRule>
  </conditionalFormatting>
  <conditionalFormatting sqref="T26:T35">
    <cfRule type="containsText" dxfId="3" priority="3" stopIfTrue="1" operator="containsText" text="0">
      <formula>NOT(ISERROR(SEARCH("0",T26)))</formula>
    </cfRule>
    <cfRule type="containsText" dxfId="2" priority="4" stopIfTrue="1" operator="containsText" text="1">
      <formula>NOT(ISERROR(SEARCH("1",T26)))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B231-5133-6244-BF9D-AE921A95A887}">
  <dimension ref="A1:AM1000"/>
  <sheetViews>
    <sheetView showGridLines="0" workbookViewId="0"/>
  </sheetViews>
  <sheetFormatPr defaultColWidth="14.44140625" defaultRowHeight="15" customHeight="1" x14ac:dyDescent="0.3"/>
  <cols>
    <col min="1" max="1" width="1.6640625" customWidth="1"/>
    <col min="2" max="2" width="2.33203125" customWidth="1"/>
    <col min="3" max="3" width="9.44140625" customWidth="1"/>
    <col min="4" max="5" width="12.33203125" customWidth="1"/>
    <col min="6" max="6" width="5.109375" customWidth="1"/>
    <col min="7" max="7" width="12.33203125" customWidth="1"/>
    <col min="8" max="19" width="10.6640625" customWidth="1"/>
    <col min="20" max="20" width="9.6640625" customWidth="1"/>
    <col min="21" max="39" width="8.6640625" customWidth="1"/>
  </cols>
  <sheetData>
    <row r="1" spans="1:39" ht="14.4" x14ac:dyDescent="0.3">
      <c r="A1" s="55" t="s">
        <v>86</v>
      </c>
      <c r="B1" s="5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39" ht="14.4" x14ac:dyDescent="0.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14.4" x14ac:dyDescent="0.3">
      <c r="A3" s="3" t="s">
        <v>53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5" spans="1:39" ht="14.4" x14ac:dyDescent="0.3">
      <c r="A5" s="1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39" ht="14.4" x14ac:dyDescent="0.3">
      <c r="B6" s="3" t="s">
        <v>4</v>
      </c>
      <c r="C6" s="3" t="s">
        <v>5</v>
      </c>
      <c r="P6" s="59" t="s">
        <v>3</v>
      </c>
      <c r="Q6" s="60"/>
      <c r="R6" s="61"/>
    </row>
    <row r="7" spans="1:39" ht="14.4" x14ac:dyDescent="0.3">
      <c r="B7" s="3" t="s">
        <v>4</v>
      </c>
      <c r="C7" s="3" t="s">
        <v>7</v>
      </c>
      <c r="P7" s="44"/>
      <c r="Q7" s="38" t="s">
        <v>8</v>
      </c>
      <c r="R7" s="41"/>
    </row>
    <row r="8" spans="1:39" ht="15" customHeight="1" x14ac:dyDescent="0.3">
      <c r="P8" s="45"/>
      <c r="Q8" s="39" t="s">
        <v>9</v>
      </c>
      <c r="R8" s="42"/>
    </row>
    <row r="9" spans="1:39" ht="14.4" x14ac:dyDescent="0.3"/>
    <row r="10" spans="1:39" ht="14.4" x14ac:dyDescent="0.3">
      <c r="A10" s="47" t="s">
        <v>10</v>
      </c>
      <c r="B10" s="47"/>
      <c r="C10" s="47"/>
      <c r="D10" s="47"/>
      <c r="E10" s="47"/>
      <c r="F10" s="47"/>
      <c r="G10" s="47"/>
      <c r="H10" s="57" t="s">
        <v>11</v>
      </c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</row>
    <row r="11" spans="1:39" ht="28.8" x14ac:dyDescent="0.3">
      <c r="D11" s="5" t="s">
        <v>12</v>
      </c>
      <c r="E11" s="5" t="s">
        <v>13</v>
      </c>
      <c r="F11" s="5" t="s">
        <v>14</v>
      </c>
      <c r="G11" s="48" t="s">
        <v>52</v>
      </c>
      <c r="H11" s="6" t="s">
        <v>15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</row>
    <row r="12" spans="1:39" ht="14.4" x14ac:dyDescent="0.3">
      <c r="D12" s="11"/>
      <c r="E12" s="11"/>
      <c r="F12" s="11"/>
      <c r="G12" s="11"/>
      <c r="H12" s="51">
        <v>0.1</v>
      </c>
      <c r="I12" s="51">
        <v>0.15</v>
      </c>
      <c r="J12" s="51">
        <v>0.2</v>
      </c>
      <c r="K12" s="51">
        <v>0.25</v>
      </c>
      <c r="L12" s="51">
        <v>0.4</v>
      </c>
      <c r="M12" s="51">
        <v>0.5</v>
      </c>
      <c r="N12" s="51">
        <v>0.6</v>
      </c>
      <c r="O12" s="51">
        <v>0.7</v>
      </c>
      <c r="P12" s="51">
        <v>0.8</v>
      </c>
      <c r="Q12" s="51">
        <v>0.9</v>
      </c>
      <c r="R12" s="51">
        <v>1</v>
      </c>
      <c r="S12" s="51">
        <v>1</v>
      </c>
      <c r="T12" s="3" t="s">
        <v>54</v>
      </c>
    </row>
    <row r="13" spans="1:39" ht="14.4" x14ac:dyDescent="0.3">
      <c r="C13" s="7" t="s">
        <v>27</v>
      </c>
      <c r="D13" s="8" t="s">
        <v>28</v>
      </c>
      <c r="E13" s="9">
        <v>9000</v>
      </c>
      <c r="F13" s="8" t="s">
        <v>29</v>
      </c>
      <c r="G13" s="31">
        <v>10</v>
      </c>
      <c r="H13" s="10">
        <v>0</v>
      </c>
      <c r="I13" s="10">
        <v>0</v>
      </c>
      <c r="J13" s="10">
        <v>2</v>
      </c>
      <c r="K13" s="10">
        <v>4</v>
      </c>
      <c r="L13" s="10">
        <v>5</v>
      </c>
      <c r="M13" s="10">
        <v>5</v>
      </c>
      <c r="N13" s="10">
        <v>4</v>
      </c>
      <c r="O13" s="10">
        <v>6</v>
      </c>
      <c r="P13" s="10">
        <v>6</v>
      </c>
      <c r="Q13" s="10">
        <v>7</v>
      </c>
      <c r="R13" s="10"/>
      <c r="S13" s="10"/>
      <c r="T13" s="3" t="s">
        <v>30</v>
      </c>
    </row>
    <row r="14" spans="1:39" ht="14.4" x14ac:dyDescent="0.3">
      <c r="C14" s="7" t="s">
        <v>31</v>
      </c>
      <c r="D14" s="8" t="s">
        <v>28</v>
      </c>
      <c r="E14" s="9">
        <v>10000</v>
      </c>
      <c r="F14" s="8" t="s">
        <v>32</v>
      </c>
      <c r="G14" s="31">
        <v>20</v>
      </c>
      <c r="H14" s="11">
        <v>2</v>
      </c>
      <c r="I14" s="11">
        <v>4</v>
      </c>
      <c r="J14" s="11">
        <v>5</v>
      </c>
      <c r="K14" s="11">
        <v>6</v>
      </c>
      <c r="L14" s="11">
        <v>7</v>
      </c>
      <c r="M14" s="11">
        <v>10</v>
      </c>
      <c r="N14" s="11">
        <v>15</v>
      </c>
      <c r="O14" s="11">
        <v>15</v>
      </c>
      <c r="P14" s="11">
        <v>20</v>
      </c>
      <c r="Q14" s="11"/>
      <c r="R14" s="11"/>
      <c r="S14" s="11"/>
    </row>
    <row r="15" spans="1:39" ht="14.4" x14ac:dyDescent="0.3">
      <c r="C15" s="7" t="s">
        <v>33</v>
      </c>
      <c r="D15" s="8" t="s">
        <v>34</v>
      </c>
      <c r="E15" s="9">
        <v>40000</v>
      </c>
      <c r="F15" s="8" t="s">
        <v>32</v>
      </c>
      <c r="G15" s="31">
        <v>20</v>
      </c>
      <c r="H15" s="11">
        <v>0</v>
      </c>
      <c r="I15" s="11">
        <v>3</v>
      </c>
      <c r="J15" s="11">
        <v>6</v>
      </c>
      <c r="K15" s="11">
        <v>3</v>
      </c>
      <c r="L15" s="11">
        <v>12</v>
      </c>
      <c r="M15" s="11">
        <v>14</v>
      </c>
      <c r="N15" s="11">
        <v>14</v>
      </c>
      <c r="O15" s="11">
        <v>15</v>
      </c>
      <c r="P15" s="11"/>
      <c r="Q15" s="11"/>
      <c r="R15" s="11"/>
      <c r="S15" s="11"/>
    </row>
    <row r="16" spans="1:39" ht="14.4" x14ac:dyDescent="0.3">
      <c r="C16" s="7" t="s">
        <v>35</v>
      </c>
      <c r="D16" s="8" t="s">
        <v>36</v>
      </c>
      <c r="E16" s="9">
        <v>50000</v>
      </c>
      <c r="F16" s="8" t="s">
        <v>32</v>
      </c>
      <c r="G16" s="31">
        <v>100</v>
      </c>
      <c r="H16" s="11">
        <v>6</v>
      </c>
      <c r="I16" s="11">
        <v>15</v>
      </c>
      <c r="J16" s="11">
        <v>19</v>
      </c>
      <c r="K16" s="11">
        <v>41</v>
      </c>
      <c r="L16" s="11">
        <v>43</v>
      </c>
      <c r="M16" s="11">
        <v>56</v>
      </c>
      <c r="N16" s="11"/>
      <c r="O16" s="11"/>
      <c r="P16" s="11"/>
      <c r="Q16" s="11"/>
      <c r="R16" s="11"/>
      <c r="S16" s="11"/>
    </row>
    <row r="17" spans="1:20" ht="14.4" x14ac:dyDescent="0.3">
      <c r="C17" s="7" t="s">
        <v>37</v>
      </c>
      <c r="D17" s="8" t="s">
        <v>36</v>
      </c>
      <c r="E17" s="9">
        <v>25000</v>
      </c>
      <c r="F17" s="8" t="s">
        <v>32</v>
      </c>
      <c r="G17" s="31">
        <v>40</v>
      </c>
      <c r="H17" s="11">
        <v>3</v>
      </c>
      <c r="I17" s="11">
        <v>3</v>
      </c>
      <c r="J17" s="11">
        <v>5</v>
      </c>
      <c r="K17" s="11">
        <v>16</v>
      </c>
      <c r="L17" s="11">
        <v>18</v>
      </c>
      <c r="M17" s="11">
        <v>20</v>
      </c>
      <c r="N17" s="11"/>
      <c r="O17" s="11"/>
      <c r="P17" s="11"/>
      <c r="Q17" s="11"/>
      <c r="R17" s="11"/>
      <c r="S17" s="11"/>
    </row>
    <row r="18" spans="1:20" ht="14.4" x14ac:dyDescent="0.3">
      <c r="C18" s="7" t="s">
        <v>38</v>
      </c>
      <c r="D18" s="8" t="s">
        <v>39</v>
      </c>
      <c r="E18" s="9">
        <v>12000</v>
      </c>
      <c r="F18" s="8" t="s">
        <v>29</v>
      </c>
      <c r="G18" s="31">
        <v>50</v>
      </c>
      <c r="H18" s="11">
        <v>0</v>
      </c>
      <c r="I18" s="11">
        <v>0</v>
      </c>
      <c r="J18" s="11">
        <v>0</v>
      </c>
      <c r="K18" s="11">
        <v>1</v>
      </c>
      <c r="L18" s="11">
        <v>2</v>
      </c>
      <c r="M18" s="11"/>
      <c r="N18" s="11"/>
      <c r="O18" s="11"/>
      <c r="P18" s="11"/>
      <c r="Q18" s="11"/>
      <c r="R18" s="11"/>
      <c r="S18" s="11"/>
    </row>
    <row r="19" spans="1:20" ht="14.4" x14ac:dyDescent="0.3">
      <c r="C19" s="7" t="s">
        <v>40</v>
      </c>
      <c r="D19" s="8" t="s">
        <v>41</v>
      </c>
      <c r="E19" s="9">
        <v>76000</v>
      </c>
      <c r="F19" s="8" t="s">
        <v>32</v>
      </c>
      <c r="G19" s="31">
        <v>50</v>
      </c>
      <c r="H19" s="11">
        <v>0</v>
      </c>
      <c r="I19" s="11">
        <v>4</v>
      </c>
      <c r="J19" s="11">
        <v>6</v>
      </c>
      <c r="K19" s="11">
        <v>10</v>
      </c>
      <c r="L19" s="11"/>
      <c r="M19" s="11"/>
      <c r="N19" s="11"/>
      <c r="O19" s="11"/>
      <c r="P19" s="11"/>
      <c r="Q19" s="11"/>
      <c r="R19" s="11"/>
      <c r="S19" s="11"/>
    </row>
    <row r="20" spans="1:20" ht="14.4" x14ac:dyDescent="0.3">
      <c r="C20" s="7" t="s">
        <v>42</v>
      </c>
      <c r="D20" s="8" t="s">
        <v>41</v>
      </c>
      <c r="E20" s="9">
        <v>90000</v>
      </c>
      <c r="F20" s="8" t="s">
        <v>32</v>
      </c>
      <c r="G20" s="31">
        <v>40</v>
      </c>
      <c r="H20" s="11">
        <v>5</v>
      </c>
      <c r="I20" s="11">
        <v>6</v>
      </c>
      <c r="J20" s="11">
        <v>7</v>
      </c>
      <c r="K20" s="11">
        <v>14</v>
      </c>
      <c r="L20" s="11"/>
      <c r="M20" s="11"/>
      <c r="N20" s="11"/>
      <c r="O20" s="11"/>
      <c r="P20" s="11"/>
      <c r="Q20" s="11"/>
      <c r="R20" s="11"/>
      <c r="S20" s="11"/>
    </row>
    <row r="21" spans="1:20" ht="14.4" x14ac:dyDescent="0.3">
      <c r="C21" s="7" t="s">
        <v>43</v>
      </c>
      <c r="D21" s="8" t="s">
        <v>44</v>
      </c>
      <c r="E21" s="9">
        <v>45000</v>
      </c>
      <c r="F21" s="8" t="s">
        <v>32</v>
      </c>
      <c r="G21" s="31">
        <v>60</v>
      </c>
      <c r="H21" s="11">
        <v>0</v>
      </c>
      <c r="I21" s="11">
        <v>5</v>
      </c>
      <c r="J21" s="11">
        <v>12</v>
      </c>
      <c r="K21" s="11"/>
      <c r="L21" s="11"/>
      <c r="M21" s="11"/>
      <c r="N21" s="11"/>
      <c r="O21" s="11"/>
      <c r="P21" s="11"/>
      <c r="Q21" s="11"/>
      <c r="R21" s="11"/>
      <c r="S21" s="11"/>
    </row>
    <row r="22" spans="1:20" ht="14.4" x14ac:dyDescent="0.3">
      <c r="C22" s="7" t="s">
        <v>45</v>
      </c>
      <c r="D22" s="8" t="s">
        <v>46</v>
      </c>
      <c r="E22" s="9">
        <v>55000</v>
      </c>
      <c r="F22" s="8" t="s">
        <v>32</v>
      </c>
      <c r="G22" s="31">
        <v>75</v>
      </c>
      <c r="H22" s="11">
        <v>4</v>
      </c>
      <c r="I22" s="11">
        <v>4</v>
      </c>
      <c r="J22" s="11">
        <v>4</v>
      </c>
      <c r="K22" s="11"/>
      <c r="L22" s="11"/>
      <c r="M22" s="11"/>
      <c r="N22" s="11"/>
      <c r="O22" s="11"/>
      <c r="P22" s="11"/>
      <c r="Q22" s="11"/>
      <c r="R22" s="11"/>
      <c r="S22" s="11"/>
    </row>
    <row r="23" spans="1:20" ht="15.75" customHeight="1" x14ac:dyDescent="0.3"/>
    <row r="24" spans="1:20" ht="15.75" customHeight="1" x14ac:dyDescent="0.3"/>
    <row r="25" spans="1:20" ht="15.75" customHeight="1" x14ac:dyDescent="0.3">
      <c r="A25" s="47" t="s">
        <v>47</v>
      </c>
      <c r="B25" s="47"/>
      <c r="C25" s="47"/>
      <c r="D25" s="47"/>
      <c r="E25" s="47"/>
      <c r="F25" s="47"/>
      <c r="G25" s="47"/>
      <c r="H25" s="57" t="s">
        <v>11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47"/>
    </row>
    <row r="26" spans="1:20" ht="28.8" x14ac:dyDescent="0.3">
      <c r="D26" s="5" t="s">
        <v>12</v>
      </c>
      <c r="E26" s="5" t="s">
        <v>13</v>
      </c>
      <c r="F26" s="5" t="s">
        <v>14</v>
      </c>
      <c r="G26" s="48" t="s">
        <v>52</v>
      </c>
      <c r="H26" s="6" t="str">
        <f t="shared" ref="H26:S26" si="0">H11</f>
        <v>Month 1</v>
      </c>
      <c r="I26" s="6" t="str">
        <f t="shared" si="0"/>
        <v>Month 2</v>
      </c>
      <c r="J26" s="6" t="str">
        <f t="shared" si="0"/>
        <v>Month 3</v>
      </c>
      <c r="K26" s="6" t="str">
        <f t="shared" si="0"/>
        <v>Month 4</v>
      </c>
      <c r="L26" s="6" t="str">
        <f t="shared" si="0"/>
        <v>Month 5</v>
      </c>
      <c r="M26" s="6" t="str">
        <f t="shared" si="0"/>
        <v>Month 6</v>
      </c>
      <c r="N26" s="6" t="str">
        <f t="shared" si="0"/>
        <v>Month 7</v>
      </c>
      <c r="O26" s="6" t="str">
        <f t="shared" si="0"/>
        <v>Month 8</v>
      </c>
      <c r="P26" s="6" t="str">
        <f t="shared" si="0"/>
        <v>Month 9</v>
      </c>
      <c r="Q26" s="6" t="str">
        <f t="shared" si="0"/>
        <v>Month 10</v>
      </c>
      <c r="R26" s="6" t="str">
        <f t="shared" si="0"/>
        <v>Month 11</v>
      </c>
      <c r="S26" s="6" t="str">
        <f t="shared" si="0"/>
        <v>Month 12</v>
      </c>
      <c r="T26" s="6" t="s">
        <v>48</v>
      </c>
    </row>
    <row r="27" spans="1:20" ht="14.4" x14ac:dyDescent="0.3">
      <c r="D27" s="52"/>
      <c r="E27" s="52"/>
      <c r="F27" s="52"/>
      <c r="G27" s="53"/>
      <c r="H27" s="54">
        <f>H12</f>
        <v>0.1</v>
      </c>
      <c r="I27" s="54">
        <f t="shared" ref="I27:S27" si="1">I12</f>
        <v>0.15</v>
      </c>
      <c r="J27" s="54">
        <f t="shared" si="1"/>
        <v>0.2</v>
      </c>
      <c r="K27" s="54">
        <f t="shared" si="1"/>
        <v>0.25</v>
      </c>
      <c r="L27" s="54">
        <f t="shared" si="1"/>
        <v>0.4</v>
      </c>
      <c r="M27" s="54">
        <f t="shared" si="1"/>
        <v>0.5</v>
      </c>
      <c r="N27" s="54">
        <f t="shared" si="1"/>
        <v>0.6</v>
      </c>
      <c r="O27" s="54">
        <f t="shared" si="1"/>
        <v>0.7</v>
      </c>
      <c r="P27" s="54">
        <f t="shared" si="1"/>
        <v>0.8</v>
      </c>
      <c r="Q27" s="54">
        <f t="shared" si="1"/>
        <v>0.9</v>
      </c>
      <c r="R27" s="54">
        <f t="shared" si="1"/>
        <v>1</v>
      </c>
      <c r="S27" s="54">
        <f t="shared" si="1"/>
        <v>1</v>
      </c>
      <c r="T27" s="3" t="s">
        <v>54</v>
      </c>
    </row>
    <row r="28" spans="1:20" ht="15.75" customHeight="1" x14ac:dyDescent="0.3">
      <c r="C28" s="7" t="str">
        <f t="shared" ref="C28:G37" si="2">C13</f>
        <v>Customer 1</v>
      </c>
      <c r="D28" s="12" t="str">
        <f t="shared" si="2"/>
        <v>Jan '23</v>
      </c>
      <c r="E28" s="13">
        <f t="shared" si="2"/>
        <v>9000</v>
      </c>
      <c r="F28" s="13" t="str">
        <f t="shared" si="2"/>
        <v>No</v>
      </c>
      <c r="G28" s="49">
        <f t="shared" si="2"/>
        <v>10</v>
      </c>
      <c r="H28" s="15">
        <f>IF(ISBLANK(H13),"", (IF((H13/$G28)&lt;H$12, 0, 1)))</f>
        <v>0</v>
      </c>
      <c r="I28" s="15">
        <f t="shared" ref="I28:S28" si="3">IF(ISBLANK(I13),"", (IF((I13/$G28)&lt;I$12, 0, 1)))</f>
        <v>0</v>
      </c>
      <c r="J28" s="15">
        <f>IF(ISBLANK(J13),"", (IF((J13/$G28)&lt;J$12, 0, 1)))</f>
        <v>1</v>
      </c>
      <c r="K28" s="15">
        <f t="shared" si="3"/>
        <v>1</v>
      </c>
      <c r="L28" s="15">
        <f t="shared" si="3"/>
        <v>1</v>
      </c>
      <c r="M28" s="15">
        <f t="shared" si="3"/>
        <v>1</v>
      </c>
      <c r="N28" s="15">
        <f t="shared" si="3"/>
        <v>0</v>
      </c>
      <c r="O28" s="15">
        <f t="shared" si="3"/>
        <v>0</v>
      </c>
      <c r="P28" s="15">
        <f t="shared" si="3"/>
        <v>0</v>
      </c>
      <c r="Q28" s="15">
        <f t="shared" si="3"/>
        <v>0</v>
      </c>
      <c r="R28" s="15" t="str">
        <f t="shared" si="3"/>
        <v/>
      </c>
      <c r="S28" s="15" t="str">
        <f t="shared" si="3"/>
        <v/>
      </c>
      <c r="T28" s="15">
        <f t="shared" ref="T28:T37" si="4">LOOKUP(2,1/(H28:S28&lt;&gt;""),H28:S28)</f>
        <v>0</v>
      </c>
    </row>
    <row r="29" spans="1:20" ht="15.75" customHeight="1" x14ac:dyDescent="0.3">
      <c r="C29" s="16" t="str">
        <f t="shared" si="2"/>
        <v>Customer 2</v>
      </c>
      <c r="D29" s="12" t="str">
        <f t="shared" si="2"/>
        <v>Jan '23</v>
      </c>
      <c r="E29" s="13">
        <f t="shared" si="2"/>
        <v>10000</v>
      </c>
      <c r="F29" s="13" t="str">
        <f t="shared" si="2"/>
        <v>Yes</v>
      </c>
      <c r="G29" s="49">
        <f t="shared" si="2"/>
        <v>20</v>
      </c>
      <c r="H29" s="15">
        <f t="shared" ref="H29:S29" si="5">IF(ISBLANK(H14),"", (IF((H14/$G29)&lt;H$12, 0, 1)))</f>
        <v>1</v>
      </c>
      <c r="I29" s="15">
        <f t="shared" si="5"/>
        <v>1</v>
      </c>
      <c r="J29" s="15">
        <f t="shared" si="5"/>
        <v>1</v>
      </c>
      <c r="K29" s="15">
        <f t="shared" si="5"/>
        <v>1</v>
      </c>
      <c r="L29" s="15">
        <f t="shared" si="5"/>
        <v>0</v>
      </c>
      <c r="M29" s="15">
        <f t="shared" si="5"/>
        <v>1</v>
      </c>
      <c r="N29" s="15">
        <f t="shared" si="5"/>
        <v>1</v>
      </c>
      <c r="O29" s="15">
        <f t="shared" si="5"/>
        <v>1</v>
      </c>
      <c r="P29" s="15">
        <f t="shared" si="5"/>
        <v>1</v>
      </c>
      <c r="Q29" s="15" t="str">
        <f t="shared" si="5"/>
        <v/>
      </c>
      <c r="R29" s="15" t="str">
        <f t="shared" si="5"/>
        <v/>
      </c>
      <c r="S29" s="15" t="str">
        <f t="shared" si="5"/>
        <v/>
      </c>
      <c r="T29" s="15">
        <f t="shared" si="4"/>
        <v>1</v>
      </c>
    </row>
    <row r="30" spans="1:20" ht="15.75" customHeight="1" x14ac:dyDescent="0.3">
      <c r="C30" s="16" t="str">
        <f t="shared" si="2"/>
        <v>Customer 3</v>
      </c>
      <c r="D30" s="12" t="str">
        <f t="shared" si="2"/>
        <v>Feb '23</v>
      </c>
      <c r="E30" s="13">
        <f t="shared" si="2"/>
        <v>40000</v>
      </c>
      <c r="F30" s="13" t="str">
        <f t="shared" si="2"/>
        <v>Yes</v>
      </c>
      <c r="G30" s="49">
        <f t="shared" si="2"/>
        <v>20</v>
      </c>
      <c r="H30" s="15">
        <f t="shared" ref="H30:S30" si="6">IF(ISBLANK(H15),"", (IF((H15/$G30)&lt;H$12, 0, 1)))</f>
        <v>0</v>
      </c>
      <c r="I30" s="15">
        <f t="shared" si="6"/>
        <v>1</v>
      </c>
      <c r="J30" s="15">
        <f t="shared" si="6"/>
        <v>1</v>
      </c>
      <c r="K30" s="15">
        <f t="shared" si="6"/>
        <v>0</v>
      </c>
      <c r="L30" s="15">
        <f t="shared" si="6"/>
        <v>1</v>
      </c>
      <c r="M30" s="15">
        <f t="shared" si="6"/>
        <v>1</v>
      </c>
      <c r="N30" s="15">
        <f t="shared" si="6"/>
        <v>1</v>
      </c>
      <c r="O30" s="15">
        <f t="shared" si="6"/>
        <v>1</v>
      </c>
      <c r="P30" s="15" t="str">
        <f t="shared" si="6"/>
        <v/>
      </c>
      <c r="Q30" s="15" t="str">
        <f t="shared" si="6"/>
        <v/>
      </c>
      <c r="R30" s="15" t="str">
        <f t="shared" si="6"/>
        <v/>
      </c>
      <c r="S30" s="15" t="str">
        <f t="shared" si="6"/>
        <v/>
      </c>
      <c r="T30" s="15">
        <f t="shared" si="4"/>
        <v>1</v>
      </c>
    </row>
    <row r="31" spans="1:20" ht="15.75" customHeight="1" x14ac:dyDescent="0.3">
      <c r="C31" s="16" t="str">
        <f t="shared" si="2"/>
        <v>Customer 4</v>
      </c>
      <c r="D31" s="12" t="str">
        <f t="shared" si="2"/>
        <v>May '23</v>
      </c>
      <c r="E31" s="13">
        <f t="shared" si="2"/>
        <v>50000</v>
      </c>
      <c r="F31" s="13" t="str">
        <f t="shared" si="2"/>
        <v>Yes</v>
      </c>
      <c r="G31" s="49">
        <f t="shared" si="2"/>
        <v>100</v>
      </c>
      <c r="H31" s="15">
        <f t="shared" ref="H31:S31" si="7">IF(ISBLANK(H16),"", (IF((H16/$G31)&lt;H$12, 0, 1)))</f>
        <v>0</v>
      </c>
      <c r="I31" s="15">
        <f t="shared" si="7"/>
        <v>1</v>
      </c>
      <c r="J31" s="15">
        <f t="shared" si="7"/>
        <v>0</v>
      </c>
      <c r="K31" s="15">
        <f t="shared" si="7"/>
        <v>1</v>
      </c>
      <c r="L31" s="15">
        <f t="shared" si="7"/>
        <v>1</v>
      </c>
      <c r="M31" s="15">
        <f t="shared" si="7"/>
        <v>1</v>
      </c>
      <c r="N31" s="15" t="str">
        <f t="shared" si="7"/>
        <v/>
      </c>
      <c r="O31" s="15" t="str">
        <f t="shared" si="7"/>
        <v/>
      </c>
      <c r="P31" s="15" t="str">
        <f t="shared" si="7"/>
        <v/>
      </c>
      <c r="Q31" s="15" t="str">
        <f t="shared" si="7"/>
        <v/>
      </c>
      <c r="R31" s="15" t="str">
        <f t="shared" si="7"/>
        <v/>
      </c>
      <c r="S31" s="15" t="str">
        <f t="shared" si="7"/>
        <v/>
      </c>
      <c r="T31" s="15">
        <f t="shared" si="4"/>
        <v>1</v>
      </c>
    </row>
    <row r="32" spans="1:20" ht="15.75" customHeight="1" x14ac:dyDescent="0.3">
      <c r="C32" s="16" t="str">
        <f t="shared" si="2"/>
        <v>Customer 5</v>
      </c>
      <c r="D32" s="12" t="str">
        <f t="shared" si="2"/>
        <v>May '23</v>
      </c>
      <c r="E32" s="13">
        <f t="shared" si="2"/>
        <v>25000</v>
      </c>
      <c r="F32" s="13" t="str">
        <f t="shared" si="2"/>
        <v>Yes</v>
      </c>
      <c r="G32" s="49">
        <f t="shared" si="2"/>
        <v>40</v>
      </c>
      <c r="H32" s="15">
        <f t="shared" ref="H32:S32" si="8">IF(ISBLANK(H17),"", (IF((H17/$G32)&lt;H$12, 0, 1)))</f>
        <v>0</v>
      </c>
      <c r="I32" s="15">
        <f t="shared" si="8"/>
        <v>0</v>
      </c>
      <c r="J32" s="15">
        <f t="shared" si="8"/>
        <v>0</v>
      </c>
      <c r="K32" s="15">
        <f t="shared" si="8"/>
        <v>1</v>
      </c>
      <c r="L32" s="15">
        <f t="shared" si="8"/>
        <v>1</v>
      </c>
      <c r="M32" s="15">
        <f t="shared" si="8"/>
        <v>1</v>
      </c>
      <c r="N32" s="15" t="str">
        <f t="shared" si="8"/>
        <v/>
      </c>
      <c r="O32" s="15" t="str">
        <f t="shared" si="8"/>
        <v/>
      </c>
      <c r="P32" s="15" t="str">
        <f t="shared" si="8"/>
        <v/>
      </c>
      <c r="Q32" s="15" t="str">
        <f t="shared" si="8"/>
        <v/>
      </c>
      <c r="R32" s="15" t="str">
        <f t="shared" si="8"/>
        <v/>
      </c>
      <c r="S32" s="15" t="str">
        <f t="shared" si="8"/>
        <v/>
      </c>
      <c r="T32" s="15">
        <f t="shared" si="4"/>
        <v>1</v>
      </c>
    </row>
    <row r="33" spans="3:20" ht="15.75" customHeight="1" x14ac:dyDescent="0.3">
      <c r="C33" s="16" t="str">
        <f t="shared" si="2"/>
        <v>Customer 6</v>
      </c>
      <c r="D33" s="12" t="str">
        <f t="shared" si="2"/>
        <v>June '23</v>
      </c>
      <c r="E33" s="13">
        <f t="shared" si="2"/>
        <v>12000</v>
      </c>
      <c r="F33" s="13" t="str">
        <f t="shared" si="2"/>
        <v>No</v>
      </c>
      <c r="G33" s="49">
        <f t="shared" si="2"/>
        <v>50</v>
      </c>
      <c r="H33" s="15">
        <f t="shared" ref="H33:S33" si="9">IF(ISBLANK(H18),"", (IF((H18/$G33)&lt;H$12, 0, 1)))</f>
        <v>0</v>
      </c>
      <c r="I33" s="15">
        <f t="shared" si="9"/>
        <v>0</v>
      </c>
      <c r="J33" s="15">
        <f t="shared" si="9"/>
        <v>0</v>
      </c>
      <c r="K33" s="15">
        <f t="shared" si="9"/>
        <v>0</v>
      </c>
      <c r="L33" s="15">
        <f t="shared" si="9"/>
        <v>0</v>
      </c>
      <c r="M33" s="15" t="str">
        <f t="shared" si="9"/>
        <v/>
      </c>
      <c r="N33" s="15" t="str">
        <f t="shared" si="9"/>
        <v/>
      </c>
      <c r="O33" s="15" t="str">
        <f t="shared" si="9"/>
        <v/>
      </c>
      <c r="P33" s="15" t="str">
        <f t="shared" si="9"/>
        <v/>
      </c>
      <c r="Q33" s="15" t="str">
        <f t="shared" si="9"/>
        <v/>
      </c>
      <c r="R33" s="15" t="str">
        <f t="shared" si="9"/>
        <v/>
      </c>
      <c r="S33" s="15" t="str">
        <f t="shared" si="9"/>
        <v/>
      </c>
      <c r="T33" s="15">
        <f t="shared" si="4"/>
        <v>0</v>
      </c>
    </row>
    <row r="34" spans="3:20" ht="15.75" customHeight="1" x14ac:dyDescent="0.3">
      <c r="C34" s="16" t="str">
        <f t="shared" si="2"/>
        <v>Customer 7</v>
      </c>
      <c r="D34" s="12" t="str">
        <f t="shared" si="2"/>
        <v>July '23</v>
      </c>
      <c r="E34" s="13">
        <f t="shared" si="2"/>
        <v>76000</v>
      </c>
      <c r="F34" s="13" t="str">
        <f t="shared" si="2"/>
        <v>Yes</v>
      </c>
      <c r="G34" s="49">
        <f t="shared" si="2"/>
        <v>50</v>
      </c>
      <c r="H34" s="15">
        <f t="shared" ref="H34:S34" si="10">IF(ISBLANK(H19),"", (IF((H19/$G34)&lt;H$12, 0, 1)))</f>
        <v>0</v>
      </c>
      <c r="I34" s="15">
        <f t="shared" si="10"/>
        <v>0</v>
      </c>
      <c r="J34" s="15">
        <f t="shared" si="10"/>
        <v>0</v>
      </c>
      <c r="K34" s="15">
        <f t="shared" si="10"/>
        <v>0</v>
      </c>
      <c r="L34" s="15" t="str">
        <f t="shared" si="10"/>
        <v/>
      </c>
      <c r="M34" s="15" t="str">
        <f t="shared" si="10"/>
        <v/>
      </c>
      <c r="N34" s="15" t="str">
        <f t="shared" si="10"/>
        <v/>
      </c>
      <c r="O34" s="15" t="str">
        <f t="shared" si="10"/>
        <v/>
      </c>
      <c r="P34" s="15" t="str">
        <f t="shared" si="10"/>
        <v/>
      </c>
      <c r="Q34" s="15" t="str">
        <f t="shared" si="10"/>
        <v/>
      </c>
      <c r="R34" s="15" t="str">
        <f t="shared" si="10"/>
        <v/>
      </c>
      <c r="S34" s="15" t="str">
        <f t="shared" si="10"/>
        <v/>
      </c>
      <c r="T34" s="15">
        <f t="shared" si="4"/>
        <v>0</v>
      </c>
    </row>
    <row r="35" spans="3:20" ht="15.75" customHeight="1" x14ac:dyDescent="0.3">
      <c r="C35" s="16" t="str">
        <f t="shared" si="2"/>
        <v>Customer 8</v>
      </c>
      <c r="D35" s="12" t="str">
        <f t="shared" si="2"/>
        <v>July '23</v>
      </c>
      <c r="E35" s="13">
        <f t="shared" si="2"/>
        <v>90000</v>
      </c>
      <c r="F35" s="13" t="str">
        <f t="shared" si="2"/>
        <v>Yes</v>
      </c>
      <c r="G35" s="49">
        <f t="shared" si="2"/>
        <v>40</v>
      </c>
      <c r="H35" s="15">
        <f t="shared" ref="H35:S35" si="11">IF(ISBLANK(H20),"", (IF((H20/$G35)&lt;H$12, 0, 1)))</f>
        <v>1</v>
      </c>
      <c r="I35" s="15">
        <f t="shared" si="11"/>
        <v>1</v>
      </c>
      <c r="J35" s="15">
        <f t="shared" si="11"/>
        <v>0</v>
      </c>
      <c r="K35" s="15">
        <f t="shared" si="11"/>
        <v>1</v>
      </c>
      <c r="L35" s="15" t="str">
        <f t="shared" si="11"/>
        <v/>
      </c>
      <c r="M35" s="15" t="str">
        <f t="shared" si="11"/>
        <v/>
      </c>
      <c r="N35" s="15" t="str">
        <f t="shared" si="11"/>
        <v/>
      </c>
      <c r="O35" s="15" t="str">
        <f t="shared" si="11"/>
        <v/>
      </c>
      <c r="P35" s="15" t="str">
        <f t="shared" si="11"/>
        <v/>
      </c>
      <c r="Q35" s="15" t="str">
        <f t="shared" si="11"/>
        <v/>
      </c>
      <c r="R35" s="15" t="str">
        <f t="shared" si="11"/>
        <v/>
      </c>
      <c r="S35" s="15" t="str">
        <f t="shared" si="11"/>
        <v/>
      </c>
      <c r="T35" s="15">
        <f t="shared" si="4"/>
        <v>1</v>
      </c>
    </row>
    <row r="36" spans="3:20" ht="15.75" customHeight="1" x14ac:dyDescent="0.3">
      <c r="C36" s="16" t="str">
        <f t="shared" si="2"/>
        <v>Customer 9</v>
      </c>
      <c r="D36" s="12" t="str">
        <f t="shared" si="2"/>
        <v>Aug '23</v>
      </c>
      <c r="E36" s="13">
        <f t="shared" si="2"/>
        <v>45000</v>
      </c>
      <c r="F36" s="13" t="str">
        <f t="shared" si="2"/>
        <v>Yes</v>
      </c>
      <c r="G36" s="49">
        <f t="shared" si="2"/>
        <v>60</v>
      </c>
      <c r="H36" s="15">
        <f t="shared" ref="H36:S36" si="12">IF(ISBLANK(H21),"", (IF((H21/$G36)&lt;H$12, 0, 1)))</f>
        <v>0</v>
      </c>
      <c r="I36" s="15">
        <f t="shared" si="12"/>
        <v>0</v>
      </c>
      <c r="J36" s="15">
        <f t="shared" si="12"/>
        <v>1</v>
      </c>
      <c r="K36" s="15" t="str">
        <f t="shared" si="12"/>
        <v/>
      </c>
      <c r="L36" s="15" t="str">
        <f t="shared" si="12"/>
        <v/>
      </c>
      <c r="M36" s="15" t="str">
        <f t="shared" si="12"/>
        <v/>
      </c>
      <c r="N36" s="15" t="str">
        <f t="shared" si="12"/>
        <v/>
      </c>
      <c r="O36" s="15" t="str">
        <f t="shared" si="12"/>
        <v/>
      </c>
      <c r="P36" s="15" t="str">
        <f t="shared" si="12"/>
        <v/>
      </c>
      <c r="Q36" s="15" t="str">
        <f t="shared" si="12"/>
        <v/>
      </c>
      <c r="R36" s="15" t="str">
        <f t="shared" si="12"/>
        <v/>
      </c>
      <c r="S36" s="15" t="str">
        <f t="shared" si="12"/>
        <v/>
      </c>
      <c r="T36" s="15">
        <f t="shared" si="4"/>
        <v>1</v>
      </c>
    </row>
    <row r="37" spans="3:20" ht="15.75" customHeight="1" x14ac:dyDescent="0.3">
      <c r="C37" s="16" t="str">
        <f t="shared" si="2"/>
        <v>Customer 10</v>
      </c>
      <c r="D37" s="12" t="str">
        <f t="shared" si="2"/>
        <v>Aug '24</v>
      </c>
      <c r="E37" s="13">
        <f t="shared" si="2"/>
        <v>55000</v>
      </c>
      <c r="F37" s="13" t="str">
        <f t="shared" si="2"/>
        <v>Yes</v>
      </c>
      <c r="G37" s="49">
        <f t="shared" si="2"/>
        <v>75</v>
      </c>
      <c r="H37" s="15">
        <f t="shared" ref="H37:S37" si="13">IF(ISBLANK(H22),"", (IF((H22/$G37)&lt;H$12, 0, 1)))</f>
        <v>0</v>
      </c>
      <c r="I37" s="15">
        <f t="shared" si="13"/>
        <v>0</v>
      </c>
      <c r="J37" s="15">
        <f t="shared" si="13"/>
        <v>0</v>
      </c>
      <c r="K37" s="15" t="str">
        <f t="shared" si="13"/>
        <v/>
      </c>
      <c r="L37" s="15" t="str">
        <f t="shared" si="13"/>
        <v/>
      </c>
      <c r="M37" s="15" t="str">
        <f t="shared" si="13"/>
        <v/>
      </c>
      <c r="N37" s="15" t="str">
        <f t="shared" si="13"/>
        <v/>
      </c>
      <c r="O37" s="15" t="str">
        <f t="shared" si="13"/>
        <v/>
      </c>
      <c r="P37" s="15" t="str">
        <f t="shared" si="13"/>
        <v/>
      </c>
      <c r="Q37" s="15" t="str">
        <f t="shared" si="13"/>
        <v/>
      </c>
      <c r="R37" s="15" t="str">
        <f t="shared" si="13"/>
        <v/>
      </c>
      <c r="S37" s="15" t="str">
        <f t="shared" si="13"/>
        <v/>
      </c>
      <c r="T37" s="15">
        <f t="shared" si="4"/>
        <v>0</v>
      </c>
    </row>
    <row r="38" spans="3:20" ht="15.75" customHeight="1" x14ac:dyDescent="0.3"/>
    <row r="39" spans="3:20" ht="15.75" customHeight="1" x14ac:dyDescent="0.3">
      <c r="R39" s="4"/>
      <c r="S39" s="34" t="s">
        <v>49</v>
      </c>
      <c r="T39" s="35">
        <f>SUM(T28:T37)/COUNT(T28:T37)</f>
        <v>0.6</v>
      </c>
    </row>
    <row r="40" spans="3:20" ht="15.75" customHeight="1" x14ac:dyDescent="0.3">
      <c r="S40" s="34" t="s">
        <v>50</v>
      </c>
      <c r="T40" s="36">
        <v>0.7</v>
      </c>
    </row>
    <row r="41" spans="3:20" ht="15.75" customHeight="1" x14ac:dyDescent="0.3"/>
    <row r="42" spans="3:20" ht="15.75" customHeight="1" x14ac:dyDescent="0.3"/>
    <row r="43" spans="3:20" ht="15.75" customHeight="1" x14ac:dyDescent="0.3"/>
    <row r="44" spans="3:20" ht="15.75" customHeight="1" x14ac:dyDescent="0.3"/>
    <row r="45" spans="3:20" ht="15.75" customHeight="1" x14ac:dyDescent="0.3"/>
    <row r="46" spans="3:20" ht="15.75" customHeight="1" x14ac:dyDescent="0.3"/>
    <row r="47" spans="3:20" ht="15.75" customHeight="1" x14ac:dyDescent="0.3"/>
    <row r="48" spans="3:2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P6:R6"/>
    <mergeCell ref="H10:S10"/>
    <mergeCell ref="H25:S25"/>
  </mergeCells>
  <conditionalFormatting sqref="H28:T37">
    <cfRule type="containsText" dxfId="1" priority="1" stopIfTrue="1" operator="containsText" text="0">
      <formula>NOT(ISERROR(SEARCH("0",H28)))</formula>
    </cfRule>
    <cfRule type="containsText" dxfId="0" priority="2" stopIfTrue="1" operator="containsText" text="1">
      <formula>NOT(ISERROR(SEARCH("1",H28)))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showGridLines="0" workbookViewId="0"/>
  </sheetViews>
  <sheetFormatPr defaultColWidth="14.44140625" defaultRowHeight="15" customHeight="1" x14ac:dyDescent="0.3"/>
  <cols>
    <col min="1" max="1" width="1.6640625" customWidth="1"/>
    <col min="2" max="2" width="2.33203125" customWidth="1"/>
    <col min="3" max="3" width="9.44140625" customWidth="1"/>
    <col min="4" max="4" width="16.44140625" customWidth="1"/>
    <col min="5" max="17" width="10.6640625" customWidth="1"/>
    <col min="18" max="26" width="8.6640625" customWidth="1"/>
  </cols>
  <sheetData>
    <row r="1" spans="1:18" ht="14.4" x14ac:dyDescent="0.3">
      <c r="A1" s="55" t="s">
        <v>86</v>
      </c>
      <c r="B1" s="5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8" ht="14.4" x14ac:dyDescent="0.3">
      <c r="A2" s="3" t="s">
        <v>55</v>
      </c>
    </row>
    <row r="4" spans="1:18" ht="14.4" x14ac:dyDescent="0.3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8" ht="14.4" x14ac:dyDescent="0.3">
      <c r="B5" s="3" t="s">
        <v>4</v>
      </c>
      <c r="C5" s="3" t="s">
        <v>56</v>
      </c>
    </row>
    <row r="6" spans="1:18" ht="14.4" x14ac:dyDescent="0.3">
      <c r="B6" s="3" t="s">
        <v>4</v>
      </c>
      <c r="C6" s="3" t="s">
        <v>7</v>
      </c>
    </row>
    <row r="8" spans="1:18" ht="14.4" x14ac:dyDescent="0.3">
      <c r="A8" s="47" t="s">
        <v>10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</row>
    <row r="9" spans="1:18" ht="14.4" x14ac:dyDescent="0.3">
      <c r="D9" s="5" t="s">
        <v>57</v>
      </c>
      <c r="E9" s="6" t="s">
        <v>58</v>
      </c>
      <c r="F9" s="6" t="s">
        <v>59</v>
      </c>
      <c r="G9" s="6" t="s">
        <v>60</v>
      </c>
      <c r="H9" s="6" t="s">
        <v>61</v>
      </c>
      <c r="I9" s="6" t="s">
        <v>62</v>
      </c>
      <c r="J9" s="6" t="s">
        <v>63</v>
      </c>
      <c r="K9" s="6" t="s">
        <v>64</v>
      </c>
      <c r="L9" s="6" t="s">
        <v>65</v>
      </c>
      <c r="M9" s="6" t="s">
        <v>66</v>
      </c>
      <c r="N9" s="6" t="s">
        <v>67</v>
      </c>
      <c r="O9" s="6" t="s">
        <v>68</v>
      </c>
      <c r="P9" s="6" t="s">
        <v>69</v>
      </c>
      <c r="Q9" s="6" t="s">
        <v>70</v>
      </c>
    </row>
    <row r="10" spans="1:18" ht="14.4" x14ac:dyDescent="0.3">
      <c r="C10" s="7">
        <v>1</v>
      </c>
      <c r="D10" s="8" t="s">
        <v>71</v>
      </c>
      <c r="E10" s="17">
        <v>24</v>
      </c>
      <c r="F10" s="10">
        <v>2</v>
      </c>
      <c r="G10" s="10">
        <v>3</v>
      </c>
      <c r="H10" s="10">
        <v>3</v>
      </c>
      <c r="I10" s="10">
        <v>3</v>
      </c>
      <c r="J10" s="10">
        <v>4</v>
      </c>
      <c r="K10" s="10">
        <v>4</v>
      </c>
      <c r="L10" s="10">
        <v>5</v>
      </c>
      <c r="M10" s="10">
        <v>5</v>
      </c>
      <c r="N10" s="10">
        <v>5</v>
      </c>
      <c r="O10" s="10">
        <v>6</v>
      </c>
      <c r="P10" s="10">
        <v>6</v>
      </c>
      <c r="Q10" s="10">
        <v>7</v>
      </c>
      <c r="R10" s="3" t="s">
        <v>72</v>
      </c>
    </row>
    <row r="11" spans="1:18" ht="14.4" x14ac:dyDescent="0.3">
      <c r="C11" s="16">
        <f t="shared" ref="C11:C21" si="0">C10+1</f>
        <v>2</v>
      </c>
      <c r="D11" s="31" t="s">
        <v>73</v>
      </c>
      <c r="E11" s="18">
        <v>26</v>
      </c>
      <c r="F11" s="11">
        <v>4</v>
      </c>
      <c r="G11" s="11">
        <v>4</v>
      </c>
      <c r="H11" s="11">
        <v>5</v>
      </c>
      <c r="I11" s="11">
        <v>6</v>
      </c>
      <c r="J11" s="11">
        <v>7</v>
      </c>
      <c r="K11" s="11">
        <v>9</v>
      </c>
      <c r="L11" s="11">
        <v>12</v>
      </c>
      <c r="M11" s="11">
        <v>12</v>
      </c>
      <c r="N11" s="11">
        <v>15</v>
      </c>
      <c r="O11" s="11">
        <v>16</v>
      </c>
      <c r="P11" s="11">
        <v>8</v>
      </c>
      <c r="Q11" s="11"/>
    </row>
    <row r="12" spans="1:18" ht="14.4" x14ac:dyDescent="0.3">
      <c r="C12" s="16">
        <f t="shared" si="0"/>
        <v>3</v>
      </c>
      <c r="D12" s="31" t="s">
        <v>74</v>
      </c>
      <c r="E12" s="18">
        <v>29</v>
      </c>
      <c r="F12" s="11">
        <v>2</v>
      </c>
      <c r="G12" s="11">
        <v>3</v>
      </c>
      <c r="H12" s="11">
        <v>4</v>
      </c>
      <c r="I12" s="11">
        <v>5</v>
      </c>
      <c r="J12" s="11">
        <v>7</v>
      </c>
      <c r="K12" s="11">
        <v>8</v>
      </c>
      <c r="L12" s="11">
        <v>10</v>
      </c>
      <c r="M12" s="11">
        <v>10</v>
      </c>
      <c r="N12" s="11">
        <v>11</v>
      </c>
      <c r="O12" s="11">
        <v>12</v>
      </c>
      <c r="P12" s="11"/>
      <c r="Q12" s="11"/>
    </row>
    <row r="13" spans="1:18" ht="14.4" x14ac:dyDescent="0.3">
      <c r="C13" s="16">
        <f t="shared" si="0"/>
        <v>4</v>
      </c>
      <c r="D13" s="31" t="s">
        <v>75</v>
      </c>
      <c r="E13" s="18">
        <v>38</v>
      </c>
      <c r="F13" s="11">
        <v>2</v>
      </c>
      <c r="G13" s="11">
        <v>3</v>
      </c>
      <c r="H13" s="11">
        <v>4</v>
      </c>
      <c r="I13" s="11">
        <v>5</v>
      </c>
      <c r="J13" s="11">
        <v>7</v>
      </c>
      <c r="K13" s="11">
        <v>8</v>
      </c>
      <c r="L13" s="11">
        <v>10</v>
      </c>
      <c r="M13" s="11">
        <v>10</v>
      </c>
      <c r="N13" s="11">
        <v>25</v>
      </c>
      <c r="O13" s="11"/>
      <c r="P13" s="11"/>
      <c r="Q13" s="11"/>
    </row>
    <row r="14" spans="1:18" ht="14.4" x14ac:dyDescent="0.3">
      <c r="C14" s="16">
        <f t="shared" si="0"/>
        <v>5</v>
      </c>
      <c r="D14" s="31" t="s">
        <v>76</v>
      </c>
      <c r="E14" s="18">
        <v>46</v>
      </c>
      <c r="F14" s="11">
        <v>2</v>
      </c>
      <c r="G14" s="11">
        <v>17</v>
      </c>
      <c r="H14" s="11">
        <v>20</v>
      </c>
      <c r="I14" s="11">
        <v>22</v>
      </c>
      <c r="J14" s="11">
        <v>25</v>
      </c>
      <c r="K14" s="11">
        <v>27</v>
      </c>
      <c r="L14" s="11">
        <v>28</v>
      </c>
      <c r="M14" s="11">
        <v>30</v>
      </c>
      <c r="N14" s="11"/>
      <c r="O14" s="11"/>
      <c r="P14" s="11"/>
      <c r="Q14" s="11"/>
    </row>
    <row r="15" spans="1:18" ht="14.4" x14ac:dyDescent="0.3">
      <c r="C15" s="16">
        <f t="shared" si="0"/>
        <v>6</v>
      </c>
      <c r="D15" s="31" t="s">
        <v>77</v>
      </c>
      <c r="E15" s="18">
        <v>41</v>
      </c>
      <c r="F15" s="11">
        <v>5</v>
      </c>
      <c r="G15" s="11">
        <v>15</v>
      </c>
      <c r="H15" s="11">
        <v>16</v>
      </c>
      <c r="I15" s="11">
        <v>22</v>
      </c>
      <c r="J15" s="11">
        <v>26</v>
      </c>
      <c r="K15" s="11">
        <v>27</v>
      </c>
      <c r="L15" s="11">
        <v>30</v>
      </c>
      <c r="M15" s="11"/>
      <c r="N15" s="11"/>
      <c r="O15" s="11"/>
      <c r="P15" s="11"/>
      <c r="Q15" s="11"/>
    </row>
    <row r="16" spans="1:18" ht="14.4" x14ac:dyDescent="0.3">
      <c r="C16" s="16">
        <f t="shared" si="0"/>
        <v>7</v>
      </c>
      <c r="D16" s="31" t="s">
        <v>78</v>
      </c>
      <c r="E16" s="18">
        <v>37</v>
      </c>
      <c r="F16" s="11">
        <v>2</v>
      </c>
      <c r="G16" s="11">
        <v>3</v>
      </c>
      <c r="H16" s="11">
        <v>4</v>
      </c>
      <c r="I16" s="11">
        <v>5</v>
      </c>
      <c r="J16" s="11">
        <v>7</v>
      </c>
      <c r="K16" s="11">
        <v>28</v>
      </c>
      <c r="L16" s="11"/>
      <c r="M16" s="11"/>
      <c r="N16" s="11"/>
      <c r="O16" s="11"/>
      <c r="P16" s="11"/>
      <c r="Q16" s="11"/>
    </row>
    <row r="17" spans="1:18" ht="14.4" x14ac:dyDescent="0.3">
      <c r="C17" s="16">
        <f t="shared" si="0"/>
        <v>8</v>
      </c>
      <c r="D17" s="31" t="s">
        <v>79</v>
      </c>
      <c r="E17" s="18">
        <v>39</v>
      </c>
      <c r="F17" s="11">
        <v>2</v>
      </c>
      <c r="G17" s="11">
        <v>3</v>
      </c>
      <c r="H17" s="11">
        <v>4</v>
      </c>
      <c r="I17" s="11">
        <v>5</v>
      </c>
      <c r="J17" s="11">
        <v>32</v>
      </c>
      <c r="K17" s="11"/>
      <c r="L17" s="11"/>
      <c r="M17" s="11"/>
      <c r="N17" s="11"/>
      <c r="O17" s="11"/>
      <c r="P17" s="11"/>
      <c r="Q17" s="11"/>
    </row>
    <row r="18" spans="1:18" ht="14.4" x14ac:dyDescent="0.3">
      <c r="C18" s="16">
        <f t="shared" si="0"/>
        <v>9</v>
      </c>
      <c r="D18" s="31" t="s">
        <v>80</v>
      </c>
      <c r="E18" s="18">
        <v>50</v>
      </c>
      <c r="F18" s="11">
        <v>2</v>
      </c>
      <c r="G18" s="11">
        <v>28</v>
      </c>
      <c r="H18" s="11">
        <v>36</v>
      </c>
      <c r="I18" s="11">
        <v>45</v>
      </c>
      <c r="J18" s="11"/>
      <c r="K18" s="11"/>
      <c r="L18" s="11"/>
      <c r="M18" s="11"/>
      <c r="N18" s="11"/>
      <c r="O18" s="11"/>
      <c r="P18" s="11"/>
      <c r="Q18" s="11"/>
    </row>
    <row r="19" spans="1:18" ht="14.4" x14ac:dyDescent="0.3">
      <c r="C19" s="16">
        <f t="shared" si="0"/>
        <v>10</v>
      </c>
      <c r="D19" s="31" t="s">
        <v>81</v>
      </c>
      <c r="E19" s="18">
        <v>55</v>
      </c>
      <c r="F19" s="11">
        <v>2</v>
      </c>
      <c r="G19" s="11">
        <v>30</v>
      </c>
      <c r="H19" s="11">
        <v>38</v>
      </c>
      <c r="I19" s="11"/>
      <c r="J19" s="11"/>
      <c r="K19" s="11"/>
      <c r="L19" s="11"/>
      <c r="M19" s="11"/>
      <c r="N19" s="11"/>
      <c r="O19" s="11"/>
      <c r="P19" s="11"/>
      <c r="Q19" s="11"/>
    </row>
    <row r="20" spans="1:18" ht="14.4" x14ac:dyDescent="0.3">
      <c r="C20" s="16">
        <f t="shared" si="0"/>
        <v>11</v>
      </c>
      <c r="D20" s="31" t="s">
        <v>82</v>
      </c>
      <c r="E20" s="18">
        <v>48</v>
      </c>
      <c r="F20" s="11">
        <v>5</v>
      </c>
      <c r="G20" s="11">
        <v>36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8" ht="15.75" customHeight="1" x14ac:dyDescent="0.3">
      <c r="C21" s="16">
        <f t="shared" si="0"/>
        <v>12</v>
      </c>
      <c r="D21" s="31" t="s">
        <v>83</v>
      </c>
      <c r="E21" s="18">
        <v>49</v>
      </c>
      <c r="F21" s="18">
        <v>5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r="22" spans="1:18" ht="15.75" customHeight="1" x14ac:dyDescent="0.3"/>
    <row r="23" spans="1:18" ht="15.75" customHeight="1" x14ac:dyDescent="0.3"/>
    <row r="24" spans="1:18" ht="15.75" customHeight="1" x14ac:dyDescent="0.3">
      <c r="A24" s="47" t="s">
        <v>47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</row>
    <row r="25" spans="1:18" ht="15.75" customHeight="1" x14ac:dyDescent="0.3">
      <c r="E25" s="6" t="str">
        <f t="shared" ref="E25:Q25" si="1">E9</f>
        <v>Quarter 0</v>
      </c>
      <c r="F25" s="6" t="str">
        <f t="shared" si="1"/>
        <v>Quarter 1</v>
      </c>
      <c r="G25" s="6" t="str">
        <f t="shared" si="1"/>
        <v>Quarter 2</v>
      </c>
      <c r="H25" s="6" t="str">
        <f t="shared" si="1"/>
        <v>Quarter 3</v>
      </c>
      <c r="I25" s="6" t="str">
        <f t="shared" si="1"/>
        <v>Quarter 4</v>
      </c>
      <c r="J25" s="6" t="str">
        <f t="shared" si="1"/>
        <v>Quarter 5</v>
      </c>
      <c r="K25" s="6" t="str">
        <f t="shared" si="1"/>
        <v>Quarter 6</v>
      </c>
      <c r="L25" s="6" t="str">
        <f t="shared" si="1"/>
        <v>Quarter 7</v>
      </c>
      <c r="M25" s="6" t="str">
        <f t="shared" si="1"/>
        <v>Quarter 8</v>
      </c>
      <c r="N25" s="6" t="str">
        <f t="shared" si="1"/>
        <v>Quarter 9</v>
      </c>
      <c r="O25" s="6" t="str">
        <f t="shared" si="1"/>
        <v>Quarter 10</v>
      </c>
      <c r="P25" s="6" t="str">
        <f t="shared" si="1"/>
        <v>Quarter 11</v>
      </c>
      <c r="Q25" s="6" t="str">
        <f t="shared" si="1"/>
        <v>Quarter 12</v>
      </c>
    </row>
    <row r="26" spans="1:18" ht="15.75" customHeight="1" x14ac:dyDescent="0.3">
      <c r="C26" s="7">
        <f t="shared" ref="C26:E26" si="2">C10</f>
        <v>1</v>
      </c>
      <c r="D26" s="12" t="str">
        <f t="shared" si="2"/>
        <v>Q1 2021</v>
      </c>
      <c r="E26" s="19">
        <f t="shared" si="2"/>
        <v>24</v>
      </c>
      <c r="F26" s="20">
        <f t="shared" ref="F26:Q26" si="3">F10/$E26</f>
        <v>8.3333333333333329E-2</v>
      </c>
      <c r="G26" s="21">
        <f t="shared" si="3"/>
        <v>0.125</v>
      </c>
      <c r="H26" s="21">
        <f t="shared" si="3"/>
        <v>0.125</v>
      </c>
      <c r="I26" s="21">
        <f t="shared" si="3"/>
        <v>0.125</v>
      </c>
      <c r="J26" s="21">
        <f t="shared" si="3"/>
        <v>0.16666666666666666</v>
      </c>
      <c r="K26" s="21">
        <f t="shared" si="3"/>
        <v>0.16666666666666666</v>
      </c>
      <c r="L26" s="21">
        <f t="shared" si="3"/>
        <v>0.20833333333333334</v>
      </c>
      <c r="M26" s="21">
        <f t="shared" si="3"/>
        <v>0.20833333333333334</v>
      </c>
      <c r="N26" s="21">
        <f t="shared" si="3"/>
        <v>0.20833333333333334</v>
      </c>
      <c r="O26" s="21">
        <f t="shared" si="3"/>
        <v>0.25</v>
      </c>
      <c r="P26" s="21">
        <f t="shared" si="3"/>
        <v>0.25</v>
      </c>
      <c r="Q26" s="21">
        <f t="shared" si="3"/>
        <v>0.29166666666666669</v>
      </c>
      <c r="R26" s="3" t="s">
        <v>84</v>
      </c>
    </row>
    <row r="27" spans="1:18" ht="15.75" customHeight="1" x14ac:dyDescent="0.3">
      <c r="C27" s="16">
        <f t="shared" ref="C27:E27" si="4">C11</f>
        <v>2</v>
      </c>
      <c r="D27" s="22" t="str">
        <f t="shared" si="4"/>
        <v>Q2 2021</v>
      </c>
      <c r="E27" s="23">
        <f t="shared" si="4"/>
        <v>26</v>
      </c>
      <c r="F27" s="24">
        <f t="shared" ref="F27:P27" si="5">F11/$E27</f>
        <v>0.15384615384615385</v>
      </c>
      <c r="G27" s="25">
        <f t="shared" si="5"/>
        <v>0.15384615384615385</v>
      </c>
      <c r="H27" s="25">
        <f t="shared" si="5"/>
        <v>0.19230769230769232</v>
      </c>
      <c r="I27" s="25">
        <f t="shared" si="5"/>
        <v>0.23076923076923078</v>
      </c>
      <c r="J27" s="25">
        <f t="shared" si="5"/>
        <v>0.26923076923076922</v>
      </c>
      <c r="K27" s="25">
        <f t="shared" si="5"/>
        <v>0.34615384615384615</v>
      </c>
      <c r="L27" s="25">
        <f t="shared" si="5"/>
        <v>0.46153846153846156</v>
      </c>
      <c r="M27" s="25">
        <f t="shared" si="5"/>
        <v>0.46153846153846156</v>
      </c>
      <c r="N27" s="25">
        <f t="shared" si="5"/>
        <v>0.57692307692307687</v>
      </c>
      <c r="O27" s="25">
        <f t="shared" si="5"/>
        <v>0.61538461538461542</v>
      </c>
      <c r="P27" s="25">
        <f t="shared" si="5"/>
        <v>0.30769230769230771</v>
      </c>
      <c r="Q27" s="25"/>
    </row>
    <row r="28" spans="1:18" ht="15.75" customHeight="1" x14ac:dyDescent="0.3">
      <c r="C28" s="16">
        <f t="shared" ref="C28:E28" si="6">C12</f>
        <v>3</v>
      </c>
      <c r="D28" s="22" t="str">
        <f t="shared" si="6"/>
        <v>Q3 2021</v>
      </c>
      <c r="E28" s="23">
        <f t="shared" si="6"/>
        <v>29</v>
      </c>
      <c r="F28" s="24">
        <f t="shared" ref="F28:O28" si="7">F12/$E28</f>
        <v>6.8965517241379309E-2</v>
      </c>
      <c r="G28" s="25">
        <f t="shared" si="7"/>
        <v>0.10344827586206896</v>
      </c>
      <c r="H28" s="25">
        <f t="shared" si="7"/>
        <v>0.13793103448275862</v>
      </c>
      <c r="I28" s="25">
        <f t="shared" si="7"/>
        <v>0.17241379310344829</v>
      </c>
      <c r="J28" s="25">
        <f t="shared" si="7"/>
        <v>0.2413793103448276</v>
      </c>
      <c r="K28" s="25">
        <f t="shared" si="7"/>
        <v>0.27586206896551724</v>
      </c>
      <c r="L28" s="25">
        <f t="shared" si="7"/>
        <v>0.34482758620689657</v>
      </c>
      <c r="M28" s="25">
        <f t="shared" si="7"/>
        <v>0.34482758620689657</v>
      </c>
      <c r="N28" s="25">
        <f t="shared" si="7"/>
        <v>0.37931034482758619</v>
      </c>
      <c r="O28" s="25">
        <f t="shared" si="7"/>
        <v>0.41379310344827586</v>
      </c>
      <c r="P28" s="25"/>
      <c r="Q28" s="25"/>
    </row>
    <row r="29" spans="1:18" ht="15.75" customHeight="1" x14ac:dyDescent="0.3">
      <c r="C29" s="16">
        <f t="shared" ref="C29:E29" si="8">C13</f>
        <v>4</v>
      </c>
      <c r="D29" s="22" t="str">
        <f t="shared" si="8"/>
        <v>Q4 2021</v>
      </c>
      <c r="E29" s="23">
        <f t="shared" si="8"/>
        <v>38</v>
      </c>
      <c r="F29" s="24">
        <f t="shared" ref="F29:N29" si="9">F13/$E29</f>
        <v>5.2631578947368418E-2</v>
      </c>
      <c r="G29" s="25">
        <f t="shared" si="9"/>
        <v>7.8947368421052627E-2</v>
      </c>
      <c r="H29" s="25">
        <f t="shared" si="9"/>
        <v>0.10526315789473684</v>
      </c>
      <c r="I29" s="25">
        <f t="shared" si="9"/>
        <v>0.13157894736842105</v>
      </c>
      <c r="J29" s="25">
        <f t="shared" si="9"/>
        <v>0.18421052631578946</v>
      </c>
      <c r="K29" s="25">
        <f t="shared" si="9"/>
        <v>0.21052631578947367</v>
      </c>
      <c r="L29" s="25">
        <f t="shared" si="9"/>
        <v>0.26315789473684209</v>
      </c>
      <c r="M29" s="25">
        <f t="shared" si="9"/>
        <v>0.26315789473684209</v>
      </c>
      <c r="N29" s="25">
        <f t="shared" si="9"/>
        <v>0.65789473684210531</v>
      </c>
      <c r="O29" s="25"/>
      <c r="P29" s="25"/>
      <c r="Q29" s="25"/>
    </row>
    <row r="30" spans="1:18" ht="15.75" customHeight="1" x14ac:dyDescent="0.3">
      <c r="C30" s="16">
        <f t="shared" ref="C30:E30" si="10">C14</f>
        <v>5</v>
      </c>
      <c r="D30" s="22" t="str">
        <f t="shared" si="10"/>
        <v>Q1 2022</v>
      </c>
      <c r="E30" s="23">
        <f t="shared" si="10"/>
        <v>46</v>
      </c>
      <c r="F30" s="24">
        <f t="shared" ref="F30:M30" si="11">F14/$E30</f>
        <v>4.3478260869565216E-2</v>
      </c>
      <c r="G30" s="25">
        <f t="shared" si="11"/>
        <v>0.36956521739130432</v>
      </c>
      <c r="H30" s="25">
        <f t="shared" si="11"/>
        <v>0.43478260869565216</v>
      </c>
      <c r="I30" s="25">
        <f t="shared" si="11"/>
        <v>0.47826086956521741</v>
      </c>
      <c r="J30" s="25">
        <f t="shared" si="11"/>
        <v>0.54347826086956519</v>
      </c>
      <c r="K30" s="25">
        <f t="shared" si="11"/>
        <v>0.58695652173913049</v>
      </c>
      <c r="L30" s="25">
        <f t="shared" si="11"/>
        <v>0.60869565217391308</v>
      </c>
      <c r="M30" s="25">
        <f t="shared" si="11"/>
        <v>0.65217391304347827</v>
      </c>
      <c r="N30" s="25"/>
      <c r="O30" s="25"/>
      <c r="P30" s="25"/>
      <c r="Q30" s="25"/>
    </row>
    <row r="31" spans="1:18" ht="15.75" customHeight="1" x14ac:dyDescent="0.3">
      <c r="C31" s="16">
        <f t="shared" ref="C31:E31" si="12">C15</f>
        <v>6</v>
      </c>
      <c r="D31" s="22" t="str">
        <f t="shared" si="12"/>
        <v>Q2 2022</v>
      </c>
      <c r="E31" s="23">
        <f t="shared" si="12"/>
        <v>41</v>
      </c>
      <c r="F31" s="24">
        <f t="shared" ref="F31:L31" si="13">F15/$E31</f>
        <v>0.12195121951219512</v>
      </c>
      <c r="G31" s="25">
        <f t="shared" si="13"/>
        <v>0.36585365853658536</v>
      </c>
      <c r="H31" s="25">
        <f t="shared" si="13"/>
        <v>0.3902439024390244</v>
      </c>
      <c r="I31" s="25">
        <f t="shared" si="13"/>
        <v>0.53658536585365857</v>
      </c>
      <c r="J31" s="25">
        <f t="shared" si="13"/>
        <v>0.63414634146341464</v>
      </c>
      <c r="K31" s="25">
        <f t="shared" si="13"/>
        <v>0.65853658536585369</v>
      </c>
      <c r="L31" s="25">
        <f t="shared" si="13"/>
        <v>0.73170731707317072</v>
      </c>
      <c r="M31" s="25"/>
      <c r="N31" s="25"/>
      <c r="O31" s="25"/>
      <c r="P31" s="25"/>
      <c r="Q31" s="25"/>
    </row>
    <row r="32" spans="1:18" ht="15.75" customHeight="1" x14ac:dyDescent="0.3">
      <c r="C32" s="16">
        <f t="shared" ref="C32:D37" si="14">C16</f>
        <v>7</v>
      </c>
      <c r="D32" s="22" t="str">
        <f t="shared" si="14"/>
        <v>Q3 2022</v>
      </c>
      <c r="E32" s="23">
        <f t="shared" ref="E32:E33" si="15">E16</f>
        <v>37</v>
      </c>
      <c r="F32" s="24">
        <f t="shared" ref="F32:K32" si="16">F16/$E32</f>
        <v>5.4054054054054057E-2</v>
      </c>
      <c r="G32" s="25">
        <f t="shared" si="16"/>
        <v>8.1081081081081086E-2</v>
      </c>
      <c r="H32" s="25">
        <f t="shared" si="16"/>
        <v>0.10810810810810811</v>
      </c>
      <c r="I32" s="25">
        <f t="shared" si="16"/>
        <v>0.13513513513513514</v>
      </c>
      <c r="J32" s="25">
        <f t="shared" si="16"/>
        <v>0.1891891891891892</v>
      </c>
      <c r="K32" s="25">
        <f t="shared" si="16"/>
        <v>0.7567567567567568</v>
      </c>
      <c r="L32" s="25"/>
      <c r="M32" s="25"/>
      <c r="N32" s="25"/>
      <c r="O32" s="25"/>
      <c r="P32" s="25"/>
      <c r="Q32" s="25"/>
    </row>
    <row r="33" spans="3:17" ht="15.75" customHeight="1" x14ac:dyDescent="0.3">
      <c r="C33" s="16">
        <f t="shared" si="14"/>
        <v>8</v>
      </c>
      <c r="D33" s="22" t="str">
        <f t="shared" si="14"/>
        <v>Q4 2022</v>
      </c>
      <c r="E33" s="23">
        <f t="shared" si="15"/>
        <v>39</v>
      </c>
      <c r="F33" s="24">
        <f t="shared" ref="F33:J33" si="17">F17/$E33</f>
        <v>5.128205128205128E-2</v>
      </c>
      <c r="G33" s="25">
        <f t="shared" si="17"/>
        <v>7.6923076923076927E-2</v>
      </c>
      <c r="H33" s="25">
        <f t="shared" si="17"/>
        <v>0.10256410256410256</v>
      </c>
      <c r="I33" s="25">
        <f t="shared" si="17"/>
        <v>0.12820512820512819</v>
      </c>
      <c r="J33" s="25">
        <f t="shared" si="17"/>
        <v>0.82051282051282048</v>
      </c>
      <c r="K33" s="25"/>
      <c r="L33" s="25"/>
      <c r="M33" s="25"/>
      <c r="N33" s="25"/>
      <c r="O33" s="25"/>
      <c r="P33" s="25"/>
      <c r="Q33" s="25"/>
    </row>
    <row r="34" spans="3:17" ht="15.75" customHeight="1" x14ac:dyDescent="0.3">
      <c r="C34" s="16">
        <f t="shared" si="14"/>
        <v>9</v>
      </c>
      <c r="D34" s="22" t="str">
        <f t="shared" si="14"/>
        <v>Q1 2023</v>
      </c>
      <c r="E34" s="23">
        <f t="shared" ref="E34" si="18">E18</f>
        <v>50</v>
      </c>
      <c r="F34" s="24">
        <f t="shared" ref="F34:I34" si="19">F18/$E34</f>
        <v>0.04</v>
      </c>
      <c r="G34" s="25">
        <f t="shared" si="19"/>
        <v>0.56000000000000005</v>
      </c>
      <c r="H34" s="25">
        <f t="shared" si="19"/>
        <v>0.72</v>
      </c>
      <c r="I34" s="25">
        <f t="shared" si="19"/>
        <v>0.9</v>
      </c>
      <c r="J34" s="25"/>
      <c r="K34" s="25"/>
      <c r="L34" s="25"/>
      <c r="M34" s="25"/>
      <c r="N34" s="25"/>
      <c r="O34" s="25"/>
      <c r="P34" s="25"/>
      <c r="Q34" s="25"/>
    </row>
    <row r="35" spans="3:17" ht="15.75" customHeight="1" x14ac:dyDescent="0.3">
      <c r="C35" s="16">
        <f t="shared" si="14"/>
        <v>10</v>
      </c>
      <c r="D35" s="22" t="str">
        <f t="shared" si="14"/>
        <v>Q2 2023</v>
      </c>
      <c r="E35" s="23">
        <f t="shared" ref="E35" si="20">E19</f>
        <v>55</v>
      </c>
      <c r="F35" s="24">
        <f t="shared" ref="F35:H35" si="21">F19/$E35</f>
        <v>3.6363636363636362E-2</v>
      </c>
      <c r="G35" s="25">
        <f t="shared" si="21"/>
        <v>0.54545454545454541</v>
      </c>
      <c r="H35" s="25">
        <f t="shared" si="21"/>
        <v>0.69090909090909092</v>
      </c>
      <c r="I35" s="25"/>
      <c r="J35" s="25"/>
      <c r="K35" s="25"/>
      <c r="L35" s="25"/>
      <c r="M35" s="25"/>
      <c r="N35" s="25"/>
      <c r="O35" s="25"/>
      <c r="P35" s="25"/>
      <c r="Q35" s="25"/>
    </row>
    <row r="36" spans="3:17" ht="15.75" customHeight="1" x14ac:dyDescent="0.3">
      <c r="C36" s="16">
        <f t="shared" si="14"/>
        <v>11</v>
      </c>
      <c r="D36" s="22" t="str">
        <f t="shared" si="14"/>
        <v>Q3 2023</v>
      </c>
      <c r="E36" s="23">
        <f t="shared" ref="E36" si="22">E20</f>
        <v>48</v>
      </c>
      <c r="F36" s="24">
        <f t="shared" ref="F36:G36" si="23">F20/$E36</f>
        <v>0.10416666666666667</v>
      </c>
      <c r="G36" s="25">
        <f t="shared" si="23"/>
        <v>0.75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</row>
    <row r="37" spans="3:17" ht="15.75" customHeight="1" x14ac:dyDescent="0.3">
      <c r="C37" s="26">
        <f t="shared" si="14"/>
        <v>12</v>
      </c>
      <c r="D37" s="22" t="str">
        <f t="shared" si="14"/>
        <v>Q4 2023</v>
      </c>
      <c r="E37" s="23">
        <f t="shared" ref="E37" si="24">E21</f>
        <v>49</v>
      </c>
      <c r="F37" s="25">
        <f>F21/$E37</f>
        <v>0.10204081632653061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</row>
    <row r="38" spans="3:17" ht="15.75" customHeight="1" x14ac:dyDescent="0.3"/>
    <row r="39" spans="3:17" ht="15.75" customHeight="1" x14ac:dyDescent="0.3"/>
    <row r="40" spans="3:17" ht="15.75" customHeight="1" x14ac:dyDescent="0.3"/>
    <row r="41" spans="3:17" ht="15.75" customHeight="1" x14ac:dyDescent="0.3"/>
    <row r="42" spans="3:17" ht="15.75" customHeight="1" x14ac:dyDescent="0.3"/>
    <row r="43" spans="3:17" ht="15.75" customHeight="1" x14ac:dyDescent="0.3"/>
    <row r="44" spans="3:17" ht="15.75" customHeight="1" x14ac:dyDescent="0.3"/>
    <row r="45" spans="3:17" ht="15.75" customHeight="1" x14ac:dyDescent="0.3"/>
    <row r="46" spans="3:17" ht="15.75" customHeight="1" x14ac:dyDescent="0.3"/>
    <row r="47" spans="3:17" ht="15.75" customHeight="1" x14ac:dyDescent="0.3"/>
    <row r="48" spans="3:1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F26:Q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percent" val="0"/>
        <cfvo type="percent" val="100"/>
        <color rgb="FFF7CAAC"/>
        <color rgb="FFC5E0B3"/>
      </colorScale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0"/>
  <sheetViews>
    <sheetView showGridLines="0" tabSelected="1" workbookViewId="0"/>
  </sheetViews>
  <sheetFormatPr defaultColWidth="14.44140625" defaultRowHeight="15" customHeight="1" x14ac:dyDescent="0.3"/>
  <cols>
    <col min="1" max="1" width="1.6640625" customWidth="1"/>
    <col min="2" max="2" width="2.33203125" customWidth="1"/>
    <col min="3" max="3" width="9.44140625" customWidth="1"/>
    <col min="4" max="4" width="16.44140625" customWidth="1"/>
    <col min="5" max="17" width="10.6640625" customWidth="1"/>
    <col min="18" max="26" width="8.6640625" customWidth="1"/>
  </cols>
  <sheetData>
    <row r="1" spans="1:18" ht="14.4" x14ac:dyDescent="0.3">
      <c r="A1" s="55" t="s">
        <v>86</v>
      </c>
      <c r="B1" s="5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8" ht="14.4" x14ac:dyDescent="0.3">
      <c r="A2" s="3" t="s">
        <v>0</v>
      </c>
    </row>
    <row r="4" spans="1:18" ht="14.4" x14ac:dyDescent="0.3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8" ht="14.4" x14ac:dyDescent="0.3">
      <c r="B5" s="3" t="s">
        <v>4</v>
      </c>
      <c r="C5" s="3" t="s">
        <v>5</v>
      </c>
    </row>
    <row r="6" spans="1:18" ht="14.4" x14ac:dyDescent="0.3">
      <c r="B6" s="3" t="s">
        <v>4</v>
      </c>
      <c r="C6" s="3" t="s">
        <v>7</v>
      </c>
    </row>
    <row r="8" spans="1:18" ht="14.4" x14ac:dyDescent="0.3">
      <c r="A8" s="47" t="s">
        <v>10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</row>
    <row r="9" spans="1:18" ht="14.4" x14ac:dyDescent="0.3">
      <c r="D9" s="5" t="s">
        <v>85</v>
      </c>
      <c r="E9" s="6">
        <v>0</v>
      </c>
      <c r="F9" s="6">
        <f t="shared" ref="F9:Q9" si="0">E9+1</f>
        <v>1</v>
      </c>
      <c r="G9" s="6">
        <f t="shared" si="0"/>
        <v>2</v>
      </c>
      <c r="H9" s="6">
        <f t="shared" si="0"/>
        <v>3</v>
      </c>
      <c r="I9" s="6">
        <f t="shared" si="0"/>
        <v>4</v>
      </c>
      <c r="J9" s="6">
        <f t="shared" si="0"/>
        <v>5</v>
      </c>
      <c r="K9" s="6">
        <f t="shared" si="0"/>
        <v>6</v>
      </c>
      <c r="L9" s="6">
        <f t="shared" si="0"/>
        <v>7</v>
      </c>
      <c r="M9" s="6">
        <f t="shared" si="0"/>
        <v>8</v>
      </c>
      <c r="N9" s="6">
        <f t="shared" si="0"/>
        <v>9</v>
      </c>
      <c r="O9" s="6">
        <f t="shared" si="0"/>
        <v>10</v>
      </c>
      <c r="P9" s="6">
        <f t="shared" si="0"/>
        <v>11</v>
      </c>
      <c r="Q9" s="6">
        <f t="shared" si="0"/>
        <v>12</v>
      </c>
    </row>
    <row r="10" spans="1:18" ht="14.4" x14ac:dyDescent="0.3">
      <c r="C10" s="7">
        <v>1</v>
      </c>
      <c r="D10" s="32">
        <v>44927</v>
      </c>
      <c r="E10" s="17">
        <v>24</v>
      </c>
      <c r="F10" s="10">
        <v>2</v>
      </c>
      <c r="G10" s="10">
        <v>3</v>
      </c>
      <c r="H10" s="10">
        <v>3</v>
      </c>
      <c r="I10" s="10">
        <v>3</v>
      </c>
      <c r="J10" s="10">
        <v>4</v>
      </c>
      <c r="K10" s="10">
        <v>4</v>
      </c>
      <c r="L10" s="10">
        <v>5</v>
      </c>
      <c r="M10" s="10">
        <v>5</v>
      </c>
      <c r="N10" s="10">
        <v>5</v>
      </c>
      <c r="O10" s="10">
        <v>6</v>
      </c>
      <c r="P10" s="10">
        <v>6</v>
      </c>
      <c r="Q10" s="10">
        <v>7</v>
      </c>
      <c r="R10" s="3" t="s">
        <v>72</v>
      </c>
    </row>
    <row r="11" spans="1:18" ht="14.4" x14ac:dyDescent="0.3">
      <c r="C11" s="16">
        <f t="shared" ref="C11:C21" si="1">C10+1</f>
        <v>2</v>
      </c>
      <c r="D11" s="33">
        <f t="shared" ref="D11:D21" si="2">EOMONTH(D10,1)</f>
        <v>44985</v>
      </c>
      <c r="E11" s="18">
        <v>26</v>
      </c>
      <c r="F11" s="11">
        <v>4</v>
      </c>
      <c r="G11" s="11">
        <v>4</v>
      </c>
      <c r="H11" s="11">
        <v>5</v>
      </c>
      <c r="I11" s="11">
        <v>6</v>
      </c>
      <c r="J11" s="11">
        <v>7</v>
      </c>
      <c r="K11" s="11">
        <v>9</v>
      </c>
      <c r="L11" s="11">
        <v>12</v>
      </c>
      <c r="M11" s="11">
        <v>12</v>
      </c>
      <c r="N11" s="11">
        <v>15</v>
      </c>
      <c r="O11" s="11">
        <v>16</v>
      </c>
      <c r="P11" s="11">
        <v>8</v>
      </c>
      <c r="Q11" s="11"/>
    </row>
    <row r="12" spans="1:18" ht="14.4" x14ac:dyDescent="0.3">
      <c r="C12" s="16">
        <f t="shared" si="1"/>
        <v>3</v>
      </c>
      <c r="D12" s="33">
        <f t="shared" si="2"/>
        <v>45016</v>
      </c>
      <c r="E12" s="18">
        <v>29</v>
      </c>
      <c r="F12" s="11">
        <v>2</v>
      </c>
      <c r="G12" s="11">
        <v>3</v>
      </c>
      <c r="H12" s="11">
        <v>4</v>
      </c>
      <c r="I12" s="11">
        <v>5</v>
      </c>
      <c r="J12" s="11">
        <v>7</v>
      </c>
      <c r="K12" s="11">
        <v>8</v>
      </c>
      <c r="L12" s="11">
        <v>10</v>
      </c>
      <c r="M12" s="11">
        <v>10</v>
      </c>
      <c r="N12" s="11">
        <v>11</v>
      </c>
      <c r="O12" s="11">
        <v>12</v>
      </c>
      <c r="P12" s="11"/>
      <c r="Q12" s="11"/>
    </row>
    <row r="13" spans="1:18" ht="14.4" x14ac:dyDescent="0.3">
      <c r="C13" s="16">
        <f t="shared" si="1"/>
        <v>4</v>
      </c>
      <c r="D13" s="33">
        <f t="shared" si="2"/>
        <v>45046</v>
      </c>
      <c r="E13" s="18">
        <v>38</v>
      </c>
      <c r="F13" s="11">
        <v>2</v>
      </c>
      <c r="G13" s="11">
        <v>3</v>
      </c>
      <c r="H13" s="11">
        <v>4</v>
      </c>
      <c r="I13" s="11">
        <v>5</v>
      </c>
      <c r="J13" s="11">
        <v>7</v>
      </c>
      <c r="K13" s="11">
        <v>8</v>
      </c>
      <c r="L13" s="11">
        <v>10</v>
      </c>
      <c r="M13" s="11">
        <v>10</v>
      </c>
      <c r="N13" s="11">
        <v>25</v>
      </c>
      <c r="O13" s="11"/>
      <c r="P13" s="11"/>
      <c r="Q13" s="11"/>
    </row>
    <row r="14" spans="1:18" ht="14.4" x14ac:dyDescent="0.3">
      <c r="C14" s="16">
        <f t="shared" si="1"/>
        <v>5</v>
      </c>
      <c r="D14" s="33">
        <f t="shared" si="2"/>
        <v>45077</v>
      </c>
      <c r="E14" s="18">
        <v>46</v>
      </c>
      <c r="F14" s="11">
        <v>2</v>
      </c>
      <c r="G14" s="11">
        <v>17</v>
      </c>
      <c r="H14" s="11">
        <v>20</v>
      </c>
      <c r="I14" s="11">
        <v>22</v>
      </c>
      <c r="J14" s="11">
        <v>25</v>
      </c>
      <c r="K14" s="11">
        <v>27</v>
      </c>
      <c r="L14" s="11">
        <v>28</v>
      </c>
      <c r="M14" s="11">
        <v>30</v>
      </c>
      <c r="N14" s="11"/>
      <c r="O14" s="11"/>
      <c r="P14" s="11"/>
      <c r="Q14" s="11"/>
    </row>
    <row r="15" spans="1:18" ht="14.4" x14ac:dyDescent="0.3">
      <c r="C15" s="16">
        <f t="shared" si="1"/>
        <v>6</v>
      </c>
      <c r="D15" s="33">
        <f t="shared" si="2"/>
        <v>45107</v>
      </c>
      <c r="E15" s="18">
        <v>41</v>
      </c>
      <c r="F15" s="11">
        <v>5</v>
      </c>
      <c r="G15" s="11">
        <v>15</v>
      </c>
      <c r="H15" s="11">
        <v>16</v>
      </c>
      <c r="I15" s="11">
        <v>22</v>
      </c>
      <c r="J15" s="11">
        <v>26</v>
      </c>
      <c r="K15" s="11">
        <v>27</v>
      </c>
      <c r="L15" s="11">
        <v>30</v>
      </c>
      <c r="M15" s="11"/>
      <c r="N15" s="11"/>
      <c r="O15" s="11"/>
      <c r="P15" s="11"/>
      <c r="Q15" s="11"/>
    </row>
    <row r="16" spans="1:18" ht="14.4" x14ac:dyDescent="0.3">
      <c r="C16" s="16">
        <f t="shared" si="1"/>
        <v>7</v>
      </c>
      <c r="D16" s="33">
        <f t="shared" si="2"/>
        <v>45138</v>
      </c>
      <c r="E16" s="18">
        <v>37</v>
      </c>
      <c r="F16" s="11">
        <v>2</v>
      </c>
      <c r="G16" s="11">
        <v>3</v>
      </c>
      <c r="H16" s="11">
        <v>4</v>
      </c>
      <c r="I16" s="11">
        <v>5</v>
      </c>
      <c r="J16" s="11">
        <v>7</v>
      </c>
      <c r="K16" s="11">
        <v>28</v>
      </c>
      <c r="L16" s="11"/>
      <c r="M16" s="11"/>
      <c r="N16" s="11"/>
      <c r="O16" s="11"/>
      <c r="P16" s="11"/>
      <c r="Q16" s="11"/>
    </row>
    <row r="17" spans="1:18" ht="14.4" x14ac:dyDescent="0.3">
      <c r="C17" s="16">
        <f t="shared" si="1"/>
        <v>8</v>
      </c>
      <c r="D17" s="33">
        <f t="shared" si="2"/>
        <v>45169</v>
      </c>
      <c r="E17" s="18">
        <v>39</v>
      </c>
      <c r="F17" s="11">
        <v>2</v>
      </c>
      <c r="G17" s="11">
        <v>3</v>
      </c>
      <c r="H17" s="11">
        <v>4</v>
      </c>
      <c r="I17" s="11">
        <v>5</v>
      </c>
      <c r="J17" s="11">
        <v>32</v>
      </c>
      <c r="K17" s="11"/>
      <c r="L17" s="11"/>
      <c r="M17" s="11"/>
      <c r="N17" s="11"/>
      <c r="O17" s="11"/>
      <c r="P17" s="11"/>
      <c r="Q17" s="11"/>
    </row>
    <row r="18" spans="1:18" ht="14.4" x14ac:dyDescent="0.3">
      <c r="C18" s="16">
        <f t="shared" si="1"/>
        <v>9</v>
      </c>
      <c r="D18" s="33">
        <f t="shared" si="2"/>
        <v>45199</v>
      </c>
      <c r="E18" s="18">
        <v>50</v>
      </c>
      <c r="F18" s="11">
        <v>2</v>
      </c>
      <c r="G18" s="11">
        <v>28</v>
      </c>
      <c r="H18" s="11">
        <v>36</v>
      </c>
      <c r="I18" s="11">
        <v>45</v>
      </c>
      <c r="J18" s="11"/>
      <c r="K18" s="11"/>
      <c r="L18" s="11"/>
      <c r="M18" s="11"/>
      <c r="N18" s="11"/>
      <c r="O18" s="11"/>
      <c r="P18" s="11"/>
      <c r="Q18" s="11"/>
    </row>
    <row r="19" spans="1:18" ht="14.4" x14ac:dyDescent="0.3">
      <c r="C19" s="16">
        <f t="shared" si="1"/>
        <v>10</v>
      </c>
      <c r="D19" s="33">
        <f t="shared" si="2"/>
        <v>45230</v>
      </c>
      <c r="E19" s="18">
        <v>55</v>
      </c>
      <c r="F19" s="11">
        <v>2</v>
      </c>
      <c r="G19" s="11">
        <v>30</v>
      </c>
      <c r="H19" s="11">
        <v>38</v>
      </c>
      <c r="I19" s="11"/>
      <c r="J19" s="11"/>
      <c r="K19" s="11"/>
      <c r="L19" s="11"/>
      <c r="M19" s="11"/>
      <c r="N19" s="11"/>
      <c r="O19" s="11"/>
      <c r="P19" s="11"/>
      <c r="Q19" s="11"/>
    </row>
    <row r="20" spans="1:18" ht="14.4" x14ac:dyDescent="0.3">
      <c r="C20" s="16">
        <f t="shared" si="1"/>
        <v>11</v>
      </c>
      <c r="D20" s="33">
        <f t="shared" si="2"/>
        <v>45260</v>
      </c>
      <c r="E20" s="18">
        <v>48</v>
      </c>
      <c r="F20" s="11">
        <v>5</v>
      </c>
      <c r="G20" s="11">
        <v>36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8" ht="15.75" customHeight="1" x14ac:dyDescent="0.3">
      <c r="C21" s="16">
        <f t="shared" si="1"/>
        <v>12</v>
      </c>
      <c r="D21" s="33">
        <f t="shared" si="2"/>
        <v>45291</v>
      </c>
      <c r="E21" s="11">
        <v>49</v>
      </c>
      <c r="F21" s="11">
        <v>5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1:18" ht="15.75" customHeight="1" x14ac:dyDescent="0.3"/>
    <row r="23" spans="1:18" ht="15.75" customHeight="1" x14ac:dyDescent="0.3"/>
    <row r="24" spans="1:18" ht="15.75" customHeight="1" x14ac:dyDescent="0.3">
      <c r="A24" s="47" t="s">
        <v>47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</row>
    <row r="25" spans="1:18" ht="15.75" customHeight="1" x14ac:dyDescent="0.3">
      <c r="E25" s="6">
        <f t="shared" ref="E25:Q25" si="3">E9</f>
        <v>0</v>
      </c>
      <c r="F25" s="6">
        <f t="shared" si="3"/>
        <v>1</v>
      </c>
      <c r="G25" s="6">
        <f t="shared" si="3"/>
        <v>2</v>
      </c>
      <c r="H25" s="6">
        <f t="shared" si="3"/>
        <v>3</v>
      </c>
      <c r="I25" s="6">
        <f t="shared" si="3"/>
        <v>4</v>
      </c>
      <c r="J25" s="6">
        <f t="shared" si="3"/>
        <v>5</v>
      </c>
      <c r="K25" s="6">
        <f t="shared" si="3"/>
        <v>6</v>
      </c>
      <c r="L25" s="6">
        <f t="shared" si="3"/>
        <v>7</v>
      </c>
      <c r="M25" s="6">
        <f t="shared" si="3"/>
        <v>8</v>
      </c>
      <c r="N25" s="6">
        <f t="shared" si="3"/>
        <v>9</v>
      </c>
      <c r="O25" s="6">
        <f t="shared" si="3"/>
        <v>10</v>
      </c>
      <c r="P25" s="6">
        <f t="shared" si="3"/>
        <v>11</v>
      </c>
      <c r="Q25" s="6">
        <f t="shared" si="3"/>
        <v>12</v>
      </c>
    </row>
    <row r="26" spans="1:18" ht="15.75" customHeight="1" x14ac:dyDescent="0.3">
      <c r="C26" s="7">
        <f t="shared" ref="C26:E26" si="4">C10</f>
        <v>1</v>
      </c>
      <c r="D26" s="12">
        <f t="shared" si="4"/>
        <v>44927</v>
      </c>
      <c r="E26" s="19">
        <f t="shared" si="4"/>
        <v>24</v>
      </c>
      <c r="F26" s="20">
        <f t="shared" ref="F26:Q26" si="5">F10/$E26</f>
        <v>8.3333333333333329E-2</v>
      </c>
      <c r="G26" s="21">
        <f t="shared" si="5"/>
        <v>0.125</v>
      </c>
      <c r="H26" s="21">
        <f t="shared" si="5"/>
        <v>0.125</v>
      </c>
      <c r="I26" s="21">
        <f t="shared" si="5"/>
        <v>0.125</v>
      </c>
      <c r="J26" s="21">
        <f t="shared" si="5"/>
        <v>0.16666666666666666</v>
      </c>
      <c r="K26" s="21">
        <f t="shared" si="5"/>
        <v>0.16666666666666666</v>
      </c>
      <c r="L26" s="21">
        <f t="shared" si="5"/>
        <v>0.20833333333333334</v>
      </c>
      <c r="M26" s="21">
        <f t="shared" si="5"/>
        <v>0.20833333333333334</v>
      </c>
      <c r="N26" s="21">
        <f t="shared" si="5"/>
        <v>0.20833333333333334</v>
      </c>
      <c r="O26" s="21">
        <f t="shared" si="5"/>
        <v>0.25</v>
      </c>
      <c r="P26" s="21">
        <f t="shared" si="5"/>
        <v>0.25</v>
      </c>
      <c r="Q26" s="21">
        <f t="shared" si="5"/>
        <v>0.29166666666666669</v>
      </c>
      <c r="R26" s="3" t="s">
        <v>84</v>
      </c>
    </row>
    <row r="27" spans="1:18" ht="15.75" customHeight="1" x14ac:dyDescent="0.3">
      <c r="C27" s="16">
        <f t="shared" ref="C27:E27" si="6">C11</f>
        <v>2</v>
      </c>
      <c r="D27" s="22">
        <f t="shared" si="6"/>
        <v>44985</v>
      </c>
      <c r="E27" s="23">
        <f t="shared" si="6"/>
        <v>26</v>
      </c>
      <c r="F27" s="24">
        <f t="shared" ref="F27:P27" si="7">F11/$E27</f>
        <v>0.15384615384615385</v>
      </c>
      <c r="G27" s="25">
        <f t="shared" si="7"/>
        <v>0.15384615384615385</v>
      </c>
      <c r="H27" s="25">
        <f t="shared" si="7"/>
        <v>0.19230769230769232</v>
      </c>
      <c r="I27" s="25">
        <f t="shared" si="7"/>
        <v>0.23076923076923078</v>
      </c>
      <c r="J27" s="25">
        <f t="shared" si="7"/>
        <v>0.26923076923076922</v>
      </c>
      <c r="K27" s="25">
        <f t="shared" si="7"/>
        <v>0.34615384615384615</v>
      </c>
      <c r="L27" s="25">
        <f t="shared" si="7"/>
        <v>0.46153846153846156</v>
      </c>
      <c r="M27" s="25">
        <f t="shared" si="7"/>
        <v>0.46153846153846156</v>
      </c>
      <c r="N27" s="25">
        <f t="shared" si="7"/>
        <v>0.57692307692307687</v>
      </c>
      <c r="O27" s="25">
        <f t="shared" si="7"/>
        <v>0.61538461538461542</v>
      </c>
      <c r="P27" s="25">
        <f t="shared" si="7"/>
        <v>0.30769230769230771</v>
      </c>
      <c r="Q27" s="25"/>
    </row>
    <row r="28" spans="1:18" ht="15.75" customHeight="1" x14ac:dyDescent="0.3">
      <c r="C28" s="16">
        <f t="shared" ref="C28:E28" si="8">C12</f>
        <v>3</v>
      </c>
      <c r="D28" s="22">
        <f t="shared" si="8"/>
        <v>45016</v>
      </c>
      <c r="E28" s="23">
        <f t="shared" si="8"/>
        <v>29</v>
      </c>
      <c r="F28" s="24">
        <f t="shared" ref="F28:O28" si="9">F12/$E28</f>
        <v>6.8965517241379309E-2</v>
      </c>
      <c r="G28" s="25">
        <f t="shared" si="9"/>
        <v>0.10344827586206896</v>
      </c>
      <c r="H28" s="25">
        <f t="shared" si="9"/>
        <v>0.13793103448275862</v>
      </c>
      <c r="I28" s="25">
        <f t="shared" si="9"/>
        <v>0.17241379310344829</v>
      </c>
      <c r="J28" s="25">
        <f t="shared" si="9"/>
        <v>0.2413793103448276</v>
      </c>
      <c r="K28" s="25">
        <f t="shared" si="9"/>
        <v>0.27586206896551724</v>
      </c>
      <c r="L28" s="25">
        <f t="shared" si="9"/>
        <v>0.34482758620689657</v>
      </c>
      <c r="M28" s="25">
        <f t="shared" si="9"/>
        <v>0.34482758620689657</v>
      </c>
      <c r="N28" s="25">
        <f t="shared" si="9"/>
        <v>0.37931034482758619</v>
      </c>
      <c r="O28" s="25">
        <f t="shared" si="9"/>
        <v>0.41379310344827586</v>
      </c>
      <c r="P28" s="25"/>
      <c r="Q28" s="25"/>
    </row>
    <row r="29" spans="1:18" ht="15.75" customHeight="1" x14ac:dyDescent="0.3">
      <c r="C29" s="16">
        <f t="shared" ref="C29:E29" si="10">C13</f>
        <v>4</v>
      </c>
      <c r="D29" s="22">
        <f t="shared" si="10"/>
        <v>45046</v>
      </c>
      <c r="E29" s="23">
        <f t="shared" si="10"/>
        <v>38</v>
      </c>
      <c r="F29" s="24">
        <f t="shared" ref="F29:N29" si="11">F13/$E29</f>
        <v>5.2631578947368418E-2</v>
      </c>
      <c r="G29" s="25">
        <f t="shared" si="11"/>
        <v>7.8947368421052627E-2</v>
      </c>
      <c r="H29" s="25">
        <f t="shared" si="11"/>
        <v>0.10526315789473684</v>
      </c>
      <c r="I29" s="25">
        <f t="shared" si="11"/>
        <v>0.13157894736842105</v>
      </c>
      <c r="J29" s="25">
        <f t="shared" si="11"/>
        <v>0.18421052631578946</v>
      </c>
      <c r="K29" s="25">
        <f t="shared" si="11"/>
        <v>0.21052631578947367</v>
      </c>
      <c r="L29" s="25">
        <f t="shared" si="11"/>
        <v>0.26315789473684209</v>
      </c>
      <c r="M29" s="25">
        <f t="shared" si="11"/>
        <v>0.26315789473684209</v>
      </c>
      <c r="N29" s="25">
        <f t="shared" si="11"/>
        <v>0.65789473684210531</v>
      </c>
      <c r="O29" s="25"/>
      <c r="P29" s="25"/>
      <c r="Q29" s="25"/>
    </row>
    <row r="30" spans="1:18" ht="15.75" customHeight="1" x14ac:dyDescent="0.3">
      <c r="C30" s="16">
        <f t="shared" ref="C30:E30" si="12">C14</f>
        <v>5</v>
      </c>
      <c r="D30" s="22">
        <f t="shared" si="12"/>
        <v>45077</v>
      </c>
      <c r="E30" s="23">
        <f t="shared" si="12"/>
        <v>46</v>
      </c>
      <c r="F30" s="24">
        <f t="shared" ref="F30:M30" si="13">F14/$E30</f>
        <v>4.3478260869565216E-2</v>
      </c>
      <c r="G30" s="25">
        <f t="shared" si="13"/>
        <v>0.36956521739130432</v>
      </c>
      <c r="H30" s="25">
        <f t="shared" si="13"/>
        <v>0.43478260869565216</v>
      </c>
      <c r="I30" s="25">
        <f t="shared" si="13"/>
        <v>0.47826086956521741</v>
      </c>
      <c r="J30" s="25">
        <f t="shared" si="13"/>
        <v>0.54347826086956519</v>
      </c>
      <c r="K30" s="25">
        <f t="shared" si="13"/>
        <v>0.58695652173913049</v>
      </c>
      <c r="L30" s="25">
        <f t="shared" si="13"/>
        <v>0.60869565217391308</v>
      </c>
      <c r="M30" s="25">
        <f t="shared" si="13"/>
        <v>0.65217391304347827</v>
      </c>
      <c r="N30" s="25"/>
      <c r="O30" s="25"/>
      <c r="P30" s="25"/>
      <c r="Q30" s="25"/>
    </row>
    <row r="31" spans="1:18" ht="15.75" customHeight="1" x14ac:dyDescent="0.3">
      <c r="C31" s="16">
        <f t="shared" ref="C31:E31" si="14">C15</f>
        <v>6</v>
      </c>
      <c r="D31" s="22">
        <f t="shared" si="14"/>
        <v>45107</v>
      </c>
      <c r="E31" s="23">
        <f t="shared" si="14"/>
        <v>41</v>
      </c>
      <c r="F31" s="24">
        <f t="shared" ref="F31:L31" si="15">F15/$E31</f>
        <v>0.12195121951219512</v>
      </c>
      <c r="G31" s="25">
        <f t="shared" si="15"/>
        <v>0.36585365853658536</v>
      </c>
      <c r="H31" s="25">
        <f t="shared" si="15"/>
        <v>0.3902439024390244</v>
      </c>
      <c r="I31" s="25">
        <f t="shared" si="15"/>
        <v>0.53658536585365857</v>
      </c>
      <c r="J31" s="25">
        <f t="shared" si="15"/>
        <v>0.63414634146341464</v>
      </c>
      <c r="K31" s="25">
        <f t="shared" si="15"/>
        <v>0.65853658536585369</v>
      </c>
      <c r="L31" s="25">
        <f t="shared" si="15"/>
        <v>0.73170731707317072</v>
      </c>
      <c r="M31" s="25"/>
      <c r="N31" s="25"/>
      <c r="O31" s="25"/>
      <c r="P31" s="25"/>
      <c r="Q31" s="25"/>
    </row>
    <row r="32" spans="1:18" ht="15.75" customHeight="1" x14ac:dyDescent="0.3">
      <c r="C32" s="16">
        <f t="shared" ref="C32:E32" si="16">C16</f>
        <v>7</v>
      </c>
      <c r="D32" s="22">
        <f t="shared" si="16"/>
        <v>45138</v>
      </c>
      <c r="E32" s="23">
        <f t="shared" si="16"/>
        <v>37</v>
      </c>
      <c r="F32" s="24">
        <f t="shared" ref="F32:K32" si="17">F16/$E32</f>
        <v>5.4054054054054057E-2</v>
      </c>
      <c r="G32" s="25">
        <f t="shared" si="17"/>
        <v>8.1081081081081086E-2</v>
      </c>
      <c r="H32" s="25">
        <f t="shared" si="17"/>
        <v>0.10810810810810811</v>
      </c>
      <c r="I32" s="25">
        <f t="shared" si="17"/>
        <v>0.13513513513513514</v>
      </c>
      <c r="J32" s="25">
        <f t="shared" si="17"/>
        <v>0.1891891891891892</v>
      </c>
      <c r="K32" s="25">
        <f t="shared" si="17"/>
        <v>0.7567567567567568</v>
      </c>
      <c r="L32" s="25"/>
      <c r="M32" s="25"/>
      <c r="N32" s="25"/>
      <c r="O32" s="25"/>
      <c r="P32" s="25"/>
      <c r="Q32" s="25"/>
    </row>
    <row r="33" spans="3:17" ht="15.75" customHeight="1" x14ac:dyDescent="0.3">
      <c r="C33" s="16">
        <f t="shared" ref="C33:E33" si="18">C17</f>
        <v>8</v>
      </c>
      <c r="D33" s="22">
        <f t="shared" si="18"/>
        <v>45169</v>
      </c>
      <c r="E33" s="23">
        <f t="shared" si="18"/>
        <v>39</v>
      </c>
      <c r="F33" s="24">
        <f t="shared" ref="F33:J33" si="19">F17/$E33</f>
        <v>5.128205128205128E-2</v>
      </c>
      <c r="G33" s="25">
        <f t="shared" si="19"/>
        <v>7.6923076923076927E-2</v>
      </c>
      <c r="H33" s="25">
        <f t="shared" si="19"/>
        <v>0.10256410256410256</v>
      </c>
      <c r="I33" s="25">
        <f t="shared" si="19"/>
        <v>0.12820512820512819</v>
      </c>
      <c r="J33" s="25">
        <f t="shared" si="19"/>
        <v>0.82051282051282048</v>
      </c>
      <c r="K33" s="25"/>
      <c r="L33" s="25"/>
      <c r="M33" s="25"/>
      <c r="N33" s="25"/>
      <c r="O33" s="25"/>
      <c r="P33" s="25"/>
      <c r="Q33" s="25"/>
    </row>
    <row r="34" spans="3:17" ht="15.75" customHeight="1" x14ac:dyDescent="0.3">
      <c r="C34" s="16">
        <f t="shared" ref="C34:E34" si="20">C18</f>
        <v>9</v>
      </c>
      <c r="D34" s="22">
        <f t="shared" si="20"/>
        <v>45199</v>
      </c>
      <c r="E34" s="23">
        <f t="shared" si="20"/>
        <v>50</v>
      </c>
      <c r="F34" s="24">
        <f t="shared" ref="F34:I34" si="21">F18/$E34</f>
        <v>0.04</v>
      </c>
      <c r="G34" s="25">
        <f t="shared" si="21"/>
        <v>0.56000000000000005</v>
      </c>
      <c r="H34" s="25">
        <f t="shared" si="21"/>
        <v>0.72</v>
      </c>
      <c r="I34" s="25">
        <f t="shared" si="21"/>
        <v>0.9</v>
      </c>
      <c r="J34" s="25"/>
      <c r="K34" s="25"/>
      <c r="L34" s="25"/>
      <c r="M34" s="25"/>
      <c r="N34" s="25"/>
      <c r="O34" s="25"/>
      <c r="P34" s="25"/>
      <c r="Q34" s="25"/>
    </row>
    <row r="35" spans="3:17" ht="15.75" customHeight="1" x14ac:dyDescent="0.3">
      <c r="C35" s="16">
        <f t="shared" ref="C35:E35" si="22">C19</f>
        <v>10</v>
      </c>
      <c r="D35" s="22">
        <f t="shared" si="22"/>
        <v>45230</v>
      </c>
      <c r="E35" s="23">
        <f t="shared" si="22"/>
        <v>55</v>
      </c>
      <c r="F35" s="24">
        <f t="shared" ref="F35:H35" si="23">F19/$E35</f>
        <v>3.6363636363636362E-2</v>
      </c>
      <c r="G35" s="25">
        <f t="shared" si="23"/>
        <v>0.54545454545454541</v>
      </c>
      <c r="H35" s="25">
        <f t="shared" si="23"/>
        <v>0.69090909090909092</v>
      </c>
      <c r="I35" s="25"/>
      <c r="J35" s="25"/>
      <c r="K35" s="25"/>
      <c r="L35" s="25"/>
      <c r="M35" s="25"/>
      <c r="N35" s="25"/>
      <c r="O35" s="25"/>
      <c r="P35" s="25"/>
      <c r="Q35" s="25"/>
    </row>
    <row r="36" spans="3:17" ht="15.75" customHeight="1" x14ac:dyDescent="0.3">
      <c r="C36" s="16">
        <f t="shared" ref="C36:E36" si="24">C20</f>
        <v>11</v>
      </c>
      <c r="D36" s="22">
        <f t="shared" si="24"/>
        <v>45260</v>
      </c>
      <c r="E36" s="23">
        <f t="shared" si="24"/>
        <v>48</v>
      </c>
      <c r="F36" s="24">
        <f t="shared" ref="F36:G36" si="25">F20/$E36</f>
        <v>0.10416666666666667</v>
      </c>
      <c r="G36" s="25">
        <f t="shared" si="25"/>
        <v>0.75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</row>
    <row r="37" spans="3:17" ht="15.75" customHeight="1" x14ac:dyDescent="0.3">
      <c r="C37" s="26">
        <f t="shared" ref="C37:E37" si="26">C21</f>
        <v>12</v>
      </c>
      <c r="D37" s="27">
        <f t="shared" si="26"/>
        <v>45291</v>
      </c>
      <c r="E37" s="28">
        <f t="shared" si="26"/>
        <v>49</v>
      </c>
      <c r="F37" s="29">
        <f>F21/$E37</f>
        <v>0.10204081632653061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3:17" ht="15.75" customHeight="1" x14ac:dyDescent="0.3"/>
    <row r="39" spans="3:17" ht="15.75" customHeight="1" x14ac:dyDescent="0.3"/>
    <row r="40" spans="3:17" ht="15.75" customHeight="1" x14ac:dyDescent="0.3"/>
    <row r="41" spans="3:17" ht="15.75" customHeight="1" x14ac:dyDescent="0.3"/>
    <row r="42" spans="3:17" ht="15.75" customHeight="1" x14ac:dyDescent="0.3"/>
    <row r="43" spans="3:17" ht="15.75" customHeight="1" x14ac:dyDescent="0.3"/>
    <row r="44" spans="3:17" ht="15.75" customHeight="1" x14ac:dyDescent="0.3"/>
    <row r="45" spans="3:17" ht="15.75" customHeight="1" x14ac:dyDescent="0.3"/>
    <row r="46" spans="3:17" ht="15.75" customHeight="1" x14ac:dyDescent="0.3"/>
    <row r="47" spans="3:17" ht="15.75" customHeight="1" x14ac:dyDescent="0.3"/>
    <row r="48" spans="3:1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F26:Q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percent" val="0"/>
        <cfvo type="percent" val="100"/>
        <color rgb="FFF7CAAC"/>
        <color rgb="FFC5E0B3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pre-PMF LIR option 1</vt:lpstr>
      <vt:lpstr>pre-PMF LIR option 2</vt:lpstr>
      <vt:lpstr>pre-PMF LIR option3</vt:lpstr>
      <vt:lpstr>PMF+ LIR (quarter)</vt:lpstr>
      <vt:lpstr>PMF+ LIR (month)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Patera</cp:lastModifiedBy>
  <cp:revision/>
  <dcterms:created xsi:type="dcterms:W3CDTF">2023-10-06T15:00:23Z</dcterms:created>
  <dcterms:modified xsi:type="dcterms:W3CDTF">2026-05-12T16:03:12Z</dcterms:modified>
  <cp:category/>
  <cp:contentStatus/>
</cp:coreProperties>
</file>