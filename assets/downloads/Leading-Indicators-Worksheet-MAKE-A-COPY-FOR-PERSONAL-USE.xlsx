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avidJPatera\Documents\GitHub\The-SaaS-Revenue-System\assets\downloads\"/>
    </mc:Choice>
  </mc:AlternateContent>
  <xr:revisionPtr revIDLastSave="0" documentId="13_ncr:1_{381B4491-266E-406B-BBE7-C02C9553939B}" xr6:coauthVersionLast="47" xr6:coauthVersionMax="47" xr10:uidLastSave="{00000000-0000-0000-0000-000000000000}"/>
  <bookViews>
    <workbookView xWindow="45972" yWindow="-120" windowWidth="46296" windowHeight="25416" xr2:uid="{00000000-000D-0000-FFFF-FFFF00000000}"/>
  </bookViews>
  <sheets>
    <sheet name="Cover" sheetId="1" r:id="rId1"/>
    <sheet name="Pre-PMF LIR Option 1" sheetId="2" r:id="rId2"/>
    <sheet name="Pre-PMF LIR Option 2" sheetId="3" r:id="rId3"/>
    <sheet name="Pre-PMF LIR Option 3" sheetId="4" r:id="rId4"/>
    <sheet name="PMF+ LIR (quarter)" sheetId="5" r:id="rId5"/>
    <sheet name="PMF+ LIR (month)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0" roundtripDataSignature="AMtx7miWaYHy3n8q62IIQeYUURJoDeCpoA=="/>
    </ext>
  </extLst>
</workbook>
</file>

<file path=xl/calcChain.xml><?xml version="1.0" encoding="utf-8"?>
<calcChain xmlns="http://schemas.openxmlformats.org/spreadsheetml/2006/main">
  <c r="E41" i="6" l="1"/>
  <c r="F41" i="6" s="1"/>
  <c r="E40" i="6"/>
  <c r="G40" i="6" s="1"/>
  <c r="E39" i="6"/>
  <c r="F39" i="6" s="1"/>
  <c r="I38" i="6"/>
  <c r="H38" i="6"/>
  <c r="E38" i="6"/>
  <c r="G38" i="6" s="1"/>
  <c r="H37" i="6"/>
  <c r="G37" i="6"/>
  <c r="F37" i="6"/>
  <c r="E37" i="6"/>
  <c r="J37" i="6" s="1"/>
  <c r="F36" i="6"/>
  <c r="E36" i="6"/>
  <c r="G36" i="6" s="1"/>
  <c r="L35" i="6"/>
  <c r="K35" i="6"/>
  <c r="J35" i="6"/>
  <c r="I35" i="6"/>
  <c r="H35" i="6"/>
  <c r="E35" i="6"/>
  <c r="G35" i="6" s="1"/>
  <c r="E34" i="6"/>
  <c r="K34" i="6" s="1"/>
  <c r="N33" i="6"/>
  <c r="M33" i="6"/>
  <c r="L33" i="6"/>
  <c r="K33" i="6"/>
  <c r="J33" i="6"/>
  <c r="I33" i="6"/>
  <c r="E33" i="6"/>
  <c r="H33" i="6" s="1"/>
  <c r="E32" i="6"/>
  <c r="F32" i="6" s="1"/>
  <c r="P31" i="6"/>
  <c r="O31" i="6"/>
  <c r="N31" i="6"/>
  <c r="I31" i="6"/>
  <c r="G31" i="6"/>
  <c r="F31" i="6"/>
  <c r="E31" i="6"/>
  <c r="M31" i="6" s="1"/>
  <c r="Q30" i="6"/>
  <c r="P30" i="6"/>
  <c r="O30" i="6"/>
  <c r="N30" i="6"/>
  <c r="M30" i="6"/>
  <c r="L30" i="6"/>
  <c r="K30" i="6"/>
  <c r="J30" i="6"/>
  <c r="I30" i="6"/>
  <c r="H30" i="6"/>
  <c r="G30" i="6"/>
  <c r="E30" i="6"/>
  <c r="F30" i="6" s="1"/>
  <c r="D30" i="6"/>
  <c r="C30" i="6"/>
  <c r="F29" i="6"/>
  <c r="E29" i="6"/>
  <c r="D15" i="6"/>
  <c r="D16" i="6" s="1"/>
  <c r="C15" i="6"/>
  <c r="C31" i="6" s="1"/>
  <c r="F13" i="6"/>
  <c r="G13" i="6" s="1"/>
  <c r="F37" i="5"/>
  <c r="E37" i="5"/>
  <c r="D37" i="5"/>
  <c r="E36" i="5"/>
  <c r="F36" i="5" s="1"/>
  <c r="D36" i="5"/>
  <c r="H35" i="5"/>
  <c r="E35" i="5"/>
  <c r="G35" i="5" s="1"/>
  <c r="D35" i="5"/>
  <c r="E34" i="5"/>
  <c r="I34" i="5" s="1"/>
  <c r="D34" i="5"/>
  <c r="E33" i="5"/>
  <c r="J33" i="5" s="1"/>
  <c r="D33" i="5"/>
  <c r="K32" i="5"/>
  <c r="J32" i="5"/>
  <c r="G32" i="5"/>
  <c r="F32" i="5"/>
  <c r="E32" i="5"/>
  <c r="I32" i="5" s="1"/>
  <c r="D32" i="5"/>
  <c r="J31" i="5"/>
  <c r="H31" i="5"/>
  <c r="G31" i="5"/>
  <c r="E31" i="5"/>
  <c r="L31" i="5" s="1"/>
  <c r="D31" i="5"/>
  <c r="K30" i="5"/>
  <c r="J30" i="5"/>
  <c r="I30" i="5"/>
  <c r="E30" i="5"/>
  <c r="L30" i="5" s="1"/>
  <c r="D30" i="5"/>
  <c r="K29" i="5"/>
  <c r="I29" i="5"/>
  <c r="H29" i="5"/>
  <c r="F29" i="5"/>
  <c r="E29" i="5"/>
  <c r="N29" i="5" s="1"/>
  <c r="D29" i="5"/>
  <c r="O28" i="5"/>
  <c r="N28" i="5"/>
  <c r="M28" i="5"/>
  <c r="L28" i="5"/>
  <c r="K28" i="5"/>
  <c r="J28" i="5"/>
  <c r="I28" i="5"/>
  <c r="H28" i="5"/>
  <c r="G28" i="5"/>
  <c r="E28" i="5"/>
  <c r="F28" i="5" s="1"/>
  <c r="D28" i="5"/>
  <c r="E27" i="5"/>
  <c r="G27" i="5" s="1"/>
  <c r="D27" i="5"/>
  <c r="Q26" i="5"/>
  <c r="P26" i="5"/>
  <c r="O26" i="5"/>
  <c r="N26" i="5"/>
  <c r="K26" i="5"/>
  <c r="I26" i="5"/>
  <c r="G26" i="5"/>
  <c r="F26" i="5"/>
  <c r="E26" i="5"/>
  <c r="M26" i="5" s="1"/>
  <c r="D26" i="5"/>
  <c r="C26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C11" i="5"/>
  <c r="C12" i="5" s="1"/>
  <c r="S37" i="4"/>
  <c r="R37" i="4"/>
  <c r="Q37" i="4"/>
  <c r="P37" i="4"/>
  <c r="O37" i="4"/>
  <c r="N37" i="4"/>
  <c r="T37" i="4" s="1"/>
  <c r="M37" i="4"/>
  <c r="L37" i="4"/>
  <c r="K37" i="4"/>
  <c r="J37" i="4"/>
  <c r="H37" i="4"/>
  <c r="G37" i="4"/>
  <c r="I37" i="4" s="1"/>
  <c r="F37" i="4"/>
  <c r="E37" i="4"/>
  <c r="D37" i="4"/>
  <c r="C37" i="4"/>
  <c r="S36" i="4"/>
  <c r="R36" i="4"/>
  <c r="Q36" i="4"/>
  <c r="P36" i="4"/>
  <c r="O36" i="4"/>
  <c r="N36" i="4"/>
  <c r="M36" i="4"/>
  <c r="L36" i="4"/>
  <c r="K36" i="4"/>
  <c r="J36" i="4"/>
  <c r="I36" i="4"/>
  <c r="G36" i="4"/>
  <c r="H36" i="4" s="1"/>
  <c r="T36" i="4" s="1"/>
  <c r="F36" i="4"/>
  <c r="E36" i="4"/>
  <c r="D36" i="4"/>
  <c r="C36" i="4"/>
  <c r="S35" i="4"/>
  <c r="R35" i="4"/>
  <c r="Q35" i="4"/>
  <c r="P35" i="4"/>
  <c r="O35" i="4"/>
  <c r="N35" i="4"/>
  <c r="M35" i="4"/>
  <c r="T35" i="4" s="1"/>
  <c r="L35" i="4"/>
  <c r="K35" i="4"/>
  <c r="J35" i="4"/>
  <c r="G35" i="4"/>
  <c r="I35" i="4" s="1"/>
  <c r="F35" i="4"/>
  <c r="E35" i="4"/>
  <c r="D35" i="4"/>
  <c r="C35" i="4"/>
  <c r="S34" i="4"/>
  <c r="R34" i="4"/>
  <c r="Q34" i="4"/>
  <c r="P34" i="4"/>
  <c r="O34" i="4"/>
  <c r="N34" i="4"/>
  <c r="M34" i="4"/>
  <c r="L34" i="4"/>
  <c r="G34" i="4"/>
  <c r="J34" i="4" s="1"/>
  <c r="F34" i="4"/>
  <c r="E34" i="4"/>
  <c r="D34" i="4"/>
  <c r="C34" i="4"/>
  <c r="S33" i="4"/>
  <c r="R33" i="4"/>
  <c r="Q33" i="4"/>
  <c r="P33" i="4"/>
  <c r="O33" i="4"/>
  <c r="N33" i="4"/>
  <c r="M33" i="4"/>
  <c r="K33" i="4"/>
  <c r="G33" i="4"/>
  <c r="L33" i="4" s="1"/>
  <c r="F33" i="4"/>
  <c r="E33" i="4"/>
  <c r="D33" i="4"/>
  <c r="C33" i="4"/>
  <c r="S32" i="4"/>
  <c r="R32" i="4"/>
  <c r="Q32" i="4"/>
  <c r="P32" i="4"/>
  <c r="O32" i="4"/>
  <c r="N32" i="4"/>
  <c r="G32" i="4"/>
  <c r="M32" i="4" s="1"/>
  <c r="T32" i="4" s="1"/>
  <c r="F32" i="4"/>
  <c r="E32" i="4"/>
  <c r="D32" i="4"/>
  <c r="C32" i="4"/>
  <c r="S31" i="4"/>
  <c r="R31" i="4"/>
  <c r="Q31" i="4"/>
  <c r="P31" i="4"/>
  <c r="O31" i="4"/>
  <c r="N31" i="4"/>
  <c r="M31" i="4"/>
  <c r="T31" i="4" s="1"/>
  <c r="L31" i="4"/>
  <c r="K31" i="4"/>
  <c r="J31" i="4"/>
  <c r="I31" i="4"/>
  <c r="H31" i="4"/>
  <c r="G31" i="4"/>
  <c r="F31" i="4"/>
  <c r="E31" i="4"/>
  <c r="D31" i="4"/>
  <c r="C31" i="4"/>
  <c r="S30" i="4"/>
  <c r="R30" i="4"/>
  <c r="Q30" i="4"/>
  <c r="P30" i="4"/>
  <c r="O30" i="4"/>
  <c r="N30" i="4"/>
  <c r="M30" i="4"/>
  <c r="L30" i="4"/>
  <c r="H30" i="4"/>
  <c r="T30" i="4" s="1"/>
  <c r="G30" i="4"/>
  <c r="K30" i="4" s="1"/>
  <c r="F30" i="4"/>
  <c r="E30" i="4"/>
  <c r="D30" i="4"/>
  <c r="C30" i="4"/>
  <c r="S29" i="4"/>
  <c r="R29" i="4"/>
  <c r="Q29" i="4"/>
  <c r="M29" i="4"/>
  <c r="L29" i="4"/>
  <c r="K29" i="4"/>
  <c r="J29" i="4"/>
  <c r="I29" i="4"/>
  <c r="H29" i="4"/>
  <c r="G29" i="4"/>
  <c r="P29" i="4" s="1"/>
  <c r="F29" i="4"/>
  <c r="E29" i="4"/>
  <c r="D29" i="4"/>
  <c r="C29" i="4"/>
  <c r="S28" i="4"/>
  <c r="R28" i="4"/>
  <c r="I28" i="4"/>
  <c r="G28" i="4"/>
  <c r="H28" i="4" s="1"/>
  <c r="F28" i="4"/>
  <c r="E28" i="4"/>
  <c r="D28" i="4"/>
  <c r="C28" i="4"/>
  <c r="S27" i="4"/>
  <c r="R27" i="4"/>
  <c r="Q27" i="4"/>
  <c r="P27" i="4"/>
  <c r="O27" i="4"/>
  <c r="N27" i="4"/>
  <c r="M27" i="4"/>
  <c r="L27" i="4"/>
  <c r="K27" i="4"/>
  <c r="J27" i="4"/>
  <c r="I27" i="4"/>
  <c r="H27" i="4"/>
  <c r="S26" i="4"/>
  <c r="R26" i="4"/>
  <c r="Q26" i="4"/>
  <c r="P26" i="4"/>
  <c r="O26" i="4"/>
  <c r="N26" i="4"/>
  <c r="M26" i="4"/>
  <c r="L26" i="4"/>
  <c r="K26" i="4"/>
  <c r="J26" i="4"/>
  <c r="I26" i="4"/>
  <c r="H26" i="4"/>
  <c r="S35" i="3"/>
  <c r="R35" i="3"/>
  <c r="Q35" i="3"/>
  <c r="P35" i="3"/>
  <c r="O35" i="3"/>
  <c r="N35" i="3"/>
  <c r="M35" i="3"/>
  <c r="L35" i="3"/>
  <c r="K35" i="3"/>
  <c r="G35" i="3"/>
  <c r="H35" i="3" s="1"/>
  <c r="F35" i="3"/>
  <c r="E35" i="3"/>
  <c r="D35" i="3"/>
  <c r="C35" i="3"/>
  <c r="S34" i="3"/>
  <c r="R34" i="3"/>
  <c r="Q34" i="3"/>
  <c r="P34" i="3"/>
  <c r="O34" i="3"/>
  <c r="N34" i="3"/>
  <c r="M34" i="3"/>
  <c r="T34" i="3" s="1"/>
  <c r="L34" i="3"/>
  <c r="K34" i="3"/>
  <c r="I34" i="3"/>
  <c r="H34" i="3"/>
  <c r="G34" i="3"/>
  <c r="J34" i="3" s="1"/>
  <c r="F34" i="3"/>
  <c r="E34" i="3"/>
  <c r="D34" i="3"/>
  <c r="C34" i="3"/>
  <c r="S33" i="3"/>
  <c r="R33" i="3"/>
  <c r="Q33" i="3"/>
  <c r="P33" i="3"/>
  <c r="O33" i="3"/>
  <c r="N33" i="3"/>
  <c r="M33" i="3"/>
  <c r="T33" i="3" s="1"/>
  <c r="L33" i="3"/>
  <c r="K33" i="3"/>
  <c r="I33" i="3"/>
  <c r="G33" i="3"/>
  <c r="J33" i="3" s="1"/>
  <c r="F33" i="3"/>
  <c r="E33" i="3"/>
  <c r="D33" i="3"/>
  <c r="C33" i="3"/>
  <c r="S32" i="3"/>
  <c r="R32" i="3"/>
  <c r="Q32" i="3"/>
  <c r="P32" i="3"/>
  <c r="O32" i="3"/>
  <c r="N32" i="3"/>
  <c r="M32" i="3"/>
  <c r="L32" i="3"/>
  <c r="J32" i="3"/>
  <c r="I32" i="3"/>
  <c r="H32" i="3"/>
  <c r="G32" i="3"/>
  <c r="K32" i="3" s="1"/>
  <c r="F32" i="3"/>
  <c r="E32" i="3"/>
  <c r="D32" i="3"/>
  <c r="C32" i="3"/>
  <c r="S31" i="3"/>
  <c r="R31" i="3"/>
  <c r="Q31" i="3"/>
  <c r="P31" i="3"/>
  <c r="O31" i="3"/>
  <c r="N31" i="3"/>
  <c r="M31" i="3"/>
  <c r="L31" i="3"/>
  <c r="K31" i="3"/>
  <c r="J31" i="3"/>
  <c r="I31" i="3"/>
  <c r="H31" i="3"/>
  <c r="T31" i="3" s="1"/>
  <c r="G31" i="3"/>
  <c r="F31" i="3"/>
  <c r="E31" i="3"/>
  <c r="D31" i="3"/>
  <c r="C31" i="3"/>
  <c r="S30" i="3"/>
  <c r="R30" i="3"/>
  <c r="Q30" i="3"/>
  <c r="P30" i="3"/>
  <c r="O30" i="3"/>
  <c r="N30" i="3"/>
  <c r="G30" i="3"/>
  <c r="I30" i="3" s="1"/>
  <c r="F30" i="3"/>
  <c r="E30" i="3"/>
  <c r="D30" i="3"/>
  <c r="C30" i="3"/>
  <c r="S29" i="3"/>
  <c r="R29" i="3"/>
  <c r="Q29" i="3"/>
  <c r="P29" i="3"/>
  <c r="O29" i="3"/>
  <c r="N29" i="3"/>
  <c r="K29" i="3"/>
  <c r="J29" i="3"/>
  <c r="G29" i="3"/>
  <c r="M29" i="3" s="1"/>
  <c r="T29" i="3" s="1"/>
  <c r="F29" i="3"/>
  <c r="E29" i="3"/>
  <c r="D29" i="3"/>
  <c r="C29" i="3"/>
  <c r="S28" i="3"/>
  <c r="T28" i="3" s="1"/>
  <c r="R28" i="3"/>
  <c r="Q28" i="3"/>
  <c r="P28" i="3"/>
  <c r="O28" i="3"/>
  <c r="N28" i="3"/>
  <c r="M28" i="3"/>
  <c r="L28" i="3"/>
  <c r="K28" i="3"/>
  <c r="G28" i="3"/>
  <c r="J28" i="3" s="1"/>
  <c r="F28" i="3"/>
  <c r="E28" i="3"/>
  <c r="D28" i="3"/>
  <c r="C28" i="3"/>
  <c r="S27" i="3"/>
  <c r="R27" i="3"/>
  <c r="Q27" i="3"/>
  <c r="P27" i="3"/>
  <c r="O27" i="3"/>
  <c r="L27" i="3"/>
  <c r="K27" i="3"/>
  <c r="J27" i="3"/>
  <c r="H27" i="3"/>
  <c r="G27" i="3"/>
  <c r="I27" i="3" s="1"/>
  <c r="F27" i="3"/>
  <c r="E27" i="3"/>
  <c r="D27" i="3"/>
  <c r="C27" i="3"/>
  <c r="S26" i="3"/>
  <c r="R26" i="3"/>
  <c r="L26" i="3"/>
  <c r="K26" i="3"/>
  <c r="G26" i="3"/>
  <c r="O26" i="3" s="1"/>
  <c r="F26" i="3"/>
  <c r="E26" i="3"/>
  <c r="D26" i="3"/>
  <c r="C26" i="3"/>
  <c r="S25" i="3"/>
  <c r="R25" i="3"/>
  <c r="Q25" i="3"/>
  <c r="P25" i="3"/>
  <c r="O25" i="3"/>
  <c r="N25" i="3"/>
  <c r="M25" i="3"/>
  <c r="L25" i="3"/>
  <c r="K25" i="3"/>
  <c r="J25" i="3"/>
  <c r="I25" i="3"/>
  <c r="H25" i="3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R34" i="2"/>
  <c r="Q34" i="2"/>
  <c r="P34" i="2"/>
  <c r="O34" i="2"/>
  <c r="N34" i="2"/>
  <c r="S34" i="2" s="1"/>
  <c r="M34" i="2"/>
  <c r="L34" i="2"/>
  <c r="K34" i="2"/>
  <c r="J34" i="2"/>
  <c r="I34" i="2"/>
  <c r="H34" i="2"/>
  <c r="G34" i="2"/>
  <c r="F34" i="2"/>
  <c r="E34" i="2"/>
  <c r="D34" i="2"/>
  <c r="C34" i="2"/>
  <c r="R33" i="2"/>
  <c r="Q33" i="2"/>
  <c r="P33" i="2"/>
  <c r="O33" i="2"/>
  <c r="N33" i="2"/>
  <c r="M33" i="2"/>
  <c r="L33" i="2"/>
  <c r="S33" i="2" s="1"/>
  <c r="K33" i="2"/>
  <c r="J33" i="2"/>
  <c r="I33" i="2"/>
  <c r="H33" i="2"/>
  <c r="G33" i="2"/>
  <c r="F33" i="2"/>
  <c r="E33" i="2"/>
  <c r="D33" i="2"/>
  <c r="C33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R31" i="2"/>
  <c r="Q31" i="2"/>
  <c r="P31" i="2"/>
  <c r="O31" i="2"/>
  <c r="N31" i="2"/>
  <c r="M31" i="2"/>
  <c r="S31" i="2" s="1"/>
  <c r="L31" i="2"/>
  <c r="K31" i="2"/>
  <c r="J31" i="2"/>
  <c r="I31" i="2"/>
  <c r="H31" i="2"/>
  <c r="G31" i="2"/>
  <c r="F31" i="2"/>
  <c r="E31" i="2"/>
  <c r="D31" i="2"/>
  <c r="C31" i="2"/>
  <c r="R30" i="2"/>
  <c r="Q30" i="2"/>
  <c r="P30" i="2"/>
  <c r="O30" i="2"/>
  <c r="N30" i="2"/>
  <c r="M30" i="2"/>
  <c r="L30" i="2"/>
  <c r="S30" i="2" s="1"/>
  <c r="K30" i="2"/>
  <c r="J30" i="2"/>
  <c r="I30" i="2"/>
  <c r="H30" i="2"/>
  <c r="G30" i="2"/>
  <c r="F30" i="2"/>
  <c r="E30" i="2"/>
  <c r="D30" i="2"/>
  <c r="C30" i="2"/>
  <c r="R29" i="2"/>
  <c r="Q29" i="2"/>
  <c r="P29" i="2"/>
  <c r="O29" i="2"/>
  <c r="N29" i="2"/>
  <c r="M29" i="2"/>
  <c r="L29" i="2"/>
  <c r="K29" i="2"/>
  <c r="J29" i="2"/>
  <c r="I29" i="2"/>
  <c r="H29" i="2"/>
  <c r="G29" i="2"/>
  <c r="S29" i="2" s="1"/>
  <c r="F29" i="2"/>
  <c r="E29" i="2"/>
  <c r="D29" i="2"/>
  <c r="C29" i="2"/>
  <c r="R28" i="2"/>
  <c r="Q28" i="2"/>
  <c r="P28" i="2"/>
  <c r="O28" i="2"/>
  <c r="N28" i="2"/>
  <c r="M28" i="2"/>
  <c r="L28" i="2"/>
  <c r="K28" i="2"/>
  <c r="J28" i="2"/>
  <c r="I28" i="2"/>
  <c r="H28" i="2"/>
  <c r="G28" i="2"/>
  <c r="S28" i="2" s="1"/>
  <c r="F28" i="2"/>
  <c r="E28" i="2"/>
  <c r="D28" i="2"/>
  <c r="C28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S26" i="2" a="1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R25" i="2"/>
  <c r="Q25" i="2"/>
  <c r="P25" i="2"/>
  <c r="O25" i="2"/>
  <c r="N25" i="2"/>
  <c r="M25" i="2"/>
  <c r="L25" i="2"/>
  <c r="K25" i="2"/>
  <c r="J25" i="2"/>
  <c r="I25" i="2"/>
  <c r="H25" i="2"/>
  <c r="G25" i="2"/>
  <c r="D17" i="6" l="1"/>
  <c r="D32" i="6"/>
  <c r="S37" i="2"/>
  <c r="T32" i="3"/>
  <c r="C28" i="5"/>
  <c r="C13" i="5"/>
  <c r="G29" i="6"/>
  <c r="H13" i="6"/>
  <c r="T29" i="4"/>
  <c r="C16" i="6"/>
  <c r="G32" i="6"/>
  <c r="I26" i="3"/>
  <c r="M27" i="3"/>
  <c r="T27" i="3" s="1"/>
  <c r="J30" i="4"/>
  <c r="H35" i="4"/>
  <c r="G30" i="5"/>
  <c r="H32" i="5"/>
  <c r="F35" i="5"/>
  <c r="F38" i="6"/>
  <c r="H26" i="3"/>
  <c r="I30" i="4"/>
  <c r="F30" i="5"/>
  <c r="J26" i="3"/>
  <c r="N27" i="3"/>
  <c r="C27" i="5"/>
  <c r="H30" i="5"/>
  <c r="K34" i="4"/>
  <c r="T34" i="4" s="1"/>
  <c r="F33" i="5"/>
  <c r="G34" i="6"/>
  <c r="Q26" i="3"/>
  <c r="K30" i="3"/>
  <c r="I35" i="3"/>
  <c r="J28" i="4"/>
  <c r="N29" i="4"/>
  <c r="H33" i="4"/>
  <c r="J27" i="5"/>
  <c r="G33" i="5"/>
  <c r="K32" i="6"/>
  <c r="H34" i="6"/>
  <c r="I36" i="6"/>
  <c r="G39" i="6"/>
  <c r="H36" i="6"/>
  <c r="J35" i="3"/>
  <c r="T35" i="3" s="1"/>
  <c r="K28" i="4"/>
  <c r="O29" i="4"/>
  <c r="I33" i="4"/>
  <c r="K27" i="5"/>
  <c r="H33" i="5"/>
  <c r="D31" i="6"/>
  <c r="L32" i="6"/>
  <c r="I34" i="6"/>
  <c r="J36" i="6"/>
  <c r="H39" i="6"/>
  <c r="P26" i="3"/>
  <c r="J30" i="3"/>
  <c r="I27" i="5"/>
  <c r="G36" i="5"/>
  <c r="J32" i="6"/>
  <c r="H29" i="3"/>
  <c r="L30" i="3"/>
  <c r="I29" i="3"/>
  <c r="M30" i="3"/>
  <c r="T30" i="3" s="1"/>
  <c r="L28" i="4"/>
  <c r="J33" i="4"/>
  <c r="T33" i="4" s="1"/>
  <c r="L27" i="5"/>
  <c r="G29" i="5"/>
  <c r="F31" i="5"/>
  <c r="I33" i="5"/>
  <c r="M32" i="6"/>
  <c r="J34" i="6"/>
  <c r="K36" i="6"/>
  <c r="H30" i="3"/>
  <c r="F34" i="6"/>
  <c r="N27" i="5"/>
  <c r="O32" i="6"/>
  <c r="L34" i="6"/>
  <c r="H28" i="3"/>
  <c r="L29" i="3"/>
  <c r="O28" i="4"/>
  <c r="I32" i="4"/>
  <c r="H26" i="5"/>
  <c r="O27" i="5"/>
  <c r="J29" i="5"/>
  <c r="I31" i="5"/>
  <c r="H31" i="6"/>
  <c r="M34" i="6"/>
  <c r="F40" i="6"/>
  <c r="M26" i="3"/>
  <c r="H34" i="4"/>
  <c r="N26" i="3"/>
  <c r="H27" i="5"/>
  <c r="I32" i="6"/>
  <c r="M28" i="4"/>
  <c r="T28" i="4" s="1"/>
  <c r="M27" i="5"/>
  <c r="N32" i="6"/>
  <c r="N28" i="4"/>
  <c r="H32" i="4"/>
  <c r="I28" i="3"/>
  <c r="P28" i="4"/>
  <c r="J32" i="4"/>
  <c r="P27" i="5"/>
  <c r="H33" i="3"/>
  <c r="Q28" i="4"/>
  <c r="K32" i="4"/>
  <c r="J26" i="5"/>
  <c r="L29" i="5"/>
  <c r="K31" i="5"/>
  <c r="F34" i="5"/>
  <c r="J31" i="6"/>
  <c r="H32" i="6"/>
  <c r="L32" i="4"/>
  <c r="M29" i="5"/>
  <c r="G34" i="5"/>
  <c r="K31" i="6"/>
  <c r="F33" i="6"/>
  <c r="F27" i="5"/>
  <c r="I34" i="4"/>
  <c r="M30" i="5"/>
  <c r="L26" i="5"/>
  <c r="H34" i="5"/>
  <c r="L31" i="6"/>
  <c r="G33" i="6"/>
  <c r="F35" i="6"/>
  <c r="I37" i="6"/>
  <c r="C17" i="6" l="1"/>
  <c r="C32" i="6"/>
  <c r="I13" i="6"/>
  <c r="H29" i="6"/>
  <c r="C29" i="5"/>
  <c r="C14" i="5"/>
  <c r="T39" i="4"/>
  <c r="T26" i="3"/>
  <c r="T37" i="3" s="1"/>
  <c r="D33" i="6"/>
  <c r="D18" i="6"/>
  <c r="D19" i="6" l="1"/>
  <c r="D34" i="6"/>
  <c r="C30" i="5"/>
  <c r="C15" i="5"/>
  <c r="J13" i="6"/>
  <c r="I29" i="6"/>
  <c r="C33" i="6"/>
  <c r="C18" i="6"/>
  <c r="C34" i="6" l="1"/>
  <c r="C19" i="6"/>
  <c r="K13" i="6"/>
  <c r="J29" i="6"/>
  <c r="C16" i="5"/>
  <c r="C31" i="5"/>
  <c r="D35" i="6"/>
  <c r="D20" i="6"/>
  <c r="D21" i="6" l="1"/>
  <c r="D36" i="6"/>
  <c r="C32" i="5"/>
  <c r="C17" i="5"/>
  <c r="L13" i="6"/>
  <c r="K29" i="6"/>
  <c r="C35" i="6"/>
  <c r="C20" i="6"/>
  <c r="C21" i="6" l="1"/>
  <c r="C36" i="6"/>
  <c r="L29" i="6"/>
  <c r="M13" i="6"/>
  <c r="C33" i="5"/>
  <c r="C18" i="5"/>
  <c r="D22" i="6"/>
  <c r="D37" i="6"/>
  <c r="C19" i="5" l="1"/>
  <c r="C34" i="5"/>
  <c r="M29" i="6"/>
  <c r="N13" i="6"/>
  <c r="D38" i="6"/>
  <c r="D23" i="6"/>
  <c r="C22" i="6"/>
  <c r="C37" i="6"/>
  <c r="C23" i="6" l="1"/>
  <c r="C38" i="6"/>
  <c r="D39" i="6"/>
  <c r="D24" i="6"/>
  <c r="N29" i="6"/>
  <c r="O13" i="6"/>
  <c r="C20" i="5"/>
  <c r="C35" i="5"/>
  <c r="C21" i="5" l="1"/>
  <c r="C37" i="5" s="1"/>
  <c r="C36" i="5"/>
  <c r="O29" i="6"/>
  <c r="P13" i="6"/>
  <c r="D40" i="6"/>
  <c r="D25" i="6"/>
  <c r="D41" i="6" s="1"/>
  <c r="C24" i="6"/>
  <c r="C39" i="6"/>
  <c r="C40" i="6" l="1"/>
  <c r="C25" i="6"/>
  <c r="C41" i="6" s="1"/>
  <c r="P29" i="6"/>
  <c r="Q13" i="6"/>
  <c r="Q29" i="6" s="1"/>
</calcChain>
</file>

<file path=xl/sharedStrings.xml><?xml version="1.0" encoding="utf-8"?>
<sst xmlns="http://schemas.openxmlformats.org/spreadsheetml/2006/main" count="256" uniqueCount="92">
  <si>
    <r>
      <t xml:space="preserve">For assistance with these templates, </t>
    </r>
    <r>
      <rPr>
        <u/>
        <sz val="11"/>
        <color rgb="FF1155CC"/>
        <rFont val="Calibri"/>
      </rPr>
      <t>use this article</t>
    </r>
    <r>
      <rPr>
        <sz val="11"/>
        <color theme="1"/>
        <rFont val="Calibri"/>
        <scheme val="minor"/>
      </rPr>
      <t>.</t>
    </r>
  </si>
  <si>
    <t>% of Customers that achieve leading indicator of customer retention by month of tenure</t>
  </si>
  <si>
    <t>Option 1: constant threshold</t>
  </si>
  <si>
    <t>How To Guide:</t>
  </si>
  <si>
    <t>KEY</t>
  </si>
  <si>
    <t>●</t>
  </si>
  <si>
    <t>Replace the blue hardcoded numbers (placeholders) and months in the "Raw Data" section with your own data and fill in each cohort</t>
  </si>
  <si>
    <t>Threshold</t>
  </si>
  <si>
    <t>To add or subtract months or cohorts, drag and copy formulas across or down or delete cells</t>
  </si>
  <si>
    <t>LIR Achieved</t>
  </si>
  <si>
    <t>LIR Not Achieved</t>
  </si>
  <si>
    <t>Raw Data</t>
  </si>
  <si>
    <t>Month Closed</t>
  </si>
  <si>
    <t>ACV</t>
  </si>
  <si>
    <t>ICP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</si>
  <si>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</si>
  <si>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</si>
  <si>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</si>
  <si>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</si>
  <si>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</si>
  <si>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</si>
  <si>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</si>
  <si>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</si>
  <si>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</si>
  <si>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</si>
  <si>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</si>
  <si>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</si>
  <si>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Customer 1</t>
  </si>
  <si>
    <t>Jan '23</t>
  </si>
  <si>
    <t>No</t>
  </si>
  <si>
    <t>&lt;-- Number of actions</t>
  </si>
  <si>
    <t>Customer 2</t>
  </si>
  <si>
    <t>Yes</t>
  </si>
  <si>
    <t>Customer 3</t>
  </si>
  <si>
    <t>Feb '23</t>
  </si>
  <si>
    <t>Customer 4</t>
  </si>
  <si>
    <t>May '23</t>
  </si>
  <si>
    <t>Customer 5</t>
  </si>
  <si>
    <t>Customer 6</t>
  </si>
  <si>
    <t>June '23</t>
  </si>
  <si>
    <t>Customer 7</t>
  </si>
  <si>
    <t>July '23</t>
  </si>
  <si>
    <t>Customer 8</t>
  </si>
  <si>
    <t>Customer 9</t>
  </si>
  <si>
    <t>Aug '23</t>
  </si>
  <si>
    <t>Customer 10</t>
  </si>
  <si>
    <t>Aug '24</t>
  </si>
  <si>
    <t>Output</t>
  </si>
  <si>
    <t>Current LIR</t>
  </si>
  <si>
    <t>% Customers Achieving LIR</t>
  </si>
  <si>
    <t>Goal</t>
  </si>
  <si>
    <t>Option 2: constant % attainment based on customer level target</t>
  </si>
  <si>
    <t>Expected Year 1 Usage</t>
  </si>
  <si>
    <t>Option 3: variable % attainment based on customer level target</t>
  </si>
  <si>
    <t>&lt;--LIR threshold</t>
  </si>
  <si>
    <t>% of Customers that achieve leading indicator of customer retention by quarter of tenure</t>
  </si>
  <si>
    <t>Replace the blue hardcoded numbers (placeholders) and quarters in the "Raw Data" section with your own data and fill in each cohort</t>
  </si>
  <si>
    <t>Quarter</t>
  </si>
  <si>
    <t>Quarter 0</t>
  </si>
  <si>
    <t>Quarter 1</t>
  </si>
  <si>
    <t>Quarter 2</t>
  </si>
  <si>
    <t>Quarter 3</t>
  </si>
  <si>
    <t>Quarter 4</t>
  </si>
  <si>
    <t>Quarter 5</t>
  </si>
  <si>
    <t>Quarter 6</t>
  </si>
  <si>
    <t>Quarter 7</t>
  </si>
  <si>
    <t>Quarter 8</t>
  </si>
  <si>
    <t>Quarter 9</t>
  </si>
  <si>
    <t>Quarter 10</t>
  </si>
  <si>
    <t>Quarter 11</t>
  </si>
  <si>
    <t>Quarter 12</t>
  </si>
  <si>
    <t>Q1 2021</t>
  </si>
  <si>
    <t>&lt;-- Number of customers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</si>
  <si>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</si>
  <si>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</si>
  <si>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</si>
  <si>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</si>
  <si>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</si>
  <si>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</si>
  <si>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</si>
  <si>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</si>
  <si>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</si>
  <si>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</si>
  <si>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</si>
  <si>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&lt;-- % of customers</t>
  </si>
  <si>
    <t>Replace the blue hardcoded numbers and months in the "Raw Data" section with your own data and fill in each cohort</t>
  </si>
  <si>
    <t>Recall, the leading indicator is true of P% of customers achieve E event(s) within T time</t>
  </si>
  <si>
    <t>(P)ercentage = usually &gt;75%</t>
  </si>
  <si>
    <t>(E)vents = (1) objective, (2) instrument-able, (3) aligned with customer success and/or value creation, (4) correlated with your unique value prop, (5) event combinations are ok but keep it simple</t>
  </si>
  <si>
    <t>(T)ime = usually within 30 days - faster for easy to setup products (e.g., PLG) could be months for products with length set up times</t>
  </si>
  <si>
    <t>Month</t>
  </si>
  <si>
    <t>Leading Indicator of Retention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</si>
</sst>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Month &quot;#;;&quot;Month 0&quot;"/>
    <numFmt numFmtId="165" formatCode="&quot;Cohort &quot;#;;&quot;Cohort 0&quot;"/>
    <numFmt numFmtId="166" formatCode="&quot;$&quot;#,##0"/>
    <numFmt numFmtId="167" formatCode="mmm\ yyyy"/>
    <numFmt numFmtId="168" formatCode="#,##0%_);\(#,##0%\)"/>
  </numFmts>
  <fonts count="20">
    <font>
      <sz val="11"/>
      <color theme="1"/>
      <name val="Calibri"/>
      <scheme val="minor"/>
    </font>
    <font>
      <sz val="11"/>
      <color theme="1"/>
      <name val="Calibri"/>
      <scheme val="minor"/>
    </font>
    <font>
      <u/>
      <sz val="11"/>
      <color rgb="FF0000FF"/>
      <name val="Calibri"/>
    </font>
    <font>
      <b/>
      <sz val="14"/>
      <color rgb="FF000000"/>
      <name val="DM Serif Display"/>
    </font>
    <font>
      <sz val="11"/>
      <name val="Calibri"/>
    </font>
    <font>
      <sz val="11"/>
      <color theme="1"/>
      <name val="Inter"/>
    </font>
    <font>
      <sz val="11"/>
      <color theme="1"/>
      <name val="Calibri"/>
    </font>
    <font>
      <sz val="11"/>
      <color theme="1"/>
      <name val="Inter"/>
    </font>
    <font>
      <i/>
      <sz val="11"/>
      <color theme="1"/>
      <name val="Inter"/>
    </font>
    <font>
      <b/>
      <sz val="11"/>
      <color rgb="FFFFFFFF"/>
      <name val="Inter"/>
    </font>
    <font>
      <b/>
      <sz val="11"/>
      <color rgb="FF0000FF"/>
      <name val="Inter"/>
    </font>
    <font>
      <b/>
      <sz val="11"/>
      <color theme="1"/>
      <name val="Inter"/>
    </font>
    <font>
      <sz val="11"/>
      <color rgb="FF0000FF"/>
      <name val="Inter"/>
    </font>
    <font>
      <sz val="11"/>
      <color rgb="FFFF0845"/>
      <name val="Inter"/>
    </font>
    <font>
      <sz val="11"/>
      <color rgb="FF00B050"/>
      <name val="Inter"/>
    </font>
    <font>
      <i/>
      <sz val="11"/>
      <color rgb="FF0000FF"/>
      <name val="Inter"/>
    </font>
    <font>
      <b/>
      <sz val="11"/>
      <color theme="1"/>
      <name val="Inter"/>
    </font>
    <font>
      <sz val="11"/>
      <color rgb="FF008D93"/>
      <name val="Inter"/>
    </font>
    <font>
      <sz val="11"/>
      <color rgb="FF666666"/>
      <name val="Inter"/>
    </font>
    <font>
      <u/>
      <sz val="11"/>
      <color rgb="FF1155CC"/>
      <name val="Calibri"/>
    </font>
  </fonts>
  <fills count="73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1FBFC5"/>
        <bgColor rgb="FF1FBFC5"/>
      </patternFill>
    </fill>
    <fill>
      <patternFill patternType="solid">
        <fgColor rgb="FF000000"/>
        <bgColor rgb="FF000000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FF0845"/>
        <bgColor rgb="FFFF0845"/>
      </patternFill>
    </fill>
    <fill>
      <patternFill patternType="solid">
        <fgColor rgb="FFF98670"/>
        <bgColor rgb="FFF98670"/>
      </patternFill>
    </fill>
    <fill>
      <patternFill patternType="solid">
        <fgColor rgb="FFFAA075"/>
        <bgColor rgb="FFFAA075"/>
      </patternFill>
    </fill>
    <fill>
      <patternFill patternType="solid">
        <fgColor rgb="FFFCB97A"/>
        <bgColor rgb="FFFCB97A"/>
      </patternFill>
    </fill>
    <fill>
      <patternFill patternType="solid">
        <fgColor rgb="FFFDD37F"/>
        <bgColor rgb="FFFDD37F"/>
      </patternFill>
    </fill>
    <fill>
      <patternFill patternType="solid">
        <fgColor rgb="FFFEEB84"/>
        <bgColor rgb="FFFEEB84"/>
      </patternFill>
    </fill>
    <fill>
      <patternFill patternType="solid">
        <fgColor rgb="FFF5E884"/>
        <bgColor rgb="FFF5E884"/>
      </patternFill>
    </fill>
    <fill>
      <patternFill patternType="solid">
        <fgColor rgb="FFFBB179"/>
        <bgColor rgb="FFFBB179"/>
      </patternFill>
    </fill>
    <fill>
      <patternFill patternType="solid">
        <fgColor rgb="FFFDC97D"/>
        <bgColor rgb="FFFDC97D"/>
      </patternFill>
    </fill>
    <fill>
      <patternFill patternType="solid">
        <fgColor rgb="FFFEE182"/>
        <bgColor rgb="FFFEE182"/>
      </patternFill>
    </fill>
    <fill>
      <patternFill patternType="solid">
        <fgColor rgb="FFFAEA84"/>
        <bgColor rgb="FFFAEA84"/>
      </patternFill>
    </fill>
    <fill>
      <patternFill patternType="solid">
        <fgColor rgb="FFE8E583"/>
        <bgColor rgb="FFE8E583"/>
      </patternFill>
    </fill>
    <fill>
      <patternFill patternType="solid">
        <fgColor rgb="FFCCDD82"/>
        <bgColor rgb="FFCCDD82"/>
      </patternFill>
    </fill>
    <fill>
      <patternFill patternType="solid">
        <fgColor rgb="FFB1D580"/>
        <bgColor rgb="FFB1D580"/>
      </patternFill>
    </fill>
    <fill>
      <patternFill patternType="solid">
        <fgColor rgb="FFA7D27F"/>
        <bgColor rgb="FFA7D27F"/>
      </patternFill>
    </fill>
    <fill>
      <patternFill patternType="solid">
        <fgColor rgb="FFF1E784"/>
        <bgColor rgb="FFF1E784"/>
      </patternFill>
    </fill>
    <fill>
      <patternFill patternType="solid">
        <fgColor rgb="FFF97D6E"/>
        <bgColor rgb="FFF97D6E"/>
      </patternFill>
    </fill>
    <fill>
      <patternFill patternType="solid">
        <fgColor rgb="FFFA9273"/>
        <bgColor rgb="FFFA9273"/>
      </patternFill>
    </fill>
    <fill>
      <patternFill patternType="solid">
        <fgColor rgb="FFFBA877"/>
        <bgColor rgb="FFFBA877"/>
      </patternFill>
    </fill>
    <fill>
      <patternFill patternType="solid">
        <fgColor rgb="FFFCBD7B"/>
        <bgColor rgb="FFFCBD7B"/>
      </patternFill>
    </fill>
    <fill>
      <patternFill patternType="solid">
        <fgColor rgb="FFFEE883"/>
        <bgColor rgb="FFFEE883"/>
      </patternFill>
    </fill>
    <fill>
      <patternFill patternType="solid">
        <fgColor rgb="FFF8E984"/>
        <bgColor rgb="FFF8E984"/>
      </patternFill>
    </fill>
    <fill>
      <patternFill patternType="solid">
        <fgColor rgb="FFE0E283"/>
        <bgColor rgb="FFE0E283"/>
      </patternFill>
    </fill>
    <fill>
      <patternFill patternType="solid">
        <fgColor rgb="FFD7E082"/>
        <bgColor rgb="FFD7E082"/>
      </patternFill>
    </fill>
    <fill>
      <patternFill patternType="solid">
        <fgColor rgb="FFF8736C"/>
        <bgColor rgb="FFF8736C"/>
      </patternFill>
    </fill>
    <fill>
      <patternFill patternType="solid">
        <fgColor rgb="FFF98370"/>
        <bgColor rgb="FFF98370"/>
      </patternFill>
    </fill>
    <fill>
      <patternFill patternType="solid">
        <fgColor rgb="FFFA9373"/>
        <bgColor rgb="FFFA9373"/>
      </patternFill>
    </fill>
    <fill>
      <patternFill patternType="solid">
        <fgColor rgb="FFFBA476"/>
        <bgColor rgb="FFFBA476"/>
      </patternFill>
    </fill>
    <fill>
      <patternFill patternType="solid">
        <fgColor rgb="FFFCC47C"/>
        <bgColor rgb="FFFCC47C"/>
      </patternFill>
    </fill>
    <fill>
      <patternFill patternType="solid">
        <fgColor rgb="FFFDD57F"/>
        <bgColor rgb="FFFDD57F"/>
      </patternFill>
    </fill>
    <fill>
      <patternFill patternType="solid">
        <fgColor rgb="FFFBEA84"/>
        <bgColor rgb="FFFBEA84"/>
      </patternFill>
    </fill>
    <fill>
      <patternFill patternType="solid">
        <fgColor rgb="FF9DCF7F"/>
        <bgColor rgb="FF9DCF7F"/>
      </patternFill>
    </fill>
    <fill>
      <patternFill patternType="solid">
        <fgColor rgb="FFF86D6B"/>
        <bgColor rgb="FFF86D6B"/>
      </patternFill>
    </fill>
    <fill>
      <patternFill patternType="solid">
        <fgColor rgb="FFE2E383"/>
        <bgColor rgb="FFE2E383"/>
      </patternFill>
    </fill>
    <fill>
      <patternFill patternType="solid">
        <fgColor rgb="FFD2DE82"/>
        <bgColor rgb="FFD2DE82"/>
      </patternFill>
    </fill>
    <fill>
      <patternFill patternType="solid">
        <fgColor rgb="FFC8DC81"/>
        <bgColor rgb="FFC8DC81"/>
      </patternFill>
    </fill>
    <fill>
      <patternFill patternType="solid">
        <fgColor rgb="FFB9D780"/>
        <bgColor rgb="FFB9D780"/>
      </patternFill>
    </fill>
    <fill>
      <patternFill patternType="solid">
        <fgColor rgb="FFAED480"/>
        <bgColor rgb="FFAED480"/>
      </patternFill>
    </fill>
    <fill>
      <patternFill patternType="solid">
        <fgColor rgb="FFA9D380"/>
        <bgColor rgb="FFA9D380"/>
      </patternFill>
    </fill>
    <fill>
      <patternFill patternType="solid">
        <fgColor rgb="FF9FD07F"/>
        <bgColor rgb="FF9FD07F"/>
      </patternFill>
    </fill>
    <fill>
      <patternFill patternType="solid">
        <fgColor rgb="FFFA9E75"/>
        <bgColor rgb="FFFA9E75"/>
      </patternFill>
    </fill>
    <fill>
      <patternFill patternType="solid">
        <fgColor rgb="FFE3E383"/>
        <bgColor rgb="FFE3E383"/>
      </patternFill>
    </fill>
    <fill>
      <patternFill patternType="solid">
        <fgColor rgb="FFDDE283"/>
        <bgColor rgb="FFDDE283"/>
      </patternFill>
    </fill>
    <fill>
      <patternFill patternType="solid">
        <fgColor rgb="FFBAD780"/>
        <bgColor rgb="FFBAD780"/>
      </patternFill>
    </fill>
    <fill>
      <patternFill patternType="solid">
        <fgColor rgb="FFA3D17F"/>
        <bgColor rgb="FFA3D17F"/>
      </patternFill>
    </fill>
    <fill>
      <patternFill patternType="solid">
        <fgColor rgb="FF8CCA7E"/>
        <bgColor rgb="FF8CCA7E"/>
      </patternFill>
    </fill>
    <fill>
      <patternFill patternType="solid">
        <fgColor rgb="FFF8736D"/>
        <bgColor rgb="FFF8736D"/>
      </patternFill>
    </fill>
    <fill>
      <patternFill patternType="solid">
        <fgColor rgb="FFF98470"/>
        <bgColor rgb="FFF98470"/>
      </patternFill>
    </fill>
    <fill>
      <patternFill patternType="solid">
        <fgColor rgb="FFFA9573"/>
        <bgColor rgb="FFFA9573"/>
      </patternFill>
    </fill>
    <fill>
      <patternFill patternType="solid">
        <fgColor rgb="FFFBA676"/>
        <bgColor rgb="FFFBA676"/>
      </patternFill>
    </fill>
    <fill>
      <patternFill patternType="solid">
        <fgColor rgb="FFFDC77D"/>
        <bgColor rgb="FFFDC77D"/>
      </patternFill>
    </fill>
    <fill>
      <patternFill patternType="solid">
        <fgColor rgb="FF86C87D"/>
        <bgColor rgb="FF86C87D"/>
      </patternFill>
    </fill>
    <fill>
      <patternFill patternType="solid">
        <fgColor rgb="FFF8726C"/>
        <bgColor rgb="FFF8726C"/>
      </patternFill>
    </fill>
    <fill>
      <patternFill patternType="solid">
        <fgColor rgb="FFF9826F"/>
        <bgColor rgb="FFF9826F"/>
      </patternFill>
    </fill>
    <fill>
      <patternFill patternType="solid">
        <fgColor rgb="FFFA9272"/>
        <bgColor rgb="FFFA9272"/>
      </patternFill>
    </fill>
    <fill>
      <patternFill patternType="solid">
        <fgColor rgb="FFFBA275"/>
        <bgColor rgb="FFFBA275"/>
      </patternFill>
    </fill>
    <fill>
      <patternFill patternType="solid">
        <fgColor rgb="FF76C47D"/>
        <bgColor rgb="FF76C47D"/>
      </patternFill>
    </fill>
    <fill>
      <patternFill patternType="solid">
        <fgColor rgb="FFF86B6B"/>
        <bgColor rgb="FFF86B6B"/>
      </patternFill>
    </fill>
    <fill>
      <patternFill patternType="solid">
        <fgColor rgb="FFB5D680"/>
        <bgColor rgb="FFB5D680"/>
      </patternFill>
    </fill>
    <fill>
      <patternFill patternType="solid">
        <fgColor rgb="FF8ECB7E"/>
        <bgColor rgb="FF8ECB7E"/>
      </patternFill>
    </fill>
    <fill>
      <patternFill patternType="solid">
        <fgColor rgb="FF63BE7B"/>
        <bgColor rgb="FF63BE7B"/>
      </patternFill>
    </fill>
    <fill>
      <patternFill patternType="solid">
        <fgColor rgb="FFF8696B"/>
        <bgColor rgb="FFF8696B"/>
      </patternFill>
    </fill>
    <fill>
      <patternFill patternType="solid">
        <fgColor rgb="FFB8D780"/>
        <bgColor rgb="FFB8D780"/>
      </patternFill>
    </fill>
    <fill>
      <patternFill patternType="solid">
        <fgColor rgb="FF95CD7E"/>
        <bgColor rgb="FF95CD7E"/>
      </patternFill>
    </fill>
    <fill>
      <patternFill patternType="solid">
        <fgColor rgb="FF87C97E"/>
        <bgColor rgb="FF87C97E"/>
      </patternFill>
    </fill>
    <fill>
      <patternFill patternType="solid">
        <fgColor rgb="FFFA9172"/>
        <bgColor rgb="FFFA9172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000000"/>
      </right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BFBFBF"/>
      </bottom>
      <diagonal/>
    </border>
    <border>
      <left/>
      <right/>
      <top style="thin">
        <color rgb="FF000000"/>
      </top>
      <bottom style="thin">
        <color rgb="FFBFBFBF"/>
      </bottom>
      <diagonal/>
    </border>
    <border>
      <left style="thin">
        <color rgb="FF000000"/>
      </left>
      <right/>
      <top style="thin">
        <color rgb="FFBFBFBF"/>
      </top>
      <bottom style="thin">
        <color rgb="FFBFBFBF"/>
      </bottom>
      <diagonal/>
    </border>
    <border>
      <left style="thin">
        <color rgb="FF000000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142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5" fillId="0" borderId="0" xfId="0" applyFont="1"/>
    <xf numFmtId="0" fontId="6" fillId="0" borderId="0" xfId="0" applyFont="1"/>
    <xf numFmtId="0" fontId="7" fillId="0" borderId="0" xfId="0" applyFont="1"/>
    <xf numFmtId="0" fontId="6" fillId="0" borderId="4" xfId="0" applyFont="1" applyBorder="1"/>
    <xf numFmtId="0" fontId="8" fillId="0" borderId="4" xfId="0" applyFont="1" applyBorder="1"/>
    <xf numFmtId="0" fontId="6" fillId="0" borderId="5" xfId="0" applyFont="1" applyBorder="1"/>
    <xf numFmtId="0" fontId="10" fillId="0" borderId="5" xfId="0" applyFont="1" applyBorder="1" applyAlignment="1">
      <alignment horizontal="center"/>
    </xf>
    <xf numFmtId="0" fontId="6" fillId="5" borderId="5" xfId="0" applyFont="1" applyFill="1" applyBorder="1"/>
    <xf numFmtId="0" fontId="6" fillId="6" borderId="6" xfId="0" applyFont="1" applyFill="1" applyBorder="1"/>
    <xf numFmtId="0" fontId="7" fillId="0" borderId="4" xfId="0" applyFont="1" applyBorder="1"/>
    <xf numFmtId="0" fontId="6" fillId="0" borderId="6" xfId="0" applyFont="1" applyBorder="1"/>
    <xf numFmtId="0" fontId="11" fillId="0" borderId="4" xfId="0" applyFont="1" applyBorder="1" applyAlignment="1">
      <alignment horizontal="center"/>
    </xf>
    <xf numFmtId="164" fontId="11" fillId="0" borderId="4" xfId="0" applyNumberFormat="1" applyFont="1" applyBorder="1" applyAlignment="1">
      <alignment horizontal="center"/>
    </xf>
    <xf numFmtId="165" fontId="7" fillId="0" borderId="7" xfId="0" applyNumberFormat="1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166" fontId="12" fillId="0" borderId="7" xfId="0" applyNumberFormat="1" applyFont="1" applyBorder="1" applyAlignment="1">
      <alignment horizontal="center"/>
    </xf>
    <xf numFmtId="0" fontId="12" fillId="0" borderId="7" xfId="0" applyFont="1" applyBorder="1" applyAlignment="1">
      <alignment horizontal="right"/>
    </xf>
    <xf numFmtId="0" fontId="6" fillId="0" borderId="7" xfId="0" applyFont="1" applyBorder="1"/>
    <xf numFmtId="167" fontId="7" fillId="0" borderId="7" xfId="0" applyNumberFormat="1" applyFont="1" applyBorder="1" applyAlignment="1">
      <alignment horizontal="center"/>
    </xf>
    <xf numFmtId="166" fontId="7" fillId="0" borderId="7" xfId="0" applyNumberFormat="1" applyFont="1" applyBorder="1" applyAlignment="1">
      <alignment horizontal="center"/>
    </xf>
    <xf numFmtId="167" fontId="7" fillId="0" borderId="8" xfId="0" applyNumberFormat="1" applyFont="1" applyBorder="1" applyAlignment="1">
      <alignment horizontal="center"/>
    </xf>
    <xf numFmtId="0" fontId="13" fillId="7" borderId="7" xfId="0" applyFont="1" applyFill="1" applyBorder="1" applyAlignment="1">
      <alignment horizontal="right"/>
    </xf>
    <xf numFmtId="0" fontId="14" fillId="5" borderId="7" xfId="0" applyFont="1" applyFill="1" applyBorder="1" applyAlignment="1">
      <alignment horizontal="right"/>
    </xf>
    <xf numFmtId="0" fontId="7" fillId="0" borderId="7" xfId="0" applyFont="1" applyBorder="1" applyAlignment="1">
      <alignment horizontal="center"/>
    </xf>
    <xf numFmtId="0" fontId="11" fillId="0" borderId="5" xfId="0" applyFont="1" applyBorder="1"/>
    <xf numFmtId="9" fontId="11" fillId="0" borderId="6" xfId="0" applyNumberFormat="1" applyFont="1" applyBorder="1" applyAlignment="1">
      <alignment horizontal="center"/>
    </xf>
    <xf numFmtId="0" fontId="11" fillId="0" borderId="0" xfId="0" applyFont="1" applyAlignment="1">
      <alignment horizontal="right"/>
    </xf>
    <xf numFmtId="9" fontId="11" fillId="0" borderId="0" xfId="0" applyNumberFormat="1" applyFont="1" applyAlignment="1">
      <alignment horizontal="right"/>
    </xf>
    <xf numFmtId="9" fontId="10" fillId="0" borderId="5" xfId="0" applyNumberFormat="1" applyFont="1" applyBorder="1" applyAlignment="1">
      <alignment horizontal="center"/>
    </xf>
    <xf numFmtId="0" fontId="11" fillId="0" borderId="4" xfId="0" applyFont="1" applyBorder="1" applyAlignment="1">
      <alignment horizontal="center" wrapText="1"/>
    </xf>
    <xf numFmtId="1" fontId="7" fillId="0" borderId="7" xfId="0" applyNumberFormat="1" applyFont="1" applyBorder="1" applyAlignment="1">
      <alignment horizontal="center"/>
    </xf>
    <xf numFmtId="9" fontId="15" fillId="0" borderId="7" xfId="0" applyNumberFormat="1" applyFont="1" applyBorder="1" applyAlignment="1">
      <alignment horizontal="right"/>
    </xf>
    <xf numFmtId="9" fontId="7" fillId="0" borderId="7" xfId="0" applyNumberFormat="1" applyFont="1" applyBorder="1" applyAlignment="1">
      <alignment horizontal="center"/>
    </xf>
    <xf numFmtId="0" fontId="7" fillId="0" borderId="7" xfId="0" applyFont="1" applyBorder="1"/>
    <xf numFmtId="0" fontId="7" fillId="0" borderId="8" xfId="0" applyFont="1" applyBorder="1" applyAlignment="1">
      <alignment horizontal="right"/>
    </xf>
    <xf numFmtId="168" fontId="7" fillId="8" borderId="7" xfId="0" applyNumberFormat="1" applyFont="1" applyFill="1" applyBorder="1" applyAlignment="1">
      <alignment horizontal="right"/>
    </xf>
    <xf numFmtId="168" fontId="7" fillId="9" borderId="7" xfId="0" applyNumberFormat="1" applyFont="1" applyFill="1" applyBorder="1" applyAlignment="1">
      <alignment horizontal="right"/>
    </xf>
    <xf numFmtId="168" fontId="7" fillId="10" borderId="7" xfId="0" applyNumberFormat="1" applyFont="1" applyFill="1" applyBorder="1" applyAlignment="1">
      <alignment horizontal="right"/>
    </xf>
    <xf numFmtId="168" fontId="7" fillId="11" borderId="7" xfId="0" applyNumberFormat="1" applyFont="1" applyFill="1" applyBorder="1" applyAlignment="1">
      <alignment horizontal="right"/>
    </xf>
    <xf numFmtId="168" fontId="7" fillId="12" borderId="7" xfId="0" applyNumberFormat="1" applyFont="1" applyFill="1" applyBorder="1" applyAlignment="1">
      <alignment horizontal="right"/>
    </xf>
    <xf numFmtId="168" fontId="7" fillId="13" borderId="7" xfId="0" applyNumberFormat="1" applyFont="1" applyFill="1" applyBorder="1" applyAlignment="1">
      <alignment horizontal="right"/>
    </xf>
    <xf numFmtId="168" fontId="7" fillId="14" borderId="7" xfId="0" applyNumberFormat="1" applyFont="1" applyFill="1" applyBorder="1" applyAlignment="1">
      <alignment horizontal="right"/>
    </xf>
    <xf numFmtId="168" fontId="7" fillId="15" borderId="7" xfId="0" applyNumberFormat="1" applyFont="1" applyFill="1" applyBorder="1" applyAlignment="1">
      <alignment horizontal="right"/>
    </xf>
    <xf numFmtId="168" fontId="7" fillId="16" borderId="7" xfId="0" applyNumberFormat="1" applyFont="1" applyFill="1" applyBorder="1" applyAlignment="1">
      <alignment horizontal="right"/>
    </xf>
    <xf numFmtId="168" fontId="7" fillId="17" borderId="7" xfId="0" applyNumberFormat="1" applyFont="1" applyFill="1" applyBorder="1" applyAlignment="1">
      <alignment horizontal="right"/>
    </xf>
    <xf numFmtId="168" fontId="7" fillId="18" borderId="7" xfId="0" applyNumberFormat="1" applyFont="1" applyFill="1" applyBorder="1" applyAlignment="1">
      <alignment horizontal="right"/>
    </xf>
    <xf numFmtId="168" fontId="7" fillId="19" borderId="7" xfId="0" applyNumberFormat="1" applyFont="1" applyFill="1" applyBorder="1" applyAlignment="1">
      <alignment horizontal="right"/>
    </xf>
    <xf numFmtId="168" fontId="7" fillId="20" borderId="7" xfId="0" applyNumberFormat="1" applyFont="1" applyFill="1" applyBorder="1" applyAlignment="1">
      <alignment horizontal="right"/>
    </xf>
    <xf numFmtId="168" fontId="7" fillId="21" borderId="7" xfId="0" applyNumberFormat="1" applyFont="1" applyFill="1" applyBorder="1" applyAlignment="1">
      <alignment horizontal="right"/>
    </xf>
    <xf numFmtId="168" fontId="7" fillId="22" borderId="7" xfId="0" applyNumberFormat="1" applyFont="1" applyFill="1" applyBorder="1" applyAlignment="1">
      <alignment horizontal="right"/>
    </xf>
    <xf numFmtId="168" fontId="6" fillId="0" borderId="7" xfId="0" applyNumberFormat="1" applyFont="1" applyBorder="1"/>
    <xf numFmtId="168" fontId="7" fillId="23" borderId="7" xfId="0" applyNumberFormat="1" applyFont="1" applyFill="1" applyBorder="1" applyAlignment="1">
      <alignment horizontal="right"/>
    </xf>
    <xf numFmtId="168" fontId="7" fillId="24" borderId="7" xfId="0" applyNumberFormat="1" applyFont="1" applyFill="1" applyBorder="1" applyAlignment="1">
      <alignment horizontal="right"/>
    </xf>
    <xf numFmtId="168" fontId="7" fillId="25" borderId="7" xfId="0" applyNumberFormat="1" applyFont="1" applyFill="1" applyBorder="1" applyAlignment="1">
      <alignment horizontal="right"/>
    </xf>
    <xf numFmtId="168" fontId="7" fillId="26" borderId="7" xfId="0" applyNumberFormat="1" applyFont="1" applyFill="1" applyBorder="1" applyAlignment="1">
      <alignment horizontal="right"/>
    </xf>
    <xf numFmtId="168" fontId="7" fillId="27" borderId="7" xfId="0" applyNumberFormat="1" applyFont="1" applyFill="1" applyBorder="1" applyAlignment="1">
      <alignment horizontal="right"/>
    </xf>
    <xf numFmtId="168" fontId="7" fillId="28" borderId="7" xfId="0" applyNumberFormat="1" applyFont="1" applyFill="1" applyBorder="1" applyAlignment="1">
      <alignment horizontal="right"/>
    </xf>
    <xf numFmtId="168" fontId="7" fillId="29" borderId="7" xfId="0" applyNumberFormat="1" applyFont="1" applyFill="1" applyBorder="1" applyAlignment="1">
      <alignment horizontal="right"/>
    </xf>
    <xf numFmtId="168" fontId="7" fillId="30" borderId="7" xfId="0" applyNumberFormat="1" applyFont="1" applyFill="1" applyBorder="1" applyAlignment="1">
      <alignment horizontal="right"/>
    </xf>
    <xf numFmtId="168" fontId="7" fillId="31" borderId="7" xfId="0" applyNumberFormat="1" applyFont="1" applyFill="1" applyBorder="1" applyAlignment="1">
      <alignment horizontal="right"/>
    </xf>
    <xf numFmtId="168" fontId="7" fillId="32" borderId="7" xfId="0" applyNumberFormat="1" applyFont="1" applyFill="1" applyBorder="1" applyAlignment="1">
      <alignment horizontal="right"/>
    </xf>
    <xf numFmtId="168" fontId="7" fillId="33" borderId="7" xfId="0" applyNumberFormat="1" applyFont="1" applyFill="1" applyBorder="1" applyAlignment="1">
      <alignment horizontal="right"/>
    </xf>
    <xf numFmtId="168" fontId="7" fillId="34" borderId="7" xfId="0" applyNumberFormat="1" applyFont="1" applyFill="1" applyBorder="1" applyAlignment="1">
      <alignment horizontal="right"/>
    </xf>
    <xf numFmtId="168" fontId="7" fillId="35" borderId="7" xfId="0" applyNumberFormat="1" applyFont="1" applyFill="1" applyBorder="1" applyAlignment="1">
      <alignment horizontal="right"/>
    </xf>
    <xf numFmtId="168" fontId="7" fillId="36" borderId="7" xfId="0" applyNumberFormat="1" applyFont="1" applyFill="1" applyBorder="1" applyAlignment="1">
      <alignment horizontal="right"/>
    </xf>
    <xf numFmtId="168" fontId="7" fillId="37" borderId="7" xfId="0" applyNumberFormat="1" applyFont="1" applyFill="1" applyBorder="1" applyAlignment="1">
      <alignment horizontal="right"/>
    </xf>
    <xf numFmtId="168" fontId="7" fillId="38" borderId="7" xfId="0" applyNumberFormat="1" applyFont="1" applyFill="1" applyBorder="1" applyAlignment="1">
      <alignment horizontal="right"/>
    </xf>
    <xf numFmtId="168" fontId="7" fillId="39" borderId="7" xfId="0" applyNumberFormat="1" applyFont="1" applyFill="1" applyBorder="1" applyAlignment="1">
      <alignment horizontal="right"/>
    </xf>
    <xf numFmtId="168" fontId="7" fillId="40" borderId="7" xfId="0" applyNumberFormat="1" applyFont="1" applyFill="1" applyBorder="1" applyAlignment="1">
      <alignment horizontal="right"/>
    </xf>
    <xf numFmtId="168" fontId="7" fillId="41" borderId="7" xfId="0" applyNumberFormat="1" applyFont="1" applyFill="1" applyBorder="1" applyAlignment="1">
      <alignment horizontal="right"/>
    </xf>
    <xf numFmtId="168" fontId="7" fillId="42" borderId="7" xfId="0" applyNumberFormat="1" applyFont="1" applyFill="1" applyBorder="1" applyAlignment="1">
      <alignment horizontal="right"/>
    </xf>
    <xf numFmtId="168" fontId="7" fillId="43" borderId="7" xfId="0" applyNumberFormat="1" applyFont="1" applyFill="1" applyBorder="1" applyAlignment="1">
      <alignment horizontal="right"/>
    </xf>
    <xf numFmtId="168" fontId="7" fillId="44" borderId="7" xfId="0" applyNumberFormat="1" applyFont="1" applyFill="1" applyBorder="1" applyAlignment="1">
      <alignment horizontal="right"/>
    </xf>
    <xf numFmtId="168" fontId="7" fillId="45" borderId="7" xfId="0" applyNumberFormat="1" applyFont="1" applyFill="1" applyBorder="1" applyAlignment="1">
      <alignment horizontal="right"/>
    </xf>
    <xf numFmtId="168" fontId="7" fillId="46" borderId="7" xfId="0" applyNumberFormat="1" applyFont="1" applyFill="1" applyBorder="1" applyAlignment="1">
      <alignment horizontal="right"/>
    </xf>
    <xf numFmtId="168" fontId="7" fillId="47" borderId="7" xfId="0" applyNumberFormat="1" applyFont="1" applyFill="1" applyBorder="1" applyAlignment="1">
      <alignment horizontal="right"/>
    </xf>
    <xf numFmtId="168" fontId="7" fillId="48" borderId="7" xfId="0" applyNumberFormat="1" applyFont="1" applyFill="1" applyBorder="1" applyAlignment="1">
      <alignment horizontal="right"/>
    </xf>
    <xf numFmtId="168" fontId="7" fillId="49" borderId="7" xfId="0" applyNumberFormat="1" applyFont="1" applyFill="1" applyBorder="1" applyAlignment="1">
      <alignment horizontal="right"/>
    </xf>
    <xf numFmtId="168" fontId="7" fillId="50" borderId="7" xfId="0" applyNumberFormat="1" applyFont="1" applyFill="1" applyBorder="1" applyAlignment="1">
      <alignment horizontal="right"/>
    </xf>
    <xf numFmtId="168" fontId="7" fillId="51" borderId="7" xfId="0" applyNumberFormat="1" applyFont="1" applyFill="1" applyBorder="1" applyAlignment="1">
      <alignment horizontal="right"/>
    </xf>
    <xf numFmtId="168" fontId="7" fillId="52" borderId="7" xfId="0" applyNumberFormat="1" applyFont="1" applyFill="1" applyBorder="1" applyAlignment="1">
      <alignment horizontal="right"/>
    </xf>
    <xf numFmtId="168" fontId="7" fillId="53" borderId="7" xfId="0" applyNumberFormat="1" applyFont="1" applyFill="1" applyBorder="1" applyAlignment="1">
      <alignment horizontal="right"/>
    </xf>
    <xf numFmtId="168" fontId="7" fillId="54" borderId="7" xfId="0" applyNumberFormat="1" applyFont="1" applyFill="1" applyBorder="1" applyAlignment="1">
      <alignment horizontal="right"/>
    </xf>
    <xf numFmtId="168" fontId="7" fillId="55" borderId="7" xfId="0" applyNumberFormat="1" applyFont="1" applyFill="1" applyBorder="1" applyAlignment="1">
      <alignment horizontal="right"/>
    </xf>
    <xf numFmtId="168" fontId="7" fillId="56" borderId="7" xfId="0" applyNumberFormat="1" applyFont="1" applyFill="1" applyBorder="1" applyAlignment="1">
      <alignment horizontal="right"/>
    </xf>
    <xf numFmtId="168" fontId="7" fillId="57" borderId="7" xfId="0" applyNumberFormat="1" applyFont="1" applyFill="1" applyBorder="1" applyAlignment="1">
      <alignment horizontal="right"/>
    </xf>
    <xf numFmtId="168" fontId="7" fillId="58" borderId="7" xfId="0" applyNumberFormat="1" applyFont="1" applyFill="1" applyBorder="1" applyAlignment="1">
      <alignment horizontal="right"/>
    </xf>
    <xf numFmtId="168" fontId="7" fillId="59" borderId="7" xfId="0" applyNumberFormat="1" applyFont="1" applyFill="1" applyBorder="1" applyAlignment="1">
      <alignment horizontal="right"/>
    </xf>
    <xf numFmtId="168" fontId="7" fillId="60" borderId="7" xfId="0" applyNumberFormat="1" applyFont="1" applyFill="1" applyBorder="1" applyAlignment="1">
      <alignment horizontal="right"/>
    </xf>
    <xf numFmtId="168" fontId="7" fillId="61" borderId="7" xfId="0" applyNumberFormat="1" applyFont="1" applyFill="1" applyBorder="1" applyAlignment="1">
      <alignment horizontal="right"/>
    </xf>
    <xf numFmtId="168" fontId="7" fillId="62" borderId="7" xfId="0" applyNumberFormat="1" applyFont="1" applyFill="1" applyBorder="1" applyAlignment="1">
      <alignment horizontal="right"/>
    </xf>
    <xf numFmtId="168" fontId="7" fillId="63" borderId="7" xfId="0" applyNumberFormat="1" applyFont="1" applyFill="1" applyBorder="1" applyAlignment="1">
      <alignment horizontal="right"/>
    </xf>
    <xf numFmtId="168" fontId="7" fillId="64" borderId="7" xfId="0" applyNumberFormat="1" applyFont="1" applyFill="1" applyBorder="1" applyAlignment="1">
      <alignment horizontal="right"/>
    </xf>
    <xf numFmtId="168" fontId="7" fillId="65" borderId="7" xfId="0" applyNumberFormat="1" applyFont="1" applyFill="1" applyBorder="1" applyAlignment="1">
      <alignment horizontal="right"/>
    </xf>
    <xf numFmtId="168" fontId="7" fillId="66" borderId="7" xfId="0" applyNumberFormat="1" applyFont="1" applyFill="1" applyBorder="1" applyAlignment="1">
      <alignment horizontal="right"/>
    </xf>
    <xf numFmtId="168" fontId="7" fillId="67" borderId="7" xfId="0" applyNumberFormat="1" applyFont="1" applyFill="1" applyBorder="1" applyAlignment="1">
      <alignment horizontal="right"/>
    </xf>
    <xf numFmtId="168" fontId="7" fillId="68" borderId="7" xfId="0" applyNumberFormat="1" applyFont="1" applyFill="1" applyBorder="1" applyAlignment="1">
      <alignment horizontal="right"/>
    </xf>
    <xf numFmtId="168" fontId="7" fillId="69" borderId="7" xfId="0" applyNumberFormat="1" applyFont="1" applyFill="1" applyBorder="1" applyAlignment="1">
      <alignment horizontal="right"/>
    </xf>
    <xf numFmtId="168" fontId="7" fillId="70" borderId="7" xfId="0" applyNumberFormat="1" applyFont="1" applyFill="1" applyBorder="1" applyAlignment="1">
      <alignment horizontal="right"/>
    </xf>
    <xf numFmtId="168" fontId="7" fillId="71" borderId="7" xfId="0" applyNumberFormat="1" applyFont="1" applyFill="1" applyBorder="1" applyAlignment="1">
      <alignment horizontal="right"/>
    </xf>
    <xf numFmtId="165" fontId="7" fillId="0" borderId="0" xfId="0" applyNumberFormat="1" applyFont="1" applyAlignment="1">
      <alignment horizontal="center"/>
    </xf>
    <xf numFmtId="0" fontId="7" fillId="0" borderId="7" xfId="0" applyFont="1" applyBorder="1" applyAlignment="1">
      <alignment horizontal="right"/>
    </xf>
    <xf numFmtId="168" fontId="7" fillId="72" borderId="7" xfId="0" applyNumberFormat="1" applyFont="1" applyFill="1" applyBorder="1" applyAlignment="1">
      <alignment horizontal="right"/>
    </xf>
    <xf numFmtId="0" fontId="8" fillId="0" borderId="0" xfId="0" applyFont="1"/>
    <xf numFmtId="0" fontId="11" fillId="0" borderId="4" xfId="0" applyFont="1" applyBorder="1"/>
    <xf numFmtId="0" fontId="16" fillId="0" borderId="0" xfId="0" applyFont="1"/>
    <xf numFmtId="165" fontId="11" fillId="0" borderId="7" xfId="0" applyNumberFormat="1" applyFont="1" applyBorder="1" applyAlignment="1">
      <alignment horizontal="center"/>
    </xf>
    <xf numFmtId="167" fontId="17" fillId="0" borderId="7" xfId="0" applyNumberFormat="1" applyFont="1" applyBorder="1" applyAlignment="1">
      <alignment horizontal="center"/>
    </xf>
    <xf numFmtId="0" fontId="17" fillId="0" borderId="7" xfId="0" applyFont="1" applyBorder="1" applyAlignment="1">
      <alignment horizontal="right"/>
    </xf>
    <xf numFmtId="0" fontId="17" fillId="0" borderId="7" xfId="0" applyFont="1" applyBorder="1"/>
    <xf numFmtId="0" fontId="18" fillId="0" borderId="0" xfId="0" applyFont="1"/>
    <xf numFmtId="165" fontId="11" fillId="0" borderId="9" xfId="0" applyNumberFormat="1" applyFont="1" applyBorder="1" applyAlignment="1">
      <alignment horizontal="center"/>
    </xf>
    <xf numFmtId="167" fontId="17" fillId="0" borderId="9" xfId="0" applyNumberFormat="1" applyFont="1" applyBorder="1" applyAlignment="1">
      <alignment horizontal="center"/>
    </xf>
    <xf numFmtId="0" fontId="17" fillId="0" borderId="9" xfId="0" applyFont="1" applyBorder="1" applyAlignment="1">
      <alignment horizontal="right"/>
    </xf>
    <xf numFmtId="0" fontId="17" fillId="0" borderId="9" xfId="0" applyFont="1" applyBorder="1"/>
    <xf numFmtId="165" fontId="11" fillId="0" borderId="10" xfId="0" applyNumberFormat="1" applyFont="1" applyBorder="1" applyAlignment="1">
      <alignment horizontal="center"/>
    </xf>
    <xf numFmtId="167" fontId="17" fillId="0" borderId="10" xfId="0" applyNumberFormat="1" applyFont="1" applyBorder="1" applyAlignment="1">
      <alignment horizontal="center"/>
    </xf>
    <xf numFmtId="0" fontId="17" fillId="0" borderId="10" xfId="0" applyFont="1" applyBorder="1" applyAlignment="1">
      <alignment horizontal="right"/>
    </xf>
    <xf numFmtId="0" fontId="17" fillId="0" borderId="10" xfId="0" applyFont="1" applyBorder="1"/>
    <xf numFmtId="168" fontId="7" fillId="0" borderId="11" xfId="0" applyNumberFormat="1" applyFont="1" applyBorder="1"/>
    <xf numFmtId="168" fontId="7" fillId="0" borderId="12" xfId="0" applyNumberFormat="1" applyFont="1" applyBorder="1"/>
    <xf numFmtId="167" fontId="7" fillId="0" borderId="9" xfId="0" applyNumberFormat="1" applyFont="1" applyBorder="1" applyAlignment="1">
      <alignment horizontal="center"/>
    </xf>
    <xf numFmtId="0" fontId="7" fillId="0" borderId="9" xfId="0" applyFont="1" applyBorder="1" applyAlignment="1">
      <alignment horizontal="right"/>
    </xf>
    <xf numFmtId="168" fontId="7" fillId="0" borderId="13" xfId="0" applyNumberFormat="1" applyFont="1" applyBorder="1"/>
    <xf numFmtId="168" fontId="7" fillId="0" borderId="9" xfId="0" applyNumberFormat="1" applyFont="1" applyBorder="1"/>
    <xf numFmtId="167" fontId="7" fillId="0" borderId="10" xfId="0" applyNumberFormat="1" applyFont="1" applyBorder="1" applyAlignment="1">
      <alignment horizontal="center"/>
    </xf>
    <xf numFmtId="0" fontId="7" fillId="0" borderId="10" xfId="0" applyFont="1" applyBorder="1" applyAlignment="1">
      <alignment horizontal="right"/>
    </xf>
    <xf numFmtId="168" fontId="7" fillId="0" borderId="14" xfId="0" applyNumberFormat="1" applyFont="1" applyBorder="1"/>
    <xf numFmtId="168" fontId="7" fillId="0" borderId="10" xfId="0" applyNumberFormat="1" applyFont="1" applyBorder="1"/>
    <xf numFmtId="0" fontId="3" fillId="3" borderId="1" xfId="0" applyFont="1" applyFill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9" fillId="4" borderId="4" xfId="0" applyFont="1" applyFill="1" applyBorder="1" applyAlignment="1">
      <alignment horizontal="center"/>
    </xf>
    <xf numFmtId="0" fontId="4" fillId="0" borderId="4" xfId="0" applyFont="1" applyBorder="1"/>
    <xf numFmtId="0" fontId="4" fillId="0" borderId="6" xfId="0" applyFont="1" applyBorder="1"/>
    <xf numFmtId="0" fontId="11" fillId="3" borderId="1" xfId="0" applyFont="1" applyFill="1" applyBorder="1" applyAlignment="1">
      <alignment horizontal="center"/>
    </xf>
    <xf numFmtId="0" fontId="9" fillId="4" borderId="0" xfId="0" applyFont="1" applyFill="1" applyAlignment="1">
      <alignment horizontal="center"/>
    </xf>
    <xf numFmtId="0" fontId="0" fillId="0" borderId="0" xfId="0"/>
    <xf numFmtId="0" fontId="4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7</xdr:row>
      <xdr:rowOff>68580</xdr:rowOff>
    </xdr:from>
    <xdr:ext cx="9296400" cy="360807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t="25726"/>
        <a:stretch>
          <a:fillRect/>
        </a:stretch>
      </xdr:blipFill>
      <xdr:spPr>
        <a:xfrm>
          <a:off x="152400" y="1402080"/>
          <a:ext cx="9296400" cy="360807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stage2.capital/blog/from-customer-level-to-cohorts-the-lir-journe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showGridLines="0" tabSelected="1" workbookViewId="0">
      <selection activeCell="B29" sqref="B29"/>
    </sheetView>
  </sheetViews>
  <sheetFormatPr defaultColWidth="14.44140625" defaultRowHeight="15" customHeight="1"/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2" t="s">
        <v>0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ef="B29" r:id="rId1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L1000"/>
  <sheetViews>
    <sheetView showGridLines="0" workbookViewId="0">
      <selection sqref="A1:Q1"/>
    </sheetView>
  </sheetViews>
  <sheetFormatPr defaultColWidth="14.44140625" defaultRowHeight="15" customHeight="1"/>
  <cols>
    <col min="1" max="1" width="6.88671875" customWidth="1"/>
    <col min="2" max="2" width="6.44140625" customWidth="1"/>
  </cols>
  <sheetData>
    <row r="1" spans="1:38" ht="20.399999999999999">
      <c r="A1" s="132" t="s">
        <v>91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4"/>
      <c r="R1" s="3"/>
      <c r="S1" s="3"/>
      <c r="T1" s="3"/>
      <c r="U1" s="3"/>
      <c r="V1" s="3"/>
      <c r="W1" s="3"/>
      <c r="X1" s="3"/>
      <c r="Y1" s="3"/>
      <c r="Z1" s="3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</row>
    <row r="2" spans="1:38">
      <c r="A2" s="5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</row>
    <row r="3" spans="1:38">
      <c r="A3" s="5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</row>
    <row r="4" spans="1:38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6"/>
      <c r="P4" s="6"/>
      <c r="Q4" s="6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</row>
    <row r="5" spans="1:38">
      <c r="A5" s="7" t="s">
        <v>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4"/>
      <c r="N5" s="8"/>
      <c r="O5" s="135" t="s">
        <v>4</v>
      </c>
      <c r="P5" s="136"/>
      <c r="Q5" s="137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r="6" spans="1:38">
      <c r="A6" s="4"/>
      <c r="B6" s="5" t="s">
        <v>5</v>
      </c>
      <c r="C6" s="5" t="s">
        <v>6</v>
      </c>
      <c r="D6" s="4"/>
      <c r="E6" s="4"/>
      <c r="F6" s="4"/>
      <c r="G6" s="4"/>
      <c r="H6" s="4"/>
      <c r="I6" s="4"/>
      <c r="J6" s="4"/>
      <c r="K6" s="4"/>
      <c r="L6" s="4"/>
      <c r="M6" s="4"/>
      <c r="N6" s="8"/>
      <c r="O6" s="9">
        <v>5</v>
      </c>
      <c r="P6" s="5" t="s">
        <v>7</v>
      </c>
      <c r="Q6" s="8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38">
      <c r="A7" s="4"/>
      <c r="B7" s="5" t="s">
        <v>5</v>
      </c>
      <c r="C7" s="5" t="s">
        <v>8</v>
      </c>
      <c r="D7" s="4"/>
      <c r="E7" s="4"/>
      <c r="F7" s="4"/>
      <c r="G7" s="4"/>
      <c r="H7" s="4"/>
      <c r="I7" s="4"/>
      <c r="J7" s="4"/>
      <c r="K7" s="4"/>
      <c r="L7" s="4"/>
      <c r="M7" s="4"/>
      <c r="N7" s="8"/>
      <c r="O7" s="10"/>
      <c r="P7" s="5" t="s">
        <v>9</v>
      </c>
      <c r="Q7" s="8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</row>
    <row r="8" spans="1:3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8"/>
      <c r="O8" s="11"/>
      <c r="P8" s="12" t="s">
        <v>10</v>
      </c>
      <c r="Q8" s="13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</row>
    <row r="9" spans="1:38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</row>
    <row r="10" spans="1:38">
      <c r="A10" s="138" t="s">
        <v>11</v>
      </c>
      <c r="B10" s="133"/>
      <c r="C10" s="133"/>
      <c r="D10" s="133"/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4"/>
      <c r="R10" s="3"/>
      <c r="S10" s="3"/>
      <c r="T10" s="3"/>
      <c r="U10" s="3"/>
      <c r="V10" s="3"/>
      <c r="W10" s="3"/>
      <c r="X10" s="3"/>
      <c r="Y10" s="3"/>
      <c r="Z10" s="3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</row>
    <row r="11" spans="1:38">
      <c r="A11" s="4"/>
      <c r="B11" s="4"/>
      <c r="C11" s="4"/>
      <c r="D11" s="14" t="s">
        <v>12</v>
      </c>
      <c r="E11" s="14" t="s">
        <v>13</v>
      </c>
      <c r="F11" s="14" t="s">
        <v>14</v>
      </c>
      <c r="G11" s="15" t="s">
        <v>15</v>
      </c>
      <c r="H11" s="15" t="s">
        <v>16</v>
      </c>
      <c r="I11" s="15" t="s">
        <v>17</v>
      </c>
      <c r="J11" s="15" t="s">
        <v>18</v>
      </c>
      <c r="K11" s="15" t="s">
        <v>19</v>
      </c>
      <c r="L11" s="15" t="s">
        <v>20</v>
      </c>
      <c r="M11" s="15" t="s">
        <v>21</v>
      </c>
      <c r="N11" s="15" t="s">
        <v>22</v>
      </c>
      <c r="O11" s="15" t="s">
        <v>23</v>
      </c>
      <c r="P11" s="15" t="s">
        <v>24</v>
      </c>
      <c r="Q11" s="15" t="s">
        <v>25</v>
      </c>
      <c r="R11" s="15" t="s">
        <v>26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</row>
    <row r="12" spans="1:38">
      <c r="A12" s="4"/>
      <c r="B12" s="4"/>
      <c r="C12" s="16" t="s">
        <v>27</v>
      </c>
      <c r="D12" s="17" t="s">
        <v>28</v>
      </c>
      <c r="E12" s="18">
        <v>9000</v>
      </c>
      <c r="F12" s="17" t="s">
        <v>29</v>
      </c>
      <c r="G12" s="19">
        <v>0</v>
      </c>
      <c r="H12" s="19">
        <v>0</v>
      </c>
      <c r="I12" s="19">
        <v>2</v>
      </c>
      <c r="J12" s="19">
        <v>4</v>
      </c>
      <c r="K12" s="19">
        <v>5</v>
      </c>
      <c r="L12" s="19">
        <v>5</v>
      </c>
      <c r="M12" s="19">
        <v>4</v>
      </c>
      <c r="N12" s="19">
        <v>6</v>
      </c>
      <c r="O12" s="19">
        <v>6</v>
      </c>
      <c r="P12" s="19">
        <v>7</v>
      </c>
      <c r="Q12" s="20"/>
      <c r="R12" s="20"/>
      <c r="S12" s="5" t="s">
        <v>30</v>
      </c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</row>
    <row r="13" spans="1:38">
      <c r="A13" s="4"/>
      <c r="B13" s="4"/>
      <c r="C13" s="16" t="s">
        <v>31</v>
      </c>
      <c r="D13" s="17" t="s">
        <v>28</v>
      </c>
      <c r="E13" s="18">
        <v>10000</v>
      </c>
      <c r="F13" s="17" t="s">
        <v>32</v>
      </c>
      <c r="G13" s="19">
        <v>2</v>
      </c>
      <c r="H13" s="19">
        <v>4</v>
      </c>
      <c r="I13" s="19">
        <v>5</v>
      </c>
      <c r="J13" s="19">
        <v>6</v>
      </c>
      <c r="K13" s="19">
        <v>7</v>
      </c>
      <c r="L13" s="19">
        <v>10</v>
      </c>
      <c r="M13" s="19">
        <v>15</v>
      </c>
      <c r="N13" s="19">
        <v>15</v>
      </c>
      <c r="O13" s="19">
        <v>20</v>
      </c>
      <c r="P13" s="20"/>
      <c r="Q13" s="20"/>
      <c r="R13" s="20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</row>
    <row r="14" spans="1:38">
      <c r="A14" s="4"/>
      <c r="B14" s="4"/>
      <c r="C14" s="16" t="s">
        <v>33</v>
      </c>
      <c r="D14" s="17" t="s">
        <v>34</v>
      </c>
      <c r="E14" s="18">
        <v>40000</v>
      </c>
      <c r="F14" s="17" t="s">
        <v>32</v>
      </c>
      <c r="G14" s="19">
        <v>0</v>
      </c>
      <c r="H14" s="19">
        <v>3</v>
      </c>
      <c r="I14" s="19">
        <v>6</v>
      </c>
      <c r="J14" s="19">
        <v>3</v>
      </c>
      <c r="K14" s="19">
        <v>12</v>
      </c>
      <c r="L14" s="19">
        <v>14</v>
      </c>
      <c r="M14" s="19">
        <v>14</v>
      </c>
      <c r="N14" s="19">
        <v>15</v>
      </c>
      <c r="O14" s="20"/>
      <c r="P14" s="20"/>
      <c r="Q14" s="20"/>
      <c r="R14" s="20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</row>
    <row r="15" spans="1:38">
      <c r="A15" s="4"/>
      <c r="B15" s="4"/>
      <c r="C15" s="16" t="s">
        <v>35</v>
      </c>
      <c r="D15" s="17" t="s">
        <v>36</v>
      </c>
      <c r="E15" s="18">
        <v>50000</v>
      </c>
      <c r="F15" s="17" t="s">
        <v>32</v>
      </c>
      <c r="G15" s="19">
        <v>6</v>
      </c>
      <c r="H15" s="19">
        <v>15</v>
      </c>
      <c r="I15" s="19">
        <v>19</v>
      </c>
      <c r="J15" s="19">
        <v>41</v>
      </c>
      <c r="K15" s="19">
        <v>43</v>
      </c>
      <c r="L15" s="19">
        <v>56</v>
      </c>
      <c r="M15" s="20"/>
      <c r="N15" s="20"/>
      <c r="O15" s="20"/>
      <c r="P15" s="20"/>
      <c r="Q15" s="20"/>
      <c r="R15" s="20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</row>
    <row r="16" spans="1:38">
      <c r="A16" s="4"/>
      <c r="B16" s="4"/>
      <c r="C16" s="16" t="s">
        <v>37</v>
      </c>
      <c r="D16" s="17" t="s">
        <v>36</v>
      </c>
      <c r="E16" s="18">
        <v>25000</v>
      </c>
      <c r="F16" s="17" t="s">
        <v>32</v>
      </c>
      <c r="G16" s="19">
        <v>3</v>
      </c>
      <c r="H16" s="19">
        <v>3</v>
      </c>
      <c r="I16" s="19">
        <v>5</v>
      </c>
      <c r="J16" s="19">
        <v>16</v>
      </c>
      <c r="K16" s="19">
        <v>18</v>
      </c>
      <c r="L16" s="19">
        <v>20</v>
      </c>
      <c r="M16" s="20"/>
      <c r="N16" s="20"/>
      <c r="O16" s="20"/>
      <c r="P16" s="20"/>
      <c r="Q16" s="20"/>
      <c r="R16" s="20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</row>
    <row r="17" spans="1:38">
      <c r="A17" s="4"/>
      <c r="B17" s="4"/>
      <c r="C17" s="16" t="s">
        <v>38</v>
      </c>
      <c r="D17" s="17" t="s">
        <v>39</v>
      </c>
      <c r="E17" s="18">
        <v>12000</v>
      </c>
      <c r="F17" s="17" t="s">
        <v>29</v>
      </c>
      <c r="G17" s="19">
        <v>0</v>
      </c>
      <c r="H17" s="19">
        <v>0</v>
      </c>
      <c r="I17" s="19">
        <v>0</v>
      </c>
      <c r="J17" s="19">
        <v>1</v>
      </c>
      <c r="K17" s="19">
        <v>2</v>
      </c>
      <c r="L17" s="20"/>
      <c r="M17" s="20"/>
      <c r="N17" s="20"/>
      <c r="O17" s="20"/>
      <c r="P17" s="20"/>
      <c r="Q17" s="20"/>
      <c r="R17" s="20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</row>
    <row r="18" spans="1:38">
      <c r="A18" s="4"/>
      <c r="B18" s="4"/>
      <c r="C18" s="16" t="s">
        <v>40</v>
      </c>
      <c r="D18" s="17" t="s">
        <v>41</v>
      </c>
      <c r="E18" s="18">
        <v>76000</v>
      </c>
      <c r="F18" s="17" t="s">
        <v>32</v>
      </c>
      <c r="G18" s="19">
        <v>0</v>
      </c>
      <c r="H18" s="19">
        <v>4</v>
      </c>
      <c r="I18" s="19">
        <v>6</v>
      </c>
      <c r="J18" s="19">
        <v>10</v>
      </c>
      <c r="K18" s="20"/>
      <c r="L18" s="20"/>
      <c r="M18" s="20"/>
      <c r="N18" s="20"/>
      <c r="O18" s="20"/>
      <c r="P18" s="20"/>
      <c r="Q18" s="20"/>
      <c r="R18" s="20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</row>
    <row r="19" spans="1:38">
      <c r="A19" s="4"/>
      <c r="B19" s="4"/>
      <c r="C19" s="16" t="s">
        <v>42</v>
      </c>
      <c r="D19" s="17" t="s">
        <v>41</v>
      </c>
      <c r="E19" s="18">
        <v>90000</v>
      </c>
      <c r="F19" s="17" t="s">
        <v>32</v>
      </c>
      <c r="G19" s="19">
        <v>5</v>
      </c>
      <c r="H19" s="19">
        <v>6</v>
      </c>
      <c r="I19" s="19">
        <v>7</v>
      </c>
      <c r="J19" s="19">
        <v>14</v>
      </c>
      <c r="K19" s="20"/>
      <c r="L19" s="20"/>
      <c r="M19" s="20"/>
      <c r="N19" s="20"/>
      <c r="O19" s="20"/>
      <c r="P19" s="20"/>
      <c r="Q19" s="20"/>
      <c r="R19" s="20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</row>
    <row r="20" spans="1:38">
      <c r="A20" s="4"/>
      <c r="B20" s="4"/>
      <c r="C20" s="16" t="s">
        <v>43</v>
      </c>
      <c r="D20" s="17" t="s">
        <v>44</v>
      </c>
      <c r="E20" s="18">
        <v>45000</v>
      </c>
      <c r="F20" s="17" t="s">
        <v>32</v>
      </c>
      <c r="G20" s="19">
        <v>0</v>
      </c>
      <c r="H20" s="19">
        <v>5</v>
      </c>
      <c r="I20" s="19">
        <v>12</v>
      </c>
      <c r="J20" s="20"/>
      <c r="K20" s="20"/>
      <c r="L20" s="20"/>
      <c r="M20" s="20"/>
      <c r="N20" s="20"/>
      <c r="O20" s="20"/>
      <c r="P20" s="20"/>
      <c r="Q20" s="20"/>
      <c r="R20" s="20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</row>
    <row r="21" spans="1:38">
      <c r="A21" s="4"/>
      <c r="B21" s="4"/>
      <c r="C21" s="16" t="s">
        <v>45</v>
      </c>
      <c r="D21" s="17" t="s">
        <v>46</v>
      </c>
      <c r="E21" s="18">
        <v>55000</v>
      </c>
      <c r="F21" s="17" t="s">
        <v>32</v>
      </c>
      <c r="G21" s="19">
        <v>4</v>
      </c>
      <c r="H21" s="19">
        <v>4</v>
      </c>
      <c r="I21" s="19">
        <v>4</v>
      </c>
      <c r="J21" s="20"/>
      <c r="K21" s="20"/>
      <c r="L21" s="20"/>
      <c r="M21" s="20"/>
      <c r="N21" s="20"/>
      <c r="O21" s="20"/>
      <c r="P21" s="20"/>
      <c r="Q21" s="20"/>
      <c r="R21" s="20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</row>
    <row r="22" spans="1:38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</row>
    <row r="23" spans="1:38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</row>
    <row r="24" spans="1:38">
      <c r="A24" s="138" t="s">
        <v>47</v>
      </c>
      <c r="B24" s="133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4"/>
      <c r="R24" s="3"/>
      <c r="S24" s="3"/>
      <c r="T24" s="3"/>
      <c r="U24" s="3"/>
      <c r="V24" s="3"/>
      <c r="W24" s="3"/>
      <c r="X24" s="3"/>
      <c r="Y24" s="3"/>
      <c r="Z24" s="3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</row>
    <row r="25" spans="1:38">
      <c r="A25" s="4"/>
      <c r="B25" s="4"/>
      <c r="C25" s="4"/>
      <c r="D25" s="14" t="s">
        <v>12</v>
      </c>
      <c r="E25" s="14" t="s">
        <v>13</v>
      </c>
      <c r="F25" s="14" t="s">
        <v>14</v>
      </c>
      <c r="G25" s="15" t="str">
        <f t="shared" ref="G25:R25" si="0">G11</f>
        <v>Month 1</v>
      </c>
      <c r="H25" s="15" t="str">
        <f t="shared" si="0"/>
        <v>Month 2</v>
      </c>
      <c r="I25" s="15" t="str">
        <f t="shared" si="0"/>
        <v>Month 3</v>
      </c>
      <c r="J25" s="15" t="str">
        <f t="shared" si="0"/>
        <v>Month 4</v>
      </c>
      <c r="K25" s="15" t="str">
        <f t="shared" si="0"/>
        <v>Month 5</v>
      </c>
      <c r="L25" s="15" t="str">
        <f t="shared" si="0"/>
        <v>Month 6</v>
      </c>
      <c r="M25" s="15" t="str">
        <f t="shared" si="0"/>
        <v>Month 7</v>
      </c>
      <c r="N25" s="15" t="str">
        <f t="shared" si="0"/>
        <v>Month 8</v>
      </c>
      <c r="O25" s="15" t="str">
        <f t="shared" si="0"/>
        <v>Month 9</v>
      </c>
      <c r="P25" s="15" t="str">
        <f t="shared" si="0"/>
        <v>Month 10</v>
      </c>
      <c r="Q25" s="15" t="str">
        <f t="shared" si="0"/>
        <v>Month 11</v>
      </c>
      <c r="R25" s="15" t="str">
        <f t="shared" si="0"/>
        <v>Month 12</v>
      </c>
      <c r="S25" s="15" t="s">
        <v>48</v>
      </c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</row>
    <row r="26" spans="1:38">
      <c r="A26" s="4"/>
      <c r="B26" s="4"/>
      <c r="C26" s="16" t="str">
        <f t="shared" ref="C26:F26" si="1">C12</f>
        <v>Customer 1</v>
      </c>
      <c r="D26" s="21" t="str">
        <f t="shared" si="1"/>
        <v>Jan '23</v>
      </c>
      <c r="E26" s="22">
        <f t="shared" si="1"/>
        <v>9000</v>
      </c>
      <c r="F26" s="23" t="str">
        <f t="shared" si="1"/>
        <v>No</v>
      </c>
      <c r="G26" s="24">
        <f t="shared" ref="G26:R26" si="2">IF(ISBLANK(G12),"", (IF(G12&lt;$O$6, 0, 1)))</f>
        <v>0</v>
      </c>
      <c r="H26" s="24">
        <f t="shared" si="2"/>
        <v>0</v>
      </c>
      <c r="I26" s="24">
        <f t="shared" si="2"/>
        <v>0</v>
      </c>
      <c r="J26" s="24">
        <f t="shared" si="2"/>
        <v>0</v>
      </c>
      <c r="K26" s="25">
        <f t="shared" si="2"/>
        <v>1</v>
      </c>
      <c r="L26" s="25">
        <f t="shared" si="2"/>
        <v>1</v>
      </c>
      <c r="M26" s="24">
        <f t="shared" si="2"/>
        <v>0</v>
      </c>
      <c r="N26" s="25">
        <f t="shared" si="2"/>
        <v>1</v>
      </c>
      <c r="O26" s="25">
        <f t="shared" si="2"/>
        <v>1</v>
      </c>
      <c r="P26" s="25">
        <f t="shared" si="2"/>
        <v>1</v>
      </c>
      <c r="Q26" s="20" t="str">
        <f t="shared" si="2"/>
        <v/>
      </c>
      <c r="R26" s="20" t="str">
        <f t="shared" si="2"/>
        <v/>
      </c>
      <c r="S26" s="25">
        <f t="array" ref="S26">LOOKUP(2,1/(G26:R26&lt;&gt;""),G26:R26)</f>
        <v>1</v>
      </c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</row>
    <row r="27" spans="1:38">
      <c r="A27" s="4"/>
      <c r="B27" s="4"/>
      <c r="C27" s="16" t="str">
        <f t="shared" ref="C27:F27" si="3">C13</f>
        <v>Customer 2</v>
      </c>
      <c r="D27" s="21" t="str">
        <f t="shared" si="3"/>
        <v>Jan '23</v>
      </c>
      <c r="E27" s="22">
        <f t="shared" si="3"/>
        <v>10000</v>
      </c>
      <c r="F27" s="23" t="str">
        <f t="shared" si="3"/>
        <v>Yes</v>
      </c>
      <c r="G27" s="24">
        <f t="shared" ref="G27:R27" si="4">IF(ISBLANK(G13),"", (IF(G13&lt;$O$6, 0, 1)))</f>
        <v>0</v>
      </c>
      <c r="H27" s="24">
        <f t="shared" si="4"/>
        <v>0</v>
      </c>
      <c r="I27" s="25">
        <f t="shared" si="4"/>
        <v>1</v>
      </c>
      <c r="J27" s="25">
        <f t="shared" si="4"/>
        <v>1</v>
      </c>
      <c r="K27" s="25">
        <f t="shared" si="4"/>
        <v>1</v>
      </c>
      <c r="L27" s="25">
        <f t="shared" si="4"/>
        <v>1</v>
      </c>
      <c r="M27" s="25">
        <f t="shared" si="4"/>
        <v>1</v>
      </c>
      <c r="N27" s="25">
        <f t="shared" si="4"/>
        <v>1</v>
      </c>
      <c r="O27" s="25">
        <f t="shared" si="4"/>
        <v>1</v>
      </c>
      <c r="P27" s="20" t="str">
        <f t="shared" si="4"/>
        <v/>
      </c>
      <c r="Q27" s="20" t="str">
        <f t="shared" si="4"/>
        <v/>
      </c>
      <c r="R27" s="20" t="str">
        <f t="shared" si="4"/>
        <v/>
      </c>
      <c r="S27" s="26">
        <f t="shared" ref="S27:S35" si="5">LOOKUP(2,1/(G27:R27&lt;&gt;""),G27:R27)</f>
        <v>1</v>
      </c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</row>
    <row r="28" spans="1:38">
      <c r="A28" s="4"/>
      <c r="B28" s="4"/>
      <c r="C28" s="16" t="str">
        <f t="shared" ref="C28:F28" si="6">C14</f>
        <v>Customer 3</v>
      </c>
      <c r="D28" s="21" t="str">
        <f t="shared" si="6"/>
        <v>Feb '23</v>
      </c>
      <c r="E28" s="22">
        <f t="shared" si="6"/>
        <v>40000</v>
      </c>
      <c r="F28" s="23" t="str">
        <f t="shared" si="6"/>
        <v>Yes</v>
      </c>
      <c r="G28" s="24">
        <f t="shared" ref="G28:R28" si="7">IF(ISBLANK(G14),"", (IF(G14&lt;$O$6, 0, 1)))</f>
        <v>0</v>
      </c>
      <c r="H28" s="24">
        <f t="shared" si="7"/>
        <v>0</v>
      </c>
      <c r="I28" s="25">
        <f t="shared" si="7"/>
        <v>1</v>
      </c>
      <c r="J28" s="24">
        <f t="shared" si="7"/>
        <v>0</v>
      </c>
      <c r="K28" s="25">
        <f t="shared" si="7"/>
        <v>1</v>
      </c>
      <c r="L28" s="25">
        <f t="shared" si="7"/>
        <v>1</v>
      </c>
      <c r="M28" s="25">
        <f t="shared" si="7"/>
        <v>1</v>
      </c>
      <c r="N28" s="25">
        <f t="shared" si="7"/>
        <v>1</v>
      </c>
      <c r="O28" s="20" t="str">
        <f t="shared" si="7"/>
        <v/>
      </c>
      <c r="P28" s="20" t="str">
        <f t="shared" si="7"/>
        <v/>
      </c>
      <c r="Q28" s="20" t="str">
        <f t="shared" si="7"/>
        <v/>
      </c>
      <c r="R28" s="20" t="str">
        <f t="shared" si="7"/>
        <v/>
      </c>
      <c r="S28" s="26">
        <f t="shared" si="5"/>
        <v>1</v>
      </c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</row>
    <row r="29" spans="1:38">
      <c r="A29" s="4"/>
      <c r="B29" s="4"/>
      <c r="C29" s="16" t="str">
        <f t="shared" ref="C29:F29" si="8">C15</f>
        <v>Customer 4</v>
      </c>
      <c r="D29" s="21" t="str">
        <f t="shared" si="8"/>
        <v>May '23</v>
      </c>
      <c r="E29" s="22">
        <f t="shared" si="8"/>
        <v>50000</v>
      </c>
      <c r="F29" s="23" t="str">
        <f t="shared" si="8"/>
        <v>Yes</v>
      </c>
      <c r="G29" s="25">
        <f t="shared" ref="G29:R29" si="9">IF(ISBLANK(G15),"", (IF(G15&lt;$O$6, 0, 1)))</f>
        <v>1</v>
      </c>
      <c r="H29" s="25">
        <f t="shared" si="9"/>
        <v>1</v>
      </c>
      <c r="I29" s="25">
        <f t="shared" si="9"/>
        <v>1</v>
      </c>
      <c r="J29" s="25">
        <f t="shared" si="9"/>
        <v>1</v>
      </c>
      <c r="K29" s="25">
        <f t="shared" si="9"/>
        <v>1</v>
      </c>
      <c r="L29" s="25">
        <f t="shared" si="9"/>
        <v>1</v>
      </c>
      <c r="M29" s="20" t="str">
        <f t="shared" si="9"/>
        <v/>
      </c>
      <c r="N29" s="20" t="str">
        <f t="shared" si="9"/>
        <v/>
      </c>
      <c r="O29" s="20" t="str">
        <f t="shared" si="9"/>
        <v/>
      </c>
      <c r="P29" s="20" t="str">
        <f t="shared" si="9"/>
        <v/>
      </c>
      <c r="Q29" s="20" t="str">
        <f t="shared" si="9"/>
        <v/>
      </c>
      <c r="R29" s="20" t="str">
        <f t="shared" si="9"/>
        <v/>
      </c>
      <c r="S29" s="26">
        <f t="shared" si="5"/>
        <v>1</v>
      </c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</row>
    <row r="30" spans="1:38">
      <c r="A30" s="4"/>
      <c r="B30" s="4"/>
      <c r="C30" s="16" t="str">
        <f t="shared" ref="C30:F30" si="10">C16</f>
        <v>Customer 5</v>
      </c>
      <c r="D30" s="21" t="str">
        <f t="shared" si="10"/>
        <v>May '23</v>
      </c>
      <c r="E30" s="22">
        <f t="shared" si="10"/>
        <v>25000</v>
      </c>
      <c r="F30" s="23" t="str">
        <f t="shared" si="10"/>
        <v>Yes</v>
      </c>
      <c r="G30" s="24">
        <f t="shared" ref="G30:R30" si="11">IF(ISBLANK(G16),"", (IF(G16&lt;$O$6, 0, 1)))</f>
        <v>0</v>
      </c>
      <c r="H30" s="24">
        <f t="shared" si="11"/>
        <v>0</v>
      </c>
      <c r="I30" s="25">
        <f t="shared" si="11"/>
        <v>1</v>
      </c>
      <c r="J30" s="25">
        <f t="shared" si="11"/>
        <v>1</v>
      </c>
      <c r="K30" s="25">
        <f t="shared" si="11"/>
        <v>1</v>
      </c>
      <c r="L30" s="25">
        <f t="shared" si="11"/>
        <v>1</v>
      </c>
      <c r="M30" s="20" t="str">
        <f t="shared" si="11"/>
        <v/>
      </c>
      <c r="N30" s="20" t="str">
        <f t="shared" si="11"/>
        <v/>
      </c>
      <c r="O30" s="20" t="str">
        <f t="shared" si="11"/>
        <v/>
      </c>
      <c r="P30" s="20" t="str">
        <f t="shared" si="11"/>
        <v/>
      </c>
      <c r="Q30" s="20" t="str">
        <f t="shared" si="11"/>
        <v/>
      </c>
      <c r="R30" s="20" t="str">
        <f t="shared" si="11"/>
        <v/>
      </c>
      <c r="S30" s="26">
        <f t="shared" si="5"/>
        <v>1</v>
      </c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</row>
    <row r="31" spans="1:38">
      <c r="A31" s="4"/>
      <c r="B31" s="4"/>
      <c r="C31" s="16" t="str">
        <f t="shared" ref="C31:F31" si="12">C17</f>
        <v>Customer 6</v>
      </c>
      <c r="D31" s="21" t="str">
        <f t="shared" si="12"/>
        <v>June '23</v>
      </c>
      <c r="E31" s="22">
        <f t="shared" si="12"/>
        <v>12000</v>
      </c>
      <c r="F31" s="23" t="str">
        <f t="shared" si="12"/>
        <v>No</v>
      </c>
      <c r="G31" s="24">
        <f t="shared" ref="G31:R31" si="13">IF(ISBLANK(G17),"", (IF(G17&lt;$O$6, 0, 1)))</f>
        <v>0</v>
      </c>
      <c r="H31" s="24">
        <f t="shared" si="13"/>
        <v>0</v>
      </c>
      <c r="I31" s="24">
        <f t="shared" si="13"/>
        <v>0</v>
      </c>
      <c r="J31" s="24">
        <f t="shared" si="13"/>
        <v>0</v>
      </c>
      <c r="K31" s="24">
        <f t="shared" si="13"/>
        <v>0</v>
      </c>
      <c r="L31" s="20" t="str">
        <f t="shared" si="13"/>
        <v/>
      </c>
      <c r="M31" s="20" t="str">
        <f t="shared" si="13"/>
        <v/>
      </c>
      <c r="N31" s="20" t="str">
        <f t="shared" si="13"/>
        <v/>
      </c>
      <c r="O31" s="20" t="str">
        <f t="shared" si="13"/>
        <v/>
      </c>
      <c r="P31" s="20" t="str">
        <f t="shared" si="13"/>
        <v/>
      </c>
      <c r="Q31" s="20" t="str">
        <f t="shared" si="13"/>
        <v/>
      </c>
      <c r="R31" s="20" t="str">
        <f t="shared" si="13"/>
        <v/>
      </c>
      <c r="S31" s="26">
        <f t="shared" si="5"/>
        <v>0</v>
      </c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</row>
    <row r="32" spans="1:38">
      <c r="A32" s="4"/>
      <c r="B32" s="4"/>
      <c r="C32" s="16" t="str">
        <f t="shared" ref="C32:F32" si="14">C18</f>
        <v>Customer 7</v>
      </c>
      <c r="D32" s="21" t="str">
        <f t="shared" si="14"/>
        <v>July '23</v>
      </c>
      <c r="E32" s="22">
        <f t="shared" si="14"/>
        <v>76000</v>
      </c>
      <c r="F32" s="23" t="str">
        <f t="shared" si="14"/>
        <v>Yes</v>
      </c>
      <c r="G32" s="24">
        <f t="shared" ref="G32:R32" si="15">IF(ISBLANK(G18),"", (IF(G18&lt;$O$6, 0, 1)))</f>
        <v>0</v>
      </c>
      <c r="H32" s="24">
        <f t="shared" si="15"/>
        <v>0</v>
      </c>
      <c r="I32" s="25">
        <f t="shared" si="15"/>
        <v>1</v>
      </c>
      <c r="J32" s="25">
        <f t="shared" si="15"/>
        <v>1</v>
      </c>
      <c r="K32" s="20" t="str">
        <f t="shared" si="15"/>
        <v/>
      </c>
      <c r="L32" s="20" t="str">
        <f t="shared" si="15"/>
        <v/>
      </c>
      <c r="M32" s="20" t="str">
        <f t="shared" si="15"/>
        <v/>
      </c>
      <c r="N32" s="20" t="str">
        <f t="shared" si="15"/>
        <v/>
      </c>
      <c r="O32" s="20" t="str">
        <f t="shared" si="15"/>
        <v/>
      </c>
      <c r="P32" s="20" t="str">
        <f t="shared" si="15"/>
        <v/>
      </c>
      <c r="Q32" s="20" t="str">
        <f t="shared" si="15"/>
        <v/>
      </c>
      <c r="R32" s="20" t="str">
        <f t="shared" si="15"/>
        <v/>
      </c>
      <c r="S32" s="26">
        <f t="shared" si="5"/>
        <v>1</v>
      </c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</row>
    <row r="33" spans="1:38">
      <c r="A33" s="4"/>
      <c r="B33" s="4"/>
      <c r="C33" s="16" t="str">
        <f t="shared" ref="C33:F33" si="16">C19</f>
        <v>Customer 8</v>
      </c>
      <c r="D33" s="21" t="str">
        <f t="shared" si="16"/>
        <v>July '23</v>
      </c>
      <c r="E33" s="22">
        <f t="shared" si="16"/>
        <v>90000</v>
      </c>
      <c r="F33" s="23" t="str">
        <f t="shared" si="16"/>
        <v>Yes</v>
      </c>
      <c r="G33" s="25">
        <f t="shared" ref="G33:R33" si="17">IF(ISBLANK(G19),"", (IF(G19&lt;$O$6, 0, 1)))</f>
        <v>1</v>
      </c>
      <c r="H33" s="25">
        <f t="shared" si="17"/>
        <v>1</v>
      </c>
      <c r="I33" s="25">
        <f t="shared" si="17"/>
        <v>1</v>
      </c>
      <c r="J33" s="25">
        <f t="shared" si="17"/>
        <v>1</v>
      </c>
      <c r="K33" s="20" t="str">
        <f t="shared" si="17"/>
        <v/>
      </c>
      <c r="L33" s="20" t="str">
        <f t="shared" si="17"/>
        <v/>
      </c>
      <c r="M33" s="20" t="str">
        <f t="shared" si="17"/>
        <v/>
      </c>
      <c r="N33" s="20" t="str">
        <f t="shared" si="17"/>
        <v/>
      </c>
      <c r="O33" s="20" t="str">
        <f t="shared" si="17"/>
        <v/>
      </c>
      <c r="P33" s="20" t="str">
        <f t="shared" si="17"/>
        <v/>
      </c>
      <c r="Q33" s="20" t="str">
        <f t="shared" si="17"/>
        <v/>
      </c>
      <c r="R33" s="20" t="str">
        <f t="shared" si="17"/>
        <v/>
      </c>
      <c r="S33" s="26">
        <f t="shared" si="5"/>
        <v>1</v>
      </c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</row>
    <row r="34" spans="1:38">
      <c r="A34" s="4"/>
      <c r="B34" s="4"/>
      <c r="C34" s="16" t="str">
        <f t="shared" ref="C34:F34" si="18">C20</f>
        <v>Customer 9</v>
      </c>
      <c r="D34" s="21" t="str">
        <f t="shared" si="18"/>
        <v>Aug '23</v>
      </c>
      <c r="E34" s="22">
        <f t="shared" si="18"/>
        <v>45000</v>
      </c>
      <c r="F34" s="23" t="str">
        <f t="shared" si="18"/>
        <v>Yes</v>
      </c>
      <c r="G34" s="24">
        <f t="shared" ref="G34:R34" si="19">IF(ISBLANK(G20),"", (IF(G20&lt;$O$6, 0, 1)))</f>
        <v>0</v>
      </c>
      <c r="H34" s="25">
        <f t="shared" si="19"/>
        <v>1</v>
      </c>
      <c r="I34" s="25">
        <f t="shared" si="19"/>
        <v>1</v>
      </c>
      <c r="J34" s="20" t="str">
        <f t="shared" si="19"/>
        <v/>
      </c>
      <c r="K34" s="20" t="str">
        <f t="shared" si="19"/>
        <v/>
      </c>
      <c r="L34" s="20" t="str">
        <f t="shared" si="19"/>
        <v/>
      </c>
      <c r="M34" s="20" t="str">
        <f t="shared" si="19"/>
        <v/>
      </c>
      <c r="N34" s="20" t="str">
        <f t="shared" si="19"/>
        <v/>
      </c>
      <c r="O34" s="20" t="str">
        <f t="shared" si="19"/>
        <v/>
      </c>
      <c r="P34" s="20" t="str">
        <f t="shared" si="19"/>
        <v/>
      </c>
      <c r="Q34" s="20" t="str">
        <f t="shared" si="19"/>
        <v/>
      </c>
      <c r="R34" s="20" t="str">
        <f t="shared" si="19"/>
        <v/>
      </c>
      <c r="S34" s="26">
        <f t="shared" si="5"/>
        <v>1</v>
      </c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</row>
    <row r="35" spans="1:38">
      <c r="A35" s="4"/>
      <c r="B35" s="4"/>
      <c r="C35" s="16" t="str">
        <f t="shared" ref="C35:F35" si="20">C21</f>
        <v>Customer 10</v>
      </c>
      <c r="D35" s="21" t="str">
        <f t="shared" si="20"/>
        <v>Aug '24</v>
      </c>
      <c r="E35" s="22">
        <f t="shared" si="20"/>
        <v>55000</v>
      </c>
      <c r="F35" s="23" t="str">
        <f t="shared" si="20"/>
        <v>Yes</v>
      </c>
      <c r="G35" s="24">
        <f t="shared" ref="G35:R35" si="21">IF(ISBLANK(G21),"", (IF(G21&lt;$O$6, 0, 1)))</f>
        <v>0</v>
      </c>
      <c r="H35" s="24">
        <f t="shared" si="21"/>
        <v>0</v>
      </c>
      <c r="I35" s="24">
        <f t="shared" si="21"/>
        <v>0</v>
      </c>
      <c r="J35" s="20" t="str">
        <f t="shared" si="21"/>
        <v/>
      </c>
      <c r="K35" s="20" t="str">
        <f t="shared" si="21"/>
        <v/>
      </c>
      <c r="L35" s="20" t="str">
        <f t="shared" si="21"/>
        <v/>
      </c>
      <c r="M35" s="20" t="str">
        <f t="shared" si="21"/>
        <v/>
      </c>
      <c r="N35" s="20" t="str">
        <f t="shared" si="21"/>
        <v/>
      </c>
      <c r="O35" s="20" t="str">
        <f t="shared" si="21"/>
        <v/>
      </c>
      <c r="P35" s="20" t="str">
        <f t="shared" si="21"/>
        <v/>
      </c>
      <c r="Q35" s="20" t="str">
        <f t="shared" si="21"/>
        <v/>
      </c>
      <c r="R35" s="20" t="str">
        <f t="shared" si="21"/>
        <v/>
      </c>
      <c r="S35" s="26">
        <f t="shared" si="5"/>
        <v>0</v>
      </c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</row>
    <row r="36" spans="1:38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6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</row>
    <row r="37" spans="1:38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27" t="s">
        <v>49</v>
      </c>
      <c r="S37" s="28">
        <f>SUM(S26:S35)/COUNT(S26:S35)</f>
        <v>0.8</v>
      </c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</row>
    <row r="38" spans="1: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29" t="s">
        <v>50</v>
      </c>
      <c r="S38" s="30">
        <v>0.7</v>
      </c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</row>
    <row r="39" spans="1:38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</row>
    <row r="40" spans="1:38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</row>
    <row r="41" spans="1:38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</row>
    <row r="42" spans="1:38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</row>
    <row r="43" spans="1:38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</row>
    <row r="44" spans="1:38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</row>
    <row r="45" spans="1:38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</row>
    <row r="46" spans="1:38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</row>
    <row r="47" spans="1:38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</row>
    <row r="48" spans="1:3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</row>
    <row r="49" spans="1:38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</row>
    <row r="50" spans="1:38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</row>
    <row r="51" spans="1:38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</row>
    <row r="52" spans="1:38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</row>
    <row r="53" spans="1:38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</row>
    <row r="54" spans="1:38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</row>
    <row r="55" spans="1:38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</row>
    <row r="56" spans="1:38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</row>
    <row r="57" spans="1:38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</row>
    <row r="58" spans="1:3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</row>
    <row r="59" spans="1:38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</row>
    <row r="60" spans="1:38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</row>
    <row r="61" spans="1:38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</row>
    <row r="62" spans="1:38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</row>
    <row r="63" spans="1:38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</row>
    <row r="64" spans="1:38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</row>
    <row r="65" spans="1:38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</row>
    <row r="66" spans="1:38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</row>
    <row r="67" spans="1:38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</row>
    <row r="68" spans="1:3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</row>
    <row r="69" spans="1:38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</row>
    <row r="70" spans="1:38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</row>
    <row r="71" spans="1:38" ht="14.4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</row>
    <row r="72" spans="1:38" ht="14.4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</row>
    <row r="73" spans="1:38" ht="14.4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</row>
    <row r="74" spans="1:38" ht="14.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</row>
    <row r="75" spans="1:38" ht="14.4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</row>
    <row r="76" spans="1:38" ht="14.4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</row>
    <row r="77" spans="1:38" ht="14.4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</row>
    <row r="78" spans="1:38" ht="14.4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</row>
    <row r="79" spans="1:38" ht="14.4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</row>
    <row r="80" spans="1:38" ht="14.4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</row>
    <row r="81" spans="1:38" ht="14.4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</row>
    <row r="82" spans="1:38" ht="14.4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</row>
    <row r="83" spans="1:38" ht="14.4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</row>
    <row r="84" spans="1:38" ht="14.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</row>
    <row r="85" spans="1:38" ht="14.4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</row>
    <row r="86" spans="1:38" ht="14.4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</row>
    <row r="87" spans="1:38" ht="14.4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</row>
    <row r="88" spans="1:38" ht="14.4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</row>
    <row r="89" spans="1:38" ht="14.4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</row>
    <row r="90" spans="1:38" ht="14.4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</row>
    <row r="91" spans="1:38" ht="14.4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</row>
    <row r="92" spans="1:38" ht="14.4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</row>
    <row r="93" spans="1:38" ht="14.4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</row>
    <row r="94" spans="1:38" ht="14.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</row>
    <row r="95" spans="1:38" ht="14.4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</row>
    <row r="96" spans="1:38" ht="14.4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</row>
    <row r="97" spans="1:38" ht="14.4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</row>
    <row r="98" spans="1:38" ht="14.4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</row>
    <row r="99" spans="1:38" ht="14.4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</row>
    <row r="100" spans="1:38" ht="14.4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</row>
    <row r="101" spans="1:38" ht="14.4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</row>
    <row r="102" spans="1:38" ht="14.4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</row>
    <row r="103" spans="1:38" ht="14.4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</row>
    <row r="104" spans="1:38" ht="14.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</row>
    <row r="105" spans="1:38" ht="14.4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</row>
    <row r="106" spans="1:38" ht="14.4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</row>
    <row r="107" spans="1:38" ht="14.4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</row>
    <row r="108" spans="1:38" ht="14.4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</row>
    <row r="109" spans="1:38" ht="14.4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</row>
    <row r="110" spans="1:38" ht="14.4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</row>
    <row r="111" spans="1:38" ht="14.4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</row>
    <row r="112" spans="1:38" ht="14.4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</row>
    <row r="113" spans="1:38" ht="14.4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</row>
    <row r="114" spans="1:38" ht="14.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</row>
    <row r="115" spans="1:38" ht="14.4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</row>
    <row r="116" spans="1:38" ht="14.4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</row>
    <row r="117" spans="1:38" ht="14.4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</row>
    <row r="118" spans="1:38" ht="14.4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</row>
    <row r="119" spans="1:38" ht="14.4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</row>
    <row r="120" spans="1:38" ht="14.4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</row>
    <row r="121" spans="1:38" ht="14.4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</row>
    <row r="122" spans="1:38" ht="14.4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</row>
    <row r="123" spans="1:38" ht="14.4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</row>
    <row r="124" spans="1:38" ht="14.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</row>
    <row r="125" spans="1:38" ht="14.4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</row>
    <row r="126" spans="1:38" ht="14.4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</row>
    <row r="127" spans="1:38" ht="14.4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</row>
    <row r="128" spans="1:38" ht="14.4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</row>
    <row r="129" spans="1:38" ht="14.4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</row>
    <row r="130" spans="1:38" ht="14.4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</row>
    <row r="131" spans="1:38" ht="14.4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</row>
    <row r="132" spans="1:38" ht="14.4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</row>
    <row r="133" spans="1:38" ht="14.4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</row>
    <row r="134" spans="1:38" ht="14.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</row>
    <row r="135" spans="1:38" ht="14.4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</row>
    <row r="136" spans="1:38" ht="14.4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</row>
    <row r="137" spans="1:38" ht="14.4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</row>
    <row r="138" spans="1:38" ht="14.4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</row>
    <row r="139" spans="1:38" ht="14.4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</row>
    <row r="140" spans="1:38" ht="14.4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</row>
    <row r="141" spans="1:38" ht="14.4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</row>
    <row r="142" spans="1:38" ht="14.4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</row>
    <row r="143" spans="1:38" ht="14.4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</row>
    <row r="144" spans="1:38" ht="14.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</row>
    <row r="145" spans="1:38" ht="14.4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</row>
    <row r="146" spans="1:38" ht="14.4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</row>
    <row r="147" spans="1:38" ht="14.4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</row>
    <row r="148" spans="1:38" ht="14.4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</row>
    <row r="149" spans="1:38" ht="14.4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</row>
    <row r="150" spans="1:38" ht="14.4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</row>
    <row r="151" spans="1:38" ht="14.4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</row>
    <row r="152" spans="1:38" ht="14.4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</row>
    <row r="153" spans="1:38" ht="14.4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</row>
    <row r="154" spans="1:38" ht="14.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</row>
    <row r="155" spans="1:38" ht="14.4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</row>
    <row r="156" spans="1:38" ht="14.4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</row>
    <row r="157" spans="1:38" ht="14.4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</row>
    <row r="158" spans="1:38" ht="14.4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</row>
    <row r="159" spans="1:38" ht="14.4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</row>
    <row r="160" spans="1:38" ht="14.4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</row>
    <row r="161" spans="1:38" ht="14.4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</row>
    <row r="162" spans="1:38" ht="14.4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</row>
    <row r="163" spans="1:38" ht="14.4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</row>
    <row r="164" spans="1:38" ht="14.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</row>
    <row r="165" spans="1:38" ht="14.4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</row>
    <row r="166" spans="1:38" ht="14.4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</row>
    <row r="167" spans="1:38" ht="14.4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</row>
    <row r="168" spans="1:38" ht="14.4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</row>
    <row r="169" spans="1:38" ht="14.4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</row>
    <row r="170" spans="1:38" ht="14.4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</row>
    <row r="171" spans="1:38" ht="14.4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</row>
    <row r="172" spans="1:38" ht="14.4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</row>
    <row r="173" spans="1:38" ht="14.4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</row>
    <row r="174" spans="1:38" ht="14.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</row>
    <row r="175" spans="1:38" ht="14.4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</row>
    <row r="176" spans="1:38" ht="14.4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</row>
    <row r="177" spans="1:38" ht="14.4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</row>
    <row r="178" spans="1:38" ht="14.4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</row>
    <row r="179" spans="1:38" ht="14.4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</row>
    <row r="180" spans="1:38" ht="14.4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</row>
    <row r="181" spans="1:38" ht="14.4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</row>
    <row r="182" spans="1:38" ht="14.4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</row>
    <row r="183" spans="1:38" ht="14.4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</row>
    <row r="184" spans="1:38" ht="14.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</row>
    <row r="185" spans="1:38" ht="14.4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</row>
    <row r="186" spans="1:38" ht="14.4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</row>
    <row r="187" spans="1:38" ht="14.4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</row>
    <row r="188" spans="1:38" ht="14.4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</row>
    <row r="189" spans="1:38" ht="14.4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</row>
    <row r="190" spans="1:38" ht="14.4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</row>
    <row r="191" spans="1:38" ht="14.4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</row>
    <row r="192" spans="1:38" ht="14.4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</row>
    <row r="193" spans="1:38" ht="14.4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</row>
    <row r="194" spans="1:38" ht="14.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</row>
    <row r="195" spans="1:38" ht="14.4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</row>
    <row r="196" spans="1:38" ht="14.4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</row>
    <row r="197" spans="1:38" ht="14.4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</row>
    <row r="198" spans="1:38" ht="14.4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</row>
    <row r="199" spans="1:38" ht="14.4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</row>
    <row r="200" spans="1:38" ht="14.4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</row>
    <row r="201" spans="1:38" ht="14.4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</row>
    <row r="202" spans="1:38" ht="14.4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</row>
    <row r="203" spans="1:38" ht="14.4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</row>
    <row r="204" spans="1:38" ht="14.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</row>
    <row r="205" spans="1:38" ht="14.4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</row>
    <row r="206" spans="1:38" ht="14.4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</row>
    <row r="207" spans="1:38" ht="14.4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</row>
    <row r="208" spans="1:38" ht="14.4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</row>
    <row r="209" spans="1:38" ht="14.4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</row>
    <row r="210" spans="1:38" ht="14.4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</row>
    <row r="211" spans="1:38" ht="14.4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</row>
    <row r="212" spans="1:38" ht="14.4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</row>
    <row r="213" spans="1:38" ht="14.4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</row>
    <row r="214" spans="1:38" ht="14.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</row>
    <row r="215" spans="1:38" ht="14.4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</row>
    <row r="216" spans="1:38" ht="14.4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</row>
    <row r="217" spans="1:38" ht="14.4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</row>
    <row r="218" spans="1:38" ht="14.4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</row>
    <row r="219" spans="1:38" ht="14.4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</row>
    <row r="220" spans="1:38" ht="14.4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</row>
    <row r="221" spans="1:38" ht="14.4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</row>
    <row r="222" spans="1:38" ht="14.4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</row>
    <row r="223" spans="1:38" ht="14.4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</row>
    <row r="224" spans="1:38" ht="14.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</row>
    <row r="225" spans="1:38" ht="14.4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</row>
    <row r="226" spans="1:38" ht="14.4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</row>
    <row r="227" spans="1:38" ht="14.4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</row>
    <row r="228" spans="1:38" ht="14.4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</row>
    <row r="229" spans="1:38" ht="14.4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</row>
    <row r="230" spans="1:38" ht="14.4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</row>
    <row r="231" spans="1:38" ht="14.4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</row>
    <row r="232" spans="1:38" ht="14.4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</row>
    <row r="233" spans="1:38" ht="14.4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</row>
    <row r="234" spans="1:38" ht="14.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</row>
    <row r="235" spans="1:38" ht="14.4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</row>
    <row r="236" spans="1:38" ht="14.4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</row>
    <row r="237" spans="1:38" ht="14.4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</row>
    <row r="238" spans="1:38" ht="14.4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</row>
    <row r="239" spans="1:38" ht="14.4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</row>
    <row r="240" spans="1:38" ht="14.4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</row>
    <row r="241" spans="1:38" ht="14.4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</row>
    <row r="242" spans="1:38" ht="14.4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</row>
    <row r="243" spans="1:38" ht="14.4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</row>
    <row r="244" spans="1:38" ht="14.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</row>
    <row r="245" spans="1:38" ht="14.4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</row>
    <row r="246" spans="1:38" ht="14.4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</row>
    <row r="247" spans="1:38" ht="14.4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</row>
    <row r="248" spans="1:38" ht="14.4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</row>
    <row r="249" spans="1:38" ht="14.4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</row>
    <row r="250" spans="1:38" ht="14.4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</row>
    <row r="251" spans="1:38" ht="14.4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</row>
    <row r="252" spans="1:38" ht="14.4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</row>
    <row r="253" spans="1:38" ht="14.4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</row>
    <row r="254" spans="1:38" ht="14.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</row>
    <row r="255" spans="1:38" ht="14.4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</row>
    <row r="256" spans="1:38" ht="14.4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</row>
    <row r="257" spans="1:38" ht="14.4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</row>
    <row r="258" spans="1:38" ht="14.4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</row>
    <row r="259" spans="1:38" ht="14.4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</row>
    <row r="260" spans="1:38" ht="14.4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</row>
    <row r="261" spans="1:38" ht="14.4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</row>
    <row r="262" spans="1:38" ht="14.4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</row>
    <row r="263" spans="1:38" ht="14.4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</row>
    <row r="264" spans="1:38" ht="14.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</row>
    <row r="265" spans="1:38" ht="14.4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</row>
    <row r="266" spans="1:38" ht="14.4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</row>
    <row r="267" spans="1:38" ht="14.4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</row>
    <row r="268" spans="1:38" ht="14.4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</row>
    <row r="269" spans="1:38" ht="14.4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</row>
    <row r="270" spans="1:38" ht="14.4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</row>
    <row r="271" spans="1:38" ht="14.4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</row>
    <row r="272" spans="1:38" ht="14.4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</row>
    <row r="273" spans="1:38" ht="14.4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</row>
    <row r="274" spans="1:38" ht="14.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</row>
    <row r="275" spans="1:38" ht="14.4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</row>
    <row r="276" spans="1:38" ht="14.4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</row>
    <row r="277" spans="1:38" ht="14.4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</row>
    <row r="278" spans="1:38" ht="14.4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</row>
    <row r="279" spans="1:38" ht="14.4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</row>
    <row r="280" spans="1:38" ht="14.4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</row>
    <row r="281" spans="1:38" ht="14.4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</row>
    <row r="282" spans="1:38" ht="14.4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</row>
    <row r="283" spans="1:38" ht="14.4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</row>
    <row r="284" spans="1:38" ht="14.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</row>
    <row r="285" spans="1:38" ht="14.4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</row>
    <row r="286" spans="1:38" ht="14.4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</row>
    <row r="287" spans="1:38" ht="14.4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</row>
    <row r="288" spans="1:38" ht="14.4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</row>
    <row r="289" spans="1:38" ht="14.4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</row>
    <row r="290" spans="1:38" ht="14.4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</row>
    <row r="291" spans="1:38" ht="14.4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</row>
    <row r="292" spans="1:38" ht="14.4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</row>
    <row r="293" spans="1:38" ht="14.4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</row>
    <row r="294" spans="1:38" ht="14.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</row>
    <row r="295" spans="1:38" ht="14.4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</row>
    <row r="296" spans="1:38" ht="14.4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</row>
    <row r="297" spans="1:38" ht="14.4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</row>
    <row r="298" spans="1:38" ht="14.4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</row>
    <row r="299" spans="1:38" ht="14.4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</row>
    <row r="300" spans="1:38" ht="14.4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</row>
    <row r="301" spans="1:38" ht="14.4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</row>
    <row r="302" spans="1:38" ht="14.4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</row>
    <row r="303" spans="1:38" ht="14.4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</row>
    <row r="304" spans="1:38" ht="14.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</row>
    <row r="305" spans="1:38" ht="14.4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</row>
    <row r="306" spans="1:38" ht="14.4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</row>
    <row r="307" spans="1:38" ht="14.4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</row>
    <row r="308" spans="1:38" ht="14.4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</row>
    <row r="309" spans="1:38" ht="14.4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</row>
    <row r="310" spans="1:38" ht="14.4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</row>
    <row r="311" spans="1:38" ht="14.4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</row>
    <row r="312" spans="1:38" ht="14.4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</row>
    <row r="313" spans="1:38" ht="14.4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</row>
    <row r="314" spans="1:38" ht="14.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</row>
    <row r="315" spans="1:38" ht="14.4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</row>
    <row r="316" spans="1:38" ht="14.4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</row>
    <row r="317" spans="1:38" ht="14.4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</row>
    <row r="318" spans="1:38" ht="14.4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</row>
    <row r="319" spans="1:38" ht="14.4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</row>
    <row r="320" spans="1:38" ht="14.4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</row>
    <row r="321" spans="1:38" ht="14.4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</row>
    <row r="322" spans="1:38" ht="14.4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</row>
    <row r="323" spans="1:38" ht="14.4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</row>
    <row r="324" spans="1:38" ht="14.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</row>
    <row r="325" spans="1:38" ht="14.4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</row>
    <row r="326" spans="1:38" ht="14.4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</row>
    <row r="327" spans="1:38" ht="14.4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</row>
    <row r="328" spans="1:38" ht="14.4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</row>
    <row r="329" spans="1:38" ht="14.4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</row>
    <row r="330" spans="1:38" ht="14.4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</row>
    <row r="331" spans="1:38" ht="14.4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</row>
    <row r="332" spans="1:38" ht="14.4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</row>
    <row r="333" spans="1:38" ht="14.4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</row>
    <row r="334" spans="1:38" ht="14.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</row>
    <row r="335" spans="1:38" ht="14.4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</row>
    <row r="336" spans="1:38" ht="14.4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</row>
    <row r="337" spans="1:38" ht="14.4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</row>
    <row r="338" spans="1:38" ht="14.4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</row>
    <row r="339" spans="1:38" ht="14.4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</row>
    <row r="340" spans="1:38" ht="14.4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</row>
    <row r="341" spans="1:38" ht="14.4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</row>
    <row r="342" spans="1:38" ht="14.4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</row>
    <row r="343" spans="1:38" ht="14.4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</row>
    <row r="344" spans="1:38" ht="14.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</row>
    <row r="345" spans="1:38" ht="14.4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</row>
    <row r="346" spans="1:38" ht="14.4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</row>
    <row r="347" spans="1:38" ht="14.4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</row>
    <row r="348" spans="1:38" ht="14.4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</row>
    <row r="349" spans="1:38" ht="14.4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</row>
    <row r="350" spans="1:38" ht="14.4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</row>
    <row r="351" spans="1:38" ht="14.4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</row>
    <row r="352" spans="1:38" ht="14.4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</row>
    <row r="353" spans="1:38" ht="14.4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</row>
    <row r="354" spans="1:38" ht="14.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</row>
    <row r="355" spans="1:38" ht="14.4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</row>
    <row r="356" spans="1:38" ht="14.4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</row>
    <row r="357" spans="1:38" ht="14.4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</row>
    <row r="358" spans="1:38" ht="14.4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</row>
    <row r="359" spans="1:38" ht="14.4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</row>
    <row r="360" spans="1:38" ht="14.4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</row>
    <row r="361" spans="1:38" ht="14.4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</row>
    <row r="362" spans="1:38" ht="14.4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</row>
    <row r="363" spans="1:38" ht="14.4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</row>
    <row r="364" spans="1:38" ht="14.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</row>
    <row r="365" spans="1:38" ht="14.4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</row>
    <row r="366" spans="1:38" ht="14.4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</row>
    <row r="367" spans="1:38" ht="14.4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</row>
    <row r="368" spans="1:38" ht="14.4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</row>
    <row r="369" spans="1:38" ht="14.4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</row>
    <row r="370" spans="1:38" ht="14.4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</row>
    <row r="371" spans="1:38" ht="14.4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</row>
    <row r="372" spans="1:38" ht="14.4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</row>
    <row r="373" spans="1:38" ht="14.4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</row>
    <row r="374" spans="1:38" ht="14.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</row>
    <row r="375" spans="1:38" ht="14.4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</row>
    <row r="376" spans="1:38" ht="14.4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</row>
    <row r="377" spans="1:38" ht="14.4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</row>
    <row r="378" spans="1:38" ht="14.4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</row>
    <row r="379" spans="1:38" ht="14.4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</row>
    <row r="380" spans="1:38" ht="14.4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</row>
    <row r="381" spans="1:38" ht="14.4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</row>
    <row r="382" spans="1:38" ht="14.4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</row>
    <row r="383" spans="1:38" ht="14.4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</row>
    <row r="384" spans="1:38" ht="14.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</row>
    <row r="385" spans="1:38" ht="14.4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</row>
    <row r="386" spans="1:38" ht="14.4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</row>
    <row r="387" spans="1:38" ht="14.4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</row>
    <row r="388" spans="1:38" ht="14.4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</row>
    <row r="389" spans="1:38" ht="14.4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</row>
    <row r="390" spans="1:38" ht="14.4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</row>
    <row r="391" spans="1:38" ht="14.4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</row>
    <row r="392" spans="1:38" ht="14.4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</row>
    <row r="393" spans="1:38" ht="14.4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</row>
    <row r="394" spans="1:38" ht="14.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</row>
    <row r="395" spans="1:38" ht="14.4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</row>
    <row r="396" spans="1:38" ht="14.4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</row>
    <row r="397" spans="1:38" ht="14.4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</row>
    <row r="398" spans="1:38" ht="14.4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</row>
    <row r="399" spans="1:38" ht="14.4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</row>
    <row r="400" spans="1:38" ht="14.4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</row>
    <row r="401" spans="1:38" ht="14.4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</row>
    <row r="402" spans="1:38" ht="14.4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</row>
    <row r="403" spans="1:38" ht="14.4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</row>
    <row r="404" spans="1:38" ht="14.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</row>
    <row r="405" spans="1:38" ht="14.4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</row>
    <row r="406" spans="1:38" ht="14.4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</row>
    <row r="407" spans="1:38" ht="14.4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</row>
    <row r="408" spans="1:38" ht="14.4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</row>
    <row r="409" spans="1:38" ht="14.4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</row>
    <row r="410" spans="1:38" ht="14.4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</row>
    <row r="411" spans="1:38" ht="14.4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</row>
    <row r="412" spans="1:38" ht="14.4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</row>
    <row r="413" spans="1:38" ht="14.4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</row>
    <row r="414" spans="1:38" ht="14.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</row>
    <row r="415" spans="1:38" ht="14.4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</row>
    <row r="416" spans="1:38" ht="14.4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</row>
    <row r="417" spans="1:38" ht="14.4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</row>
    <row r="418" spans="1:38" ht="14.4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</row>
    <row r="419" spans="1:38" ht="14.4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</row>
    <row r="420" spans="1:38" ht="14.4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</row>
    <row r="421" spans="1:38" ht="14.4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</row>
    <row r="422" spans="1:38" ht="14.4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</row>
    <row r="423" spans="1:38" ht="14.4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</row>
    <row r="424" spans="1:38" ht="14.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</row>
    <row r="425" spans="1:38" ht="14.4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</row>
    <row r="426" spans="1:38" ht="14.4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</row>
    <row r="427" spans="1:38" ht="14.4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</row>
    <row r="428" spans="1:38" ht="14.4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</row>
    <row r="429" spans="1:38" ht="14.4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</row>
    <row r="430" spans="1:38" ht="14.4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</row>
    <row r="431" spans="1:38" ht="14.4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</row>
    <row r="432" spans="1:38" ht="14.4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</row>
    <row r="433" spans="1:38" ht="14.4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</row>
    <row r="434" spans="1:38" ht="14.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</row>
    <row r="435" spans="1:38" ht="14.4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</row>
    <row r="436" spans="1:38" ht="14.4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</row>
    <row r="437" spans="1:38" ht="14.4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</row>
    <row r="438" spans="1:38" ht="14.4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</row>
    <row r="439" spans="1:38" ht="14.4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</row>
    <row r="440" spans="1:38" ht="14.4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</row>
    <row r="441" spans="1:38" ht="14.4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</row>
    <row r="442" spans="1:38" ht="14.4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</row>
    <row r="443" spans="1:38" ht="14.4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</row>
    <row r="444" spans="1:38" ht="14.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</row>
    <row r="445" spans="1:38" ht="14.4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</row>
    <row r="446" spans="1:38" ht="14.4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</row>
    <row r="447" spans="1:38" ht="14.4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</row>
    <row r="448" spans="1:38" ht="14.4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</row>
    <row r="449" spans="1:38" ht="14.4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</row>
    <row r="450" spans="1:38" ht="14.4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</row>
    <row r="451" spans="1:38" ht="14.4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</row>
    <row r="452" spans="1:38" ht="14.4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</row>
    <row r="453" spans="1:38" ht="14.4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</row>
    <row r="454" spans="1:38" ht="14.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</row>
    <row r="455" spans="1:38" ht="14.4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</row>
    <row r="456" spans="1:38" ht="14.4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</row>
    <row r="457" spans="1:38" ht="14.4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</row>
    <row r="458" spans="1:38" ht="14.4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</row>
    <row r="459" spans="1:38" ht="14.4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</row>
    <row r="460" spans="1:38" ht="14.4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</row>
    <row r="461" spans="1:38" ht="14.4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</row>
    <row r="462" spans="1:38" ht="14.4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</row>
    <row r="463" spans="1:38" ht="14.4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</row>
    <row r="464" spans="1:38" ht="14.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</row>
    <row r="465" spans="1:38" ht="14.4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</row>
    <row r="466" spans="1:38" ht="14.4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</row>
    <row r="467" spans="1:38" ht="14.4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</row>
    <row r="468" spans="1:38" ht="14.4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</row>
    <row r="469" spans="1:38" ht="14.4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</row>
    <row r="470" spans="1:38" ht="14.4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</row>
    <row r="471" spans="1:38" ht="14.4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</row>
    <row r="472" spans="1:38" ht="14.4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</row>
    <row r="473" spans="1:38" ht="14.4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</row>
    <row r="474" spans="1:38" ht="14.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</row>
    <row r="475" spans="1:38" ht="14.4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</row>
    <row r="476" spans="1:38" ht="14.4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</row>
    <row r="477" spans="1:38" ht="14.4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</row>
    <row r="478" spans="1:38" ht="14.4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</row>
    <row r="479" spans="1:38" ht="14.4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</row>
    <row r="480" spans="1:38" ht="14.4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</row>
    <row r="481" spans="1:38" ht="14.4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</row>
    <row r="482" spans="1:38" ht="14.4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</row>
    <row r="483" spans="1:38" ht="14.4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</row>
    <row r="484" spans="1:38" ht="14.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</row>
    <row r="485" spans="1:38" ht="14.4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</row>
    <row r="486" spans="1:38" ht="14.4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</row>
    <row r="487" spans="1:38" ht="14.4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</row>
    <row r="488" spans="1:38" ht="14.4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</row>
    <row r="489" spans="1:38" ht="14.4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</row>
    <row r="490" spans="1:38" ht="14.4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</row>
    <row r="491" spans="1:38" ht="14.4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</row>
    <row r="492" spans="1:38" ht="14.4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</row>
    <row r="493" spans="1:38" ht="14.4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</row>
    <row r="494" spans="1:38" ht="14.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</row>
    <row r="495" spans="1:38" ht="14.4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</row>
    <row r="496" spans="1:38" ht="14.4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</row>
    <row r="497" spans="1:38" ht="14.4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</row>
    <row r="498" spans="1:38" ht="14.4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</row>
    <row r="499" spans="1:38" ht="14.4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</row>
    <row r="500" spans="1:38" ht="14.4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</row>
    <row r="501" spans="1:38" ht="14.4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</row>
    <row r="502" spans="1:38" ht="14.4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</row>
    <row r="503" spans="1:38" ht="14.4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</row>
    <row r="504" spans="1:38" ht="14.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</row>
    <row r="505" spans="1:38" ht="14.4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</row>
    <row r="506" spans="1:38" ht="14.4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</row>
    <row r="507" spans="1:38" ht="14.4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</row>
    <row r="508" spans="1:38" ht="14.4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</row>
    <row r="509" spans="1:38" ht="14.4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</row>
    <row r="510" spans="1:38" ht="14.4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</row>
    <row r="511" spans="1:38" ht="14.4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</row>
    <row r="512" spans="1:38" ht="14.4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</row>
    <row r="513" spans="1:38" ht="14.4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</row>
    <row r="514" spans="1:38" ht="14.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</row>
    <row r="515" spans="1:38" ht="14.4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</row>
    <row r="516" spans="1:38" ht="14.4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</row>
    <row r="517" spans="1:38" ht="14.4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</row>
    <row r="518" spans="1:38" ht="14.4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</row>
    <row r="519" spans="1:38" ht="14.4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</row>
    <row r="520" spans="1:38" ht="14.4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</row>
    <row r="521" spans="1:38" ht="14.4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</row>
    <row r="522" spans="1:38" ht="14.4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</row>
    <row r="523" spans="1:38" ht="14.4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</row>
    <row r="524" spans="1:38" ht="14.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</row>
    <row r="525" spans="1:38" ht="14.4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</row>
    <row r="526" spans="1:38" ht="14.4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</row>
    <row r="527" spans="1:38" ht="14.4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</row>
    <row r="528" spans="1:38" ht="14.4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</row>
    <row r="529" spans="1:38" ht="14.4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</row>
    <row r="530" spans="1:38" ht="14.4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</row>
    <row r="531" spans="1:38" ht="14.4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</row>
    <row r="532" spans="1:38" ht="14.4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</row>
    <row r="533" spans="1:38" ht="14.4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</row>
    <row r="534" spans="1:38" ht="14.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</row>
    <row r="535" spans="1:38" ht="14.4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</row>
    <row r="536" spans="1:38" ht="14.4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</row>
    <row r="537" spans="1:38" ht="14.4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</row>
    <row r="538" spans="1:38" ht="14.4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</row>
    <row r="539" spans="1:38" ht="14.4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</row>
    <row r="540" spans="1:38" ht="14.4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</row>
    <row r="541" spans="1:38" ht="14.4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</row>
    <row r="542" spans="1:38" ht="14.4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</row>
    <row r="543" spans="1:38" ht="14.4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</row>
    <row r="544" spans="1:38" ht="14.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</row>
    <row r="545" spans="1:38" ht="14.4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</row>
    <row r="546" spans="1:38" ht="14.4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</row>
    <row r="547" spans="1:38" ht="14.4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</row>
    <row r="548" spans="1:38" ht="14.4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</row>
    <row r="549" spans="1:38" ht="14.4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</row>
    <row r="550" spans="1:38" ht="14.4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</row>
    <row r="551" spans="1:38" ht="14.4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</row>
    <row r="552" spans="1:38" ht="14.4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</row>
    <row r="553" spans="1:38" ht="14.4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</row>
    <row r="554" spans="1:38" ht="14.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</row>
    <row r="555" spans="1:38" ht="14.4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</row>
    <row r="556" spans="1:38" ht="14.4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</row>
    <row r="557" spans="1:38" ht="14.4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</row>
    <row r="558" spans="1:38" ht="14.4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</row>
    <row r="559" spans="1:38" ht="14.4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</row>
    <row r="560" spans="1:38" ht="14.4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</row>
    <row r="561" spans="1:38" ht="14.4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</row>
    <row r="562" spans="1:38" ht="14.4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</row>
    <row r="563" spans="1:38" ht="14.4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</row>
    <row r="564" spans="1:38" ht="14.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</row>
    <row r="565" spans="1:38" ht="14.4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</row>
    <row r="566" spans="1:38" ht="14.4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</row>
    <row r="567" spans="1:38" ht="14.4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</row>
    <row r="568" spans="1:38" ht="14.4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</row>
    <row r="569" spans="1:38" ht="14.4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</row>
    <row r="570" spans="1:38" ht="14.4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</row>
    <row r="571" spans="1:38" ht="14.4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</row>
    <row r="572" spans="1:38" ht="14.4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</row>
    <row r="573" spans="1:38" ht="14.4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</row>
    <row r="574" spans="1:38" ht="14.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</row>
    <row r="575" spans="1:38" ht="14.4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</row>
    <row r="576" spans="1:38" ht="14.4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</row>
    <row r="577" spans="1:38" ht="14.4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</row>
    <row r="578" spans="1:38" ht="14.4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</row>
    <row r="579" spans="1:38" ht="14.4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</row>
    <row r="580" spans="1:38" ht="14.4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</row>
    <row r="581" spans="1:38" ht="14.4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</row>
    <row r="582" spans="1:38" ht="14.4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</row>
    <row r="583" spans="1:38" ht="14.4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</row>
    <row r="584" spans="1:38" ht="14.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</row>
    <row r="585" spans="1:38" ht="14.4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</row>
    <row r="586" spans="1:38" ht="14.4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</row>
    <row r="587" spans="1:38" ht="14.4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</row>
    <row r="588" spans="1:38" ht="14.4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</row>
    <row r="589" spans="1:38" ht="14.4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</row>
    <row r="590" spans="1:38" ht="14.4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</row>
    <row r="591" spans="1:38" ht="14.4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</row>
    <row r="592" spans="1:38" ht="14.4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</row>
    <row r="593" spans="1:38" ht="14.4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</row>
    <row r="594" spans="1:38" ht="14.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</row>
    <row r="595" spans="1:38" ht="14.4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</row>
    <row r="596" spans="1:38" ht="14.4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</row>
    <row r="597" spans="1:38" ht="14.4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</row>
    <row r="598" spans="1:38" ht="14.4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</row>
    <row r="599" spans="1:38" ht="14.4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</row>
    <row r="600" spans="1:38" ht="14.4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</row>
    <row r="601" spans="1:38" ht="14.4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</row>
    <row r="602" spans="1:38" ht="14.4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</row>
    <row r="603" spans="1:38" ht="14.4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</row>
    <row r="604" spans="1:38" ht="14.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</row>
    <row r="605" spans="1:38" ht="14.4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</row>
    <row r="606" spans="1:38" ht="14.4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</row>
    <row r="607" spans="1:38" ht="14.4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</row>
    <row r="608" spans="1:38" ht="14.4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</row>
    <row r="609" spans="1:38" ht="14.4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</row>
    <row r="610" spans="1:38" ht="14.4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</row>
    <row r="611" spans="1:38" ht="14.4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</row>
    <row r="612" spans="1:38" ht="14.4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</row>
    <row r="613" spans="1:38" ht="14.4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</row>
    <row r="614" spans="1:38" ht="14.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</row>
    <row r="615" spans="1:38" ht="14.4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</row>
    <row r="616" spans="1:38" ht="14.4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</row>
    <row r="617" spans="1:38" ht="14.4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</row>
    <row r="618" spans="1:38" ht="14.4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</row>
    <row r="619" spans="1:38" ht="14.4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</row>
    <row r="620" spans="1:38" ht="14.4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</row>
    <row r="621" spans="1:38" ht="14.4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</row>
    <row r="622" spans="1:38" ht="14.4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</row>
    <row r="623" spans="1:38" ht="14.4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</row>
    <row r="624" spans="1:38" ht="14.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</row>
    <row r="625" spans="1:38" ht="14.4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</row>
    <row r="626" spans="1:38" ht="14.4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</row>
    <row r="627" spans="1:38" ht="14.4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</row>
    <row r="628" spans="1:38" ht="14.4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</row>
    <row r="629" spans="1:38" ht="14.4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</row>
    <row r="630" spans="1:38" ht="14.4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</row>
    <row r="631" spans="1:38" ht="14.4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</row>
    <row r="632" spans="1:38" ht="14.4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</row>
    <row r="633" spans="1:38" ht="14.4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</row>
    <row r="634" spans="1:38" ht="14.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</row>
    <row r="635" spans="1:38" ht="14.4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</row>
    <row r="636" spans="1:38" ht="14.4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</row>
    <row r="637" spans="1:38" ht="14.4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</row>
    <row r="638" spans="1:38" ht="14.4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</row>
    <row r="639" spans="1:38" ht="14.4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</row>
    <row r="640" spans="1:38" ht="14.4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</row>
    <row r="641" spans="1:38" ht="14.4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</row>
    <row r="642" spans="1:38" ht="14.4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</row>
    <row r="643" spans="1:38" ht="14.4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</row>
    <row r="644" spans="1:38" ht="14.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</row>
    <row r="645" spans="1:38" ht="14.4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</row>
    <row r="646" spans="1:38" ht="14.4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</row>
    <row r="647" spans="1:38" ht="14.4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</row>
    <row r="648" spans="1:38" ht="14.4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</row>
    <row r="649" spans="1:38" ht="14.4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</row>
    <row r="650" spans="1:38" ht="14.4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</row>
    <row r="651" spans="1:38" ht="14.4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</row>
    <row r="652" spans="1:38" ht="14.4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</row>
    <row r="653" spans="1:38" ht="14.4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</row>
    <row r="654" spans="1:38" ht="14.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</row>
    <row r="655" spans="1:38" ht="14.4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</row>
    <row r="656" spans="1:38" ht="14.4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</row>
    <row r="657" spans="1:38" ht="14.4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</row>
    <row r="658" spans="1:38" ht="14.4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</row>
    <row r="659" spans="1:38" ht="14.4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</row>
    <row r="660" spans="1:38" ht="14.4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</row>
    <row r="661" spans="1:38" ht="14.4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</row>
    <row r="662" spans="1:38" ht="14.4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</row>
    <row r="663" spans="1:38" ht="14.4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</row>
    <row r="664" spans="1:38" ht="14.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</row>
    <row r="665" spans="1:38" ht="14.4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</row>
    <row r="666" spans="1:38" ht="14.4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</row>
    <row r="667" spans="1:38" ht="14.4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</row>
    <row r="668" spans="1:38" ht="14.4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</row>
    <row r="669" spans="1:38" ht="14.4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</row>
    <row r="670" spans="1:38" ht="14.4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</row>
    <row r="671" spans="1:38" ht="14.4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</row>
    <row r="672" spans="1:38" ht="14.4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</row>
    <row r="673" spans="1:38" ht="14.4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</row>
    <row r="674" spans="1:38" ht="14.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</row>
    <row r="675" spans="1:38" ht="14.4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</row>
    <row r="676" spans="1:38" ht="14.4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</row>
    <row r="677" spans="1:38" ht="14.4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</row>
    <row r="678" spans="1:38" ht="14.4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</row>
    <row r="679" spans="1:38" ht="14.4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</row>
    <row r="680" spans="1:38" ht="14.4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</row>
    <row r="681" spans="1:38" ht="14.4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</row>
    <row r="682" spans="1:38" ht="14.4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</row>
    <row r="683" spans="1:38" ht="14.4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</row>
    <row r="684" spans="1:38" ht="14.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</row>
    <row r="685" spans="1:38" ht="14.4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</row>
    <row r="686" spans="1:38" ht="14.4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</row>
    <row r="687" spans="1:38" ht="14.4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</row>
    <row r="688" spans="1:38" ht="14.4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</row>
    <row r="689" spans="1:38" ht="14.4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</row>
    <row r="690" spans="1:38" ht="14.4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</row>
    <row r="691" spans="1:38" ht="14.4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</row>
    <row r="692" spans="1:38" ht="14.4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</row>
    <row r="693" spans="1:38" ht="14.4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</row>
    <row r="694" spans="1:38" ht="14.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</row>
    <row r="695" spans="1:38" ht="14.4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</row>
    <row r="696" spans="1:38" ht="14.4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</row>
    <row r="697" spans="1:38" ht="14.4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</row>
    <row r="698" spans="1:38" ht="14.4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</row>
    <row r="699" spans="1:38" ht="14.4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</row>
    <row r="700" spans="1:38" ht="14.4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</row>
    <row r="701" spans="1:38" ht="14.4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</row>
    <row r="702" spans="1:38" ht="14.4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</row>
    <row r="703" spans="1:38" ht="14.4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</row>
    <row r="704" spans="1:38" ht="14.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</row>
    <row r="705" spans="1:38" ht="14.4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</row>
    <row r="706" spans="1:38" ht="14.4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</row>
    <row r="707" spans="1:38" ht="14.4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</row>
    <row r="708" spans="1:38" ht="14.4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</row>
    <row r="709" spans="1:38" ht="14.4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</row>
    <row r="710" spans="1:38" ht="14.4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</row>
    <row r="711" spans="1:38" ht="14.4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</row>
    <row r="712" spans="1:38" ht="14.4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</row>
    <row r="713" spans="1:38" ht="14.4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</row>
    <row r="714" spans="1:38" ht="14.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</row>
    <row r="715" spans="1:38" ht="14.4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</row>
    <row r="716" spans="1:38" ht="14.4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</row>
    <row r="717" spans="1:38" ht="14.4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</row>
    <row r="718" spans="1:38" ht="14.4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</row>
    <row r="719" spans="1:38" ht="14.4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</row>
    <row r="720" spans="1:38" ht="14.4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</row>
    <row r="721" spans="1:38" ht="14.4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</row>
    <row r="722" spans="1:38" ht="14.4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</row>
    <row r="723" spans="1:38" ht="14.4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</row>
    <row r="724" spans="1:38" ht="14.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</row>
    <row r="725" spans="1:38" ht="14.4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</row>
    <row r="726" spans="1:38" ht="14.4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</row>
    <row r="727" spans="1:38" ht="14.4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</row>
    <row r="728" spans="1:38" ht="14.4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</row>
    <row r="729" spans="1:38" ht="14.4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</row>
    <row r="730" spans="1:38" ht="14.4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</row>
    <row r="731" spans="1:38" ht="14.4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</row>
    <row r="732" spans="1:38" ht="14.4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</row>
    <row r="733" spans="1:38" ht="14.4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</row>
    <row r="734" spans="1:38" ht="14.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</row>
    <row r="735" spans="1:38" ht="14.4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</row>
    <row r="736" spans="1:38" ht="14.4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</row>
    <row r="737" spans="1:38" ht="14.4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</row>
    <row r="738" spans="1:38" ht="14.4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</row>
    <row r="739" spans="1:38" ht="14.4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</row>
    <row r="740" spans="1:38" ht="14.4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</row>
    <row r="741" spans="1:38" ht="14.4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</row>
    <row r="742" spans="1:38" ht="14.4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</row>
    <row r="743" spans="1:38" ht="14.4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</row>
    <row r="744" spans="1:38" ht="14.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</row>
    <row r="745" spans="1:38" ht="14.4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</row>
    <row r="746" spans="1:38" ht="14.4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</row>
    <row r="747" spans="1:38" ht="14.4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</row>
    <row r="748" spans="1:38" ht="14.4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</row>
    <row r="749" spans="1:38" ht="14.4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</row>
    <row r="750" spans="1:38" ht="14.4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</row>
    <row r="751" spans="1:38" ht="14.4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</row>
    <row r="752" spans="1:38" ht="14.4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</row>
    <row r="753" spans="1:38" ht="14.4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</row>
    <row r="754" spans="1:38" ht="14.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</row>
    <row r="755" spans="1:38" ht="14.4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</row>
    <row r="756" spans="1:38" ht="14.4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</row>
    <row r="757" spans="1:38" ht="14.4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</row>
    <row r="758" spans="1:38" ht="14.4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</row>
    <row r="759" spans="1:38" ht="14.4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</row>
    <row r="760" spans="1:38" ht="14.4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</row>
    <row r="761" spans="1:38" ht="14.4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</row>
    <row r="762" spans="1:38" ht="14.4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</row>
    <row r="763" spans="1:38" ht="14.4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</row>
    <row r="764" spans="1:38" ht="14.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</row>
    <row r="765" spans="1:38" ht="14.4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</row>
    <row r="766" spans="1:38" ht="14.4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</row>
    <row r="767" spans="1:38" ht="14.4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</row>
    <row r="768" spans="1:38" ht="14.4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</row>
    <row r="769" spans="1:38" ht="14.4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</row>
    <row r="770" spans="1:38" ht="14.4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</row>
    <row r="771" spans="1:38" ht="14.4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</row>
    <row r="772" spans="1:38" ht="14.4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</row>
    <row r="773" spans="1:38" ht="14.4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</row>
    <row r="774" spans="1:38" ht="14.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</row>
    <row r="775" spans="1:38" ht="14.4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</row>
    <row r="776" spans="1:38" ht="14.4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</row>
    <row r="777" spans="1:38" ht="14.4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</row>
    <row r="778" spans="1:38" ht="14.4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</row>
    <row r="779" spans="1:38" ht="14.4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</row>
    <row r="780" spans="1:38" ht="14.4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</row>
    <row r="781" spans="1:38" ht="14.4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</row>
    <row r="782" spans="1:38" ht="14.4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</row>
    <row r="783" spans="1:38" ht="14.4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</row>
    <row r="784" spans="1:38" ht="14.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</row>
    <row r="785" spans="1:38" ht="14.4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</row>
    <row r="786" spans="1:38" ht="14.4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</row>
    <row r="787" spans="1:38" ht="14.4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</row>
    <row r="788" spans="1:38" ht="14.4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</row>
    <row r="789" spans="1:38" ht="14.4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</row>
    <row r="790" spans="1:38" ht="14.4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</row>
    <row r="791" spans="1:38" ht="14.4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</row>
    <row r="792" spans="1:38" ht="14.4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</row>
    <row r="793" spans="1:38" ht="14.4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</row>
    <row r="794" spans="1:38" ht="14.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</row>
    <row r="795" spans="1:38" ht="14.4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</row>
    <row r="796" spans="1:38" ht="14.4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</row>
    <row r="797" spans="1:38" ht="14.4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</row>
    <row r="798" spans="1:38" ht="14.4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</row>
    <row r="799" spans="1:38" ht="14.4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</row>
    <row r="800" spans="1:38" ht="14.4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</row>
    <row r="801" spans="1:38" ht="14.4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</row>
    <row r="802" spans="1:38" ht="14.4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</row>
    <row r="803" spans="1:38" ht="14.4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</row>
    <row r="804" spans="1:38" ht="14.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</row>
    <row r="805" spans="1:38" ht="14.4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</row>
    <row r="806" spans="1:38" ht="14.4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</row>
    <row r="807" spans="1:38" ht="14.4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</row>
    <row r="808" spans="1:38" ht="14.4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</row>
    <row r="809" spans="1:38" ht="14.4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</row>
    <row r="810" spans="1:38" ht="14.4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</row>
    <row r="811" spans="1:38" ht="14.4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</row>
    <row r="812" spans="1:38" ht="14.4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</row>
    <row r="813" spans="1:38" ht="14.4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</row>
    <row r="814" spans="1:38" ht="14.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</row>
    <row r="815" spans="1:38" ht="14.4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</row>
    <row r="816" spans="1:38" ht="14.4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</row>
    <row r="817" spans="1:38" ht="14.4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</row>
    <row r="818" spans="1:38" ht="14.4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</row>
    <row r="819" spans="1:38" ht="14.4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</row>
    <row r="820" spans="1:38" ht="14.4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</row>
    <row r="821" spans="1:38" ht="14.4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</row>
    <row r="822" spans="1:38" ht="14.4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</row>
    <row r="823" spans="1:38" ht="14.4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</row>
    <row r="824" spans="1:38" ht="14.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</row>
    <row r="825" spans="1:38" ht="14.4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</row>
    <row r="826" spans="1:38" ht="14.4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</row>
    <row r="827" spans="1:38" ht="14.4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</row>
    <row r="828" spans="1:38" ht="14.4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</row>
    <row r="829" spans="1:38" ht="14.4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</row>
    <row r="830" spans="1:38" ht="14.4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</row>
    <row r="831" spans="1:38" ht="14.4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</row>
    <row r="832" spans="1:38" ht="14.4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</row>
    <row r="833" spans="1:38" ht="14.4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</row>
    <row r="834" spans="1:38" ht="14.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</row>
    <row r="835" spans="1:38" ht="14.4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</row>
    <row r="836" spans="1:38" ht="14.4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</row>
    <row r="837" spans="1:38" ht="14.4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</row>
    <row r="838" spans="1:38" ht="14.4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</row>
    <row r="839" spans="1:38" ht="14.4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</row>
    <row r="840" spans="1:38" ht="14.4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</row>
    <row r="841" spans="1:38" ht="14.4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</row>
    <row r="842" spans="1:38" ht="14.4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</row>
    <row r="843" spans="1:38" ht="14.4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</row>
    <row r="844" spans="1:38" ht="14.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</row>
    <row r="845" spans="1:38" ht="14.4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</row>
    <row r="846" spans="1:38" ht="14.4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</row>
    <row r="847" spans="1:38" ht="14.4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</row>
    <row r="848" spans="1:38" ht="14.4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</row>
    <row r="849" spans="1:38" ht="14.4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</row>
    <row r="850" spans="1:38" ht="14.4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</row>
    <row r="851" spans="1:38" ht="14.4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</row>
    <row r="852" spans="1:38" ht="14.4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</row>
    <row r="853" spans="1:38" ht="14.4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</row>
    <row r="854" spans="1:38" ht="14.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</row>
    <row r="855" spans="1:38" ht="14.4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</row>
    <row r="856" spans="1:38" ht="14.4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</row>
    <row r="857" spans="1:38" ht="14.4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</row>
    <row r="858" spans="1:38" ht="14.4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</row>
    <row r="859" spans="1:38" ht="14.4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</row>
    <row r="860" spans="1:38" ht="14.4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</row>
    <row r="861" spans="1:38" ht="14.4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</row>
    <row r="862" spans="1:38" ht="14.4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</row>
    <row r="863" spans="1:38" ht="14.4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</row>
    <row r="864" spans="1:38" ht="14.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</row>
    <row r="865" spans="1:38" ht="14.4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</row>
    <row r="866" spans="1:38" ht="14.4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</row>
    <row r="867" spans="1:38" ht="14.4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</row>
    <row r="868" spans="1:38" ht="14.4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</row>
    <row r="869" spans="1:38" ht="14.4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</row>
    <row r="870" spans="1:38" ht="14.4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</row>
    <row r="871" spans="1:38" ht="14.4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</row>
    <row r="872" spans="1:38" ht="14.4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</row>
    <row r="873" spans="1:38" ht="14.4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</row>
    <row r="874" spans="1:38" ht="14.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</row>
    <row r="875" spans="1:38" ht="14.4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</row>
    <row r="876" spans="1:38" ht="14.4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</row>
    <row r="877" spans="1:38" ht="14.4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</row>
    <row r="878" spans="1:38" ht="14.4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</row>
    <row r="879" spans="1:38" ht="14.4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</row>
    <row r="880" spans="1:38" ht="14.4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</row>
    <row r="881" spans="1:38" ht="14.4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</row>
    <row r="882" spans="1:38" ht="14.4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</row>
    <row r="883" spans="1:38" ht="14.4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</row>
    <row r="884" spans="1:38" ht="14.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</row>
    <row r="885" spans="1:38" ht="14.4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</row>
    <row r="886" spans="1:38" ht="14.4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</row>
    <row r="887" spans="1:38" ht="14.4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</row>
    <row r="888" spans="1:38" ht="14.4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</row>
    <row r="889" spans="1:38" ht="14.4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</row>
    <row r="890" spans="1:38" ht="14.4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</row>
    <row r="891" spans="1:38" ht="14.4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</row>
    <row r="892" spans="1:38" ht="14.4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</row>
    <row r="893" spans="1:38" ht="14.4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</row>
    <row r="894" spans="1:38" ht="14.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</row>
    <row r="895" spans="1:38" ht="14.4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</row>
    <row r="896" spans="1:38" ht="14.4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</row>
    <row r="897" spans="1:38" ht="14.4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</row>
    <row r="898" spans="1:38" ht="14.4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</row>
    <row r="899" spans="1:38" ht="14.4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</row>
    <row r="900" spans="1:38" ht="14.4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</row>
    <row r="901" spans="1:38" ht="14.4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</row>
    <row r="902" spans="1:38" ht="14.4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</row>
    <row r="903" spans="1:38" ht="14.4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</row>
    <row r="904" spans="1:38" ht="14.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</row>
    <row r="905" spans="1:38" ht="14.4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</row>
    <row r="906" spans="1:38" ht="14.4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</row>
    <row r="907" spans="1:38" ht="14.4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</row>
    <row r="908" spans="1:38" ht="14.4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</row>
    <row r="909" spans="1:38" ht="14.4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</row>
    <row r="910" spans="1:38" ht="14.4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</row>
    <row r="911" spans="1:38" ht="14.4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</row>
    <row r="912" spans="1:38" ht="14.4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</row>
    <row r="913" spans="1:38" ht="14.4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</row>
    <row r="914" spans="1:38" ht="14.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</row>
    <row r="915" spans="1:38" ht="14.4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</row>
    <row r="916" spans="1:38" ht="14.4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</row>
    <row r="917" spans="1:38" ht="14.4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</row>
    <row r="918" spans="1:38" ht="14.4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</row>
    <row r="919" spans="1:38" ht="14.4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</row>
    <row r="920" spans="1:38" ht="14.4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</row>
    <row r="921" spans="1:38" ht="14.4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</row>
    <row r="922" spans="1:38" ht="14.4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</row>
    <row r="923" spans="1:38" ht="14.4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</row>
    <row r="924" spans="1:38" ht="14.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</row>
    <row r="925" spans="1:38" ht="14.4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</row>
    <row r="926" spans="1:38" ht="14.4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</row>
    <row r="927" spans="1:38" ht="14.4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</row>
    <row r="928" spans="1:38" ht="14.4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</row>
    <row r="929" spans="1:38" ht="14.4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</row>
    <row r="930" spans="1:38" ht="14.4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</row>
    <row r="931" spans="1:38" ht="14.4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</row>
    <row r="932" spans="1:38" ht="14.4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</row>
    <row r="933" spans="1:38" ht="14.4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</row>
    <row r="934" spans="1:38" ht="14.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</row>
    <row r="935" spans="1:38" ht="14.4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</row>
    <row r="936" spans="1:38" ht="14.4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</row>
    <row r="937" spans="1:38" ht="14.4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</row>
    <row r="938" spans="1:38" ht="14.4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</row>
    <row r="939" spans="1:38" ht="14.4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</row>
    <row r="940" spans="1:38" ht="14.4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</row>
    <row r="941" spans="1:38" ht="14.4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</row>
    <row r="942" spans="1:38" ht="14.4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</row>
    <row r="943" spans="1:38" ht="14.4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</row>
    <row r="944" spans="1:38" ht="14.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</row>
    <row r="945" spans="1:38" ht="14.4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</row>
    <row r="946" spans="1:38" ht="14.4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</row>
    <row r="947" spans="1:38" ht="14.4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</row>
    <row r="948" spans="1:38" ht="14.4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</row>
    <row r="949" spans="1:38" ht="14.4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</row>
    <row r="950" spans="1:38" ht="14.4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</row>
    <row r="951" spans="1:38" ht="14.4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</row>
    <row r="952" spans="1:38" ht="14.4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</row>
    <row r="953" spans="1:38" ht="14.4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</row>
    <row r="954" spans="1:38" ht="14.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</row>
    <row r="955" spans="1:38" ht="14.4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</row>
    <row r="956" spans="1:38" ht="14.4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</row>
    <row r="957" spans="1:38" ht="14.4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</row>
    <row r="958" spans="1:38" ht="14.4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</row>
    <row r="959" spans="1:38" ht="14.4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</row>
    <row r="960" spans="1:38" ht="14.4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</row>
    <row r="961" spans="1:38" ht="14.4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</row>
    <row r="962" spans="1:38" ht="14.4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</row>
    <row r="963" spans="1:38" ht="14.4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</row>
    <row r="964" spans="1:38" ht="14.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</row>
    <row r="965" spans="1:38" ht="14.4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</row>
    <row r="966" spans="1:38" ht="14.4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</row>
    <row r="967" spans="1:38" ht="14.4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</row>
    <row r="968" spans="1:38" ht="14.4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</row>
    <row r="969" spans="1:38" ht="14.4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</row>
    <row r="970" spans="1:38" ht="14.4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</row>
    <row r="971" spans="1:38" ht="14.4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</row>
    <row r="972" spans="1:38" ht="14.4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</row>
    <row r="973" spans="1:38" ht="14.4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</row>
    <row r="974" spans="1:38" ht="14.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</row>
    <row r="975" spans="1:38" ht="14.4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</row>
    <row r="976" spans="1:38" ht="14.4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</row>
    <row r="977" spans="1:38" ht="14.4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</row>
    <row r="978" spans="1:38" ht="14.4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</row>
    <row r="979" spans="1:38" ht="14.4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</row>
    <row r="980" spans="1:38" ht="14.4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</row>
    <row r="981" spans="1:38" ht="14.4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</row>
    <row r="982" spans="1:38" ht="14.4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</row>
    <row r="983" spans="1:38" ht="14.4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</row>
    <row r="984" spans="1:38" ht="14.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</row>
    <row r="985" spans="1:38" ht="14.4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</row>
    <row r="986" spans="1:38" ht="14.4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</row>
    <row r="987" spans="1:38" ht="14.4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</row>
    <row r="988" spans="1:38" ht="14.4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</row>
    <row r="989" spans="1:38" ht="14.4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</row>
    <row r="990" spans="1:38" ht="14.4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</row>
    <row r="991" spans="1:38" ht="14.4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</row>
    <row r="992" spans="1:38" ht="14.4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</row>
    <row r="993" spans="1:38" ht="14.4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</row>
    <row r="994" spans="1:38" ht="14.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</row>
    <row r="995" spans="1:38" ht="14.4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</row>
    <row r="996" spans="1:38" ht="14.4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</row>
    <row r="997" spans="1:38" ht="14.4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</row>
    <row r="998" spans="1:38" ht="14.4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</row>
    <row r="999" spans="1:38" ht="14.4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</row>
    <row r="1000" spans="1:38" ht="14.4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</row>
  </sheetData>
  <mergeCells count="4">
    <mergeCell ref="A1:Q1"/>
    <mergeCell ref="O5:Q5"/>
    <mergeCell ref="A10:Q10"/>
    <mergeCell ref="A24:Q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M1000"/>
  <sheetViews>
    <sheetView showGridLines="0" workbookViewId="0">
      <selection sqref="A1:Q1"/>
    </sheetView>
  </sheetViews>
  <sheetFormatPr defaultColWidth="14.44140625" defaultRowHeight="15" customHeight="1"/>
  <cols>
    <col min="1" max="1" width="7.33203125" customWidth="1"/>
    <col min="2" max="2" width="6.88671875" customWidth="1"/>
  </cols>
  <sheetData>
    <row r="1" spans="1:39" ht="20.399999999999999">
      <c r="A1" s="132" t="s">
        <v>91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4"/>
      <c r="R1" s="3"/>
      <c r="S1" s="3"/>
      <c r="T1" s="3"/>
      <c r="U1" s="3"/>
      <c r="V1" s="3"/>
      <c r="W1" s="3"/>
      <c r="X1" s="3"/>
      <c r="Y1" s="3"/>
      <c r="Z1" s="3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</row>
    <row r="2" spans="1:39">
      <c r="A2" s="5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</row>
    <row r="3" spans="1:39">
      <c r="A3" s="5" t="s">
        <v>51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</row>
    <row r="4" spans="1:39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6"/>
      <c r="Q4" s="6"/>
      <c r="R4" s="6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</row>
    <row r="5" spans="1:39">
      <c r="A5" s="7" t="s">
        <v>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4"/>
      <c r="O5" s="8"/>
      <c r="P5" s="135" t="s">
        <v>4</v>
      </c>
      <c r="Q5" s="136"/>
      <c r="R5" s="137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</row>
    <row r="6" spans="1:39">
      <c r="A6" s="4"/>
      <c r="B6" s="5" t="s">
        <v>5</v>
      </c>
      <c r="C6" s="5" t="s">
        <v>6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8"/>
      <c r="P6" s="31">
        <v>0.25</v>
      </c>
      <c r="Q6" s="5" t="s">
        <v>7</v>
      </c>
      <c r="R6" s="8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</row>
    <row r="7" spans="1:39">
      <c r="A7" s="4"/>
      <c r="B7" s="5" t="s">
        <v>5</v>
      </c>
      <c r="C7" s="5" t="s">
        <v>8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8"/>
      <c r="P7" s="10"/>
      <c r="Q7" s="5" t="s">
        <v>9</v>
      </c>
      <c r="R7" s="8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</row>
    <row r="8" spans="1:3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8"/>
      <c r="P8" s="11"/>
      <c r="Q8" s="12" t="s">
        <v>10</v>
      </c>
      <c r="R8" s="13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</row>
    <row r="9" spans="1:3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</row>
    <row r="10" spans="1:39">
      <c r="A10" s="138" t="s">
        <v>11</v>
      </c>
      <c r="B10" s="133"/>
      <c r="C10" s="133"/>
      <c r="D10" s="133"/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4"/>
      <c r="R10" s="3"/>
      <c r="S10" s="3"/>
      <c r="T10" s="3"/>
      <c r="U10" s="3"/>
      <c r="V10" s="3"/>
      <c r="W10" s="3"/>
      <c r="X10" s="3"/>
      <c r="Y10" s="3"/>
      <c r="Z10" s="3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</row>
    <row r="11" spans="1:39">
      <c r="A11" s="4"/>
      <c r="B11" s="4"/>
      <c r="C11" s="4"/>
      <c r="D11" s="14" t="s">
        <v>12</v>
      </c>
      <c r="E11" s="14" t="s">
        <v>13</v>
      </c>
      <c r="F11" s="14" t="s">
        <v>14</v>
      </c>
      <c r="G11" s="32" t="s">
        <v>52</v>
      </c>
      <c r="H11" s="15" t="s">
        <v>15</v>
      </c>
      <c r="I11" s="15" t="s">
        <v>16</v>
      </c>
      <c r="J11" s="15" t="s">
        <v>17</v>
      </c>
      <c r="K11" s="15" t="s">
        <v>18</v>
      </c>
      <c r="L11" s="15" t="s">
        <v>19</v>
      </c>
      <c r="M11" s="15" t="s">
        <v>20</v>
      </c>
      <c r="N11" s="15" t="s">
        <v>21</v>
      </c>
      <c r="O11" s="15" t="s">
        <v>22</v>
      </c>
      <c r="P11" s="15" t="s">
        <v>23</v>
      </c>
      <c r="Q11" s="15" t="s">
        <v>24</v>
      </c>
      <c r="R11" s="15" t="s">
        <v>25</v>
      </c>
      <c r="S11" s="15" t="s">
        <v>26</v>
      </c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</row>
    <row r="12" spans="1:39">
      <c r="A12" s="4"/>
      <c r="B12" s="4"/>
      <c r="C12" s="16" t="s">
        <v>27</v>
      </c>
      <c r="D12" s="17" t="s">
        <v>28</v>
      </c>
      <c r="E12" s="18">
        <v>9000</v>
      </c>
      <c r="F12" s="17" t="s">
        <v>29</v>
      </c>
      <c r="G12" s="17">
        <v>10</v>
      </c>
      <c r="H12" s="19">
        <v>0</v>
      </c>
      <c r="I12" s="19">
        <v>0</v>
      </c>
      <c r="J12" s="19">
        <v>2</v>
      </c>
      <c r="K12" s="19">
        <v>4</v>
      </c>
      <c r="L12" s="19">
        <v>5</v>
      </c>
      <c r="M12" s="19">
        <v>5</v>
      </c>
      <c r="N12" s="19">
        <v>4</v>
      </c>
      <c r="O12" s="19">
        <v>6</v>
      </c>
      <c r="P12" s="19">
        <v>6</v>
      </c>
      <c r="Q12" s="19">
        <v>7</v>
      </c>
      <c r="R12" s="20"/>
      <c r="S12" s="20"/>
      <c r="T12" s="5" t="s">
        <v>30</v>
      </c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</row>
    <row r="13" spans="1:39">
      <c r="A13" s="4"/>
      <c r="B13" s="4"/>
      <c r="C13" s="16" t="s">
        <v>31</v>
      </c>
      <c r="D13" s="17" t="s">
        <v>28</v>
      </c>
      <c r="E13" s="18">
        <v>10000</v>
      </c>
      <c r="F13" s="17" t="s">
        <v>32</v>
      </c>
      <c r="G13" s="17">
        <v>20</v>
      </c>
      <c r="H13" s="19">
        <v>2</v>
      </c>
      <c r="I13" s="19">
        <v>4</v>
      </c>
      <c r="J13" s="19">
        <v>5</v>
      </c>
      <c r="K13" s="19">
        <v>6</v>
      </c>
      <c r="L13" s="19">
        <v>7</v>
      </c>
      <c r="M13" s="19">
        <v>10</v>
      </c>
      <c r="N13" s="19">
        <v>15</v>
      </c>
      <c r="O13" s="19">
        <v>15</v>
      </c>
      <c r="P13" s="19">
        <v>20</v>
      </c>
      <c r="Q13" s="20"/>
      <c r="R13" s="20"/>
      <c r="S13" s="20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</row>
    <row r="14" spans="1:39">
      <c r="A14" s="4"/>
      <c r="B14" s="4"/>
      <c r="C14" s="16" t="s">
        <v>33</v>
      </c>
      <c r="D14" s="17" t="s">
        <v>34</v>
      </c>
      <c r="E14" s="18">
        <v>40000</v>
      </c>
      <c r="F14" s="17" t="s">
        <v>32</v>
      </c>
      <c r="G14" s="17">
        <v>20</v>
      </c>
      <c r="H14" s="19">
        <v>0</v>
      </c>
      <c r="I14" s="19">
        <v>3</v>
      </c>
      <c r="J14" s="19">
        <v>6</v>
      </c>
      <c r="K14" s="19">
        <v>3</v>
      </c>
      <c r="L14" s="19">
        <v>12</v>
      </c>
      <c r="M14" s="19">
        <v>14</v>
      </c>
      <c r="N14" s="19">
        <v>14</v>
      </c>
      <c r="O14" s="19">
        <v>15</v>
      </c>
      <c r="P14" s="20"/>
      <c r="Q14" s="20"/>
      <c r="R14" s="20"/>
      <c r="S14" s="20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</row>
    <row r="15" spans="1:39">
      <c r="A15" s="4"/>
      <c r="B15" s="4"/>
      <c r="C15" s="16" t="s">
        <v>35</v>
      </c>
      <c r="D15" s="17" t="s">
        <v>36</v>
      </c>
      <c r="E15" s="18">
        <v>50000</v>
      </c>
      <c r="F15" s="17" t="s">
        <v>32</v>
      </c>
      <c r="G15" s="17">
        <v>100</v>
      </c>
      <c r="H15" s="19">
        <v>6</v>
      </c>
      <c r="I15" s="19">
        <v>15</v>
      </c>
      <c r="J15" s="19">
        <v>19</v>
      </c>
      <c r="K15" s="19">
        <v>41</v>
      </c>
      <c r="L15" s="19">
        <v>43</v>
      </c>
      <c r="M15" s="19">
        <v>56</v>
      </c>
      <c r="N15" s="20"/>
      <c r="O15" s="20"/>
      <c r="P15" s="20"/>
      <c r="Q15" s="20"/>
      <c r="R15" s="20"/>
      <c r="S15" s="20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</row>
    <row r="16" spans="1:39">
      <c r="A16" s="4"/>
      <c r="B16" s="4"/>
      <c r="C16" s="16" t="s">
        <v>37</v>
      </c>
      <c r="D16" s="17" t="s">
        <v>36</v>
      </c>
      <c r="E16" s="18">
        <v>25000</v>
      </c>
      <c r="F16" s="17" t="s">
        <v>32</v>
      </c>
      <c r="G16" s="17">
        <v>40</v>
      </c>
      <c r="H16" s="19">
        <v>3</v>
      </c>
      <c r="I16" s="19">
        <v>3</v>
      </c>
      <c r="J16" s="19">
        <v>5</v>
      </c>
      <c r="K16" s="19">
        <v>16</v>
      </c>
      <c r="L16" s="19">
        <v>18</v>
      </c>
      <c r="M16" s="19">
        <v>20</v>
      </c>
      <c r="N16" s="20"/>
      <c r="O16" s="20"/>
      <c r="P16" s="20"/>
      <c r="Q16" s="20"/>
      <c r="R16" s="20"/>
      <c r="S16" s="20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</row>
    <row r="17" spans="1:39">
      <c r="A17" s="4"/>
      <c r="B17" s="4"/>
      <c r="C17" s="16" t="s">
        <v>38</v>
      </c>
      <c r="D17" s="17" t="s">
        <v>39</v>
      </c>
      <c r="E17" s="18">
        <v>12000</v>
      </c>
      <c r="F17" s="17" t="s">
        <v>29</v>
      </c>
      <c r="G17" s="17">
        <v>50</v>
      </c>
      <c r="H17" s="19">
        <v>0</v>
      </c>
      <c r="I17" s="19">
        <v>0</v>
      </c>
      <c r="J17" s="19">
        <v>0</v>
      </c>
      <c r="K17" s="19">
        <v>1</v>
      </c>
      <c r="L17" s="19">
        <v>2</v>
      </c>
      <c r="M17" s="20"/>
      <c r="N17" s="20"/>
      <c r="O17" s="20"/>
      <c r="P17" s="20"/>
      <c r="Q17" s="20"/>
      <c r="R17" s="20"/>
      <c r="S17" s="20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</row>
    <row r="18" spans="1:39">
      <c r="A18" s="4"/>
      <c r="B18" s="4"/>
      <c r="C18" s="16" t="s">
        <v>40</v>
      </c>
      <c r="D18" s="17" t="s">
        <v>41</v>
      </c>
      <c r="E18" s="18">
        <v>76000</v>
      </c>
      <c r="F18" s="17" t="s">
        <v>32</v>
      </c>
      <c r="G18" s="17">
        <v>50</v>
      </c>
      <c r="H18" s="19">
        <v>0</v>
      </c>
      <c r="I18" s="19">
        <v>4</v>
      </c>
      <c r="J18" s="19">
        <v>6</v>
      </c>
      <c r="K18" s="19">
        <v>10</v>
      </c>
      <c r="L18" s="20"/>
      <c r="M18" s="20"/>
      <c r="N18" s="20"/>
      <c r="O18" s="20"/>
      <c r="P18" s="20"/>
      <c r="Q18" s="20"/>
      <c r="R18" s="20"/>
      <c r="S18" s="20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</row>
    <row r="19" spans="1:39">
      <c r="A19" s="4"/>
      <c r="B19" s="4"/>
      <c r="C19" s="16" t="s">
        <v>42</v>
      </c>
      <c r="D19" s="17" t="s">
        <v>41</v>
      </c>
      <c r="E19" s="18">
        <v>90000</v>
      </c>
      <c r="F19" s="17" t="s">
        <v>32</v>
      </c>
      <c r="G19" s="17">
        <v>40</v>
      </c>
      <c r="H19" s="19">
        <v>5</v>
      </c>
      <c r="I19" s="19">
        <v>6</v>
      </c>
      <c r="J19" s="19">
        <v>7</v>
      </c>
      <c r="K19" s="19">
        <v>14</v>
      </c>
      <c r="L19" s="20"/>
      <c r="M19" s="20"/>
      <c r="N19" s="20"/>
      <c r="O19" s="20"/>
      <c r="P19" s="20"/>
      <c r="Q19" s="20"/>
      <c r="R19" s="20"/>
      <c r="S19" s="20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</row>
    <row r="20" spans="1:39">
      <c r="A20" s="4"/>
      <c r="B20" s="4"/>
      <c r="C20" s="16" t="s">
        <v>43</v>
      </c>
      <c r="D20" s="17" t="s">
        <v>44</v>
      </c>
      <c r="E20" s="18">
        <v>45000</v>
      </c>
      <c r="F20" s="17" t="s">
        <v>32</v>
      </c>
      <c r="G20" s="17">
        <v>60</v>
      </c>
      <c r="H20" s="19">
        <v>0</v>
      </c>
      <c r="I20" s="19">
        <v>5</v>
      </c>
      <c r="J20" s="19">
        <v>12</v>
      </c>
      <c r="K20" s="20"/>
      <c r="L20" s="20"/>
      <c r="M20" s="20"/>
      <c r="N20" s="20"/>
      <c r="O20" s="20"/>
      <c r="P20" s="20"/>
      <c r="Q20" s="20"/>
      <c r="R20" s="20"/>
      <c r="S20" s="20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</row>
    <row r="21" spans="1:39">
      <c r="A21" s="4"/>
      <c r="B21" s="4"/>
      <c r="C21" s="16" t="s">
        <v>45</v>
      </c>
      <c r="D21" s="17" t="s">
        <v>46</v>
      </c>
      <c r="E21" s="18">
        <v>55000</v>
      </c>
      <c r="F21" s="17" t="s">
        <v>32</v>
      </c>
      <c r="G21" s="17">
        <v>75</v>
      </c>
      <c r="H21" s="19">
        <v>4</v>
      </c>
      <c r="I21" s="19">
        <v>4</v>
      </c>
      <c r="J21" s="19">
        <v>4</v>
      </c>
      <c r="K21" s="20"/>
      <c r="L21" s="20"/>
      <c r="M21" s="20"/>
      <c r="N21" s="20"/>
      <c r="O21" s="20"/>
      <c r="P21" s="20"/>
      <c r="Q21" s="20"/>
      <c r="R21" s="20"/>
      <c r="S21" s="20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</row>
    <row r="22" spans="1:39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</row>
    <row r="23" spans="1:39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</row>
    <row r="24" spans="1:39">
      <c r="A24" s="138" t="s">
        <v>47</v>
      </c>
      <c r="B24" s="133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4"/>
      <c r="R24" s="3"/>
      <c r="S24" s="3"/>
      <c r="T24" s="3"/>
      <c r="U24" s="3"/>
      <c r="V24" s="3"/>
      <c r="W24" s="3"/>
      <c r="X24" s="3"/>
      <c r="Y24" s="3"/>
      <c r="Z24" s="3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</row>
    <row r="25" spans="1:39">
      <c r="A25" s="4"/>
      <c r="B25" s="4"/>
      <c r="C25" s="4"/>
      <c r="D25" s="14" t="s">
        <v>12</v>
      </c>
      <c r="E25" s="14" t="s">
        <v>13</v>
      </c>
      <c r="F25" s="14" t="s">
        <v>14</v>
      </c>
      <c r="G25" s="32" t="s">
        <v>52</v>
      </c>
      <c r="H25" s="15" t="str">
        <f t="shared" ref="H25:S25" si="0">H11</f>
        <v>Month 1</v>
      </c>
      <c r="I25" s="15" t="str">
        <f t="shared" si="0"/>
        <v>Month 2</v>
      </c>
      <c r="J25" s="15" t="str">
        <f t="shared" si="0"/>
        <v>Month 3</v>
      </c>
      <c r="K25" s="15" t="str">
        <f t="shared" si="0"/>
        <v>Month 4</v>
      </c>
      <c r="L25" s="15" t="str">
        <f t="shared" si="0"/>
        <v>Month 5</v>
      </c>
      <c r="M25" s="15" t="str">
        <f t="shared" si="0"/>
        <v>Month 6</v>
      </c>
      <c r="N25" s="15" t="str">
        <f t="shared" si="0"/>
        <v>Month 7</v>
      </c>
      <c r="O25" s="15" t="str">
        <f t="shared" si="0"/>
        <v>Month 8</v>
      </c>
      <c r="P25" s="15" t="str">
        <f t="shared" si="0"/>
        <v>Month 9</v>
      </c>
      <c r="Q25" s="15" t="str">
        <f t="shared" si="0"/>
        <v>Month 10</v>
      </c>
      <c r="R25" s="15" t="str">
        <f t="shared" si="0"/>
        <v>Month 11</v>
      </c>
      <c r="S25" s="15" t="str">
        <f t="shared" si="0"/>
        <v>Month 12</v>
      </c>
      <c r="T25" s="15" t="s">
        <v>48</v>
      </c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</row>
    <row r="26" spans="1:39">
      <c r="A26" s="4"/>
      <c r="B26" s="4"/>
      <c r="C26" s="16" t="str">
        <f t="shared" ref="C26:G26" si="1">C12</f>
        <v>Customer 1</v>
      </c>
      <c r="D26" s="21" t="str">
        <f t="shared" si="1"/>
        <v>Jan '23</v>
      </c>
      <c r="E26" s="22">
        <f t="shared" si="1"/>
        <v>9000</v>
      </c>
      <c r="F26" s="22" t="str">
        <f t="shared" si="1"/>
        <v>No</v>
      </c>
      <c r="G26" s="33">
        <f t="shared" si="1"/>
        <v>10</v>
      </c>
      <c r="H26" s="24">
        <f t="shared" ref="H26:S26" si="2">IF(ISBLANK(H12),"", (IF((H12/$G26)&lt;$P$6, 0, 1)))</f>
        <v>0</v>
      </c>
      <c r="I26" s="24">
        <f t="shared" si="2"/>
        <v>0</v>
      </c>
      <c r="J26" s="24">
        <f t="shared" si="2"/>
        <v>0</v>
      </c>
      <c r="K26" s="25">
        <f t="shared" si="2"/>
        <v>1</v>
      </c>
      <c r="L26" s="25">
        <f t="shared" si="2"/>
        <v>1</v>
      </c>
      <c r="M26" s="25">
        <f t="shared" si="2"/>
        <v>1</v>
      </c>
      <c r="N26" s="25">
        <f t="shared" si="2"/>
        <v>1</v>
      </c>
      <c r="O26" s="25">
        <f t="shared" si="2"/>
        <v>1</v>
      </c>
      <c r="P26" s="25">
        <f t="shared" si="2"/>
        <v>1</v>
      </c>
      <c r="Q26" s="25">
        <f t="shared" si="2"/>
        <v>1</v>
      </c>
      <c r="R26" s="20" t="str">
        <f t="shared" si="2"/>
        <v/>
      </c>
      <c r="S26" s="20" t="str">
        <f t="shared" si="2"/>
        <v/>
      </c>
      <c r="T26" s="26">
        <f t="shared" ref="T26:T35" si="3">LOOKUP(2,1/(H26:S26&lt;&gt;""),H26:S26)</f>
        <v>1</v>
      </c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</row>
    <row r="27" spans="1:39">
      <c r="A27" s="4"/>
      <c r="B27" s="4"/>
      <c r="C27" s="16" t="str">
        <f t="shared" ref="C27:G27" si="4">C13</f>
        <v>Customer 2</v>
      </c>
      <c r="D27" s="21" t="str">
        <f t="shared" si="4"/>
        <v>Jan '23</v>
      </c>
      <c r="E27" s="22">
        <f t="shared" si="4"/>
        <v>10000</v>
      </c>
      <c r="F27" s="22" t="str">
        <f t="shared" si="4"/>
        <v>Yes</v>
      </c>
      <c r="G27" s="33">
        <f t="shared" si="4"/>
        <v>20</v>
      </c>
      <c r="H27" s="24">
        <f t="shared" ref="H27:S27" si="5">IF(ISBLANK(H13),"", (IF((H13/$G27)&lt;$P$6, 0, 1)))</f>
        <v>0</v>
      </c>
      <c r="I27" s="24">
        <f t="shared" si="5"/>
        <v>0</v>
      </c>
      <c r="J27" s="25">
        <f t="shared" si="5"/>
        <v>1</v>
      </c>
      <c r="K27" s="25">
        <f t="shared" si="5"/>
        <v>1</v>
      </c>
      <c r="L27" s="25">
        <f t="shared" si="5"/>
        <v>1</v>
      </c>
      <c r="M27" s="25">
        <f t="shared" si="5"/>
        <v>1</v>
      </c>
      <c r="N27" s="25">
        <f t="shared" si="5"/>
        <v>1</v>
      </c>
      <c r="O27" s="25">
        <f t="shared" si="5"/>
        <v>1</v>
      </c>
      <c r="P27" s="25">
        <f t="shared" si="5"/>
        <v>1</v>
      </c>
      <c r="Q27" s="20" t="str">
        <f t="shared" si="5"/>
        <v/>
      </c>
      <c r="R27" s="20" t="str">
        <f t="shared" si="5"/>
        <v/>
      </c>
      <c r="S27" s="20" t="str">
        <f t="shared" si="5"/>
        <v/>
      </c>
      <c r="T27" s="26">
        <f t="shared" si="3"/>
        <v>1</v>
      </c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</row>
    <row r="28" spans="1:39">
      <c r="A28" s="4"/>
      <c r="B28" s="4"/>
      <c r="C28" s="16" t="str">
        <f t="shared" ref="C28:G28" si="6">C14</f>
        <v>Customer 3</v>
      </c>
      <c r="D28" s="21" t="str">
        <f t="shared" si="6"/>
        <v>Feb '23</v>
      </c>
      <c r="E28" s="22">
        <f t="shared" si="6"/>
        <v>40000</v>
      </c>
      <c r="F28" s="22" t="str">
        <f t="shared" si="6"/>
        <v>Yes</v>
      </c>
      <c r="G28" s="33">
        <f t="shared" si="6"/>
        <v>20</v>
      </c>
      <c r="H28" s="24">
        <f t="shared" ref="H28:S28" si="7">IF(ISBLANK(H14),"", (IF((H14/$G28)&lt;$P$6, 0, 1)))</f>
        <v>0</v>
      </c>
      <c r="I28" s="24">
        <f t="shared" si="7"/>
        <v>0</v>
      </c>
      <c r="J28" s="25">
        <f t="shared" si="7"/>
        <v>1</v>
      </c>
      <c r="K28" s="24">
        <f t="shared" si="7"/>
        <v>0</v>
      </c>
      <c r="L28" s="25">
        <f t="shared" si="7"/>
        <v>1</v>
      </c>
      <c r="M28" s="25">
        <f t="shared" si="7"/>
        <v>1</v>
      </c>
      <c r="N28" s="25">
        <f t="shared" si="7"/>
        <v>1</v>
      </c>
      <c r="O28" s="25">
        <f t="shared" si="7"/>
        <v>1</v>
      </c>
      <c r="P28" s="20" t="str">
        <f t="shared" si="7"/>
        <v/>
      </c>
      <c r="Q28" s="20" t="str">
        <f t="shared" si="7"/>
        <v/>
      </c>
      <c r="R28" s="20" t="str">
        <f t="shared" si="7"/>
        <v/>
      </c>
      <c r="S28" s="20" t="str">
        <f t="shared" si="7"/>
        <v/>
      </c>
      <c r="T28" s="26">
        <f t="shared" si="3"/>
        <v>1</v>
      </c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</row>
    <row r="29" spans="1:39">
      <c r="A29" s="4"/>
      <c r="B29" s="4"/>
      <c r="C29" s="16" t="str">
        <f t="shared" ref="C29:G29" si="8">C15</f>
        <v>Customer 4</v>
      </c>
      <c r="D29" s="21" t="str">
        <f t="shared" si="8"/>
        <v>May '23</v>
      </c>
      <c r="E29" s="22">
        <f t="shared" si="8"/>
        <v>50000</v>
      </c>
      <c r="F29" s="22" t="str">
        <f t="shared" si="8"/>
        <v>Yes</v>
      </c>
      <c r="G29" s="33">
        <f t="shared" si="8"/>
        <v>100</v>
      </c>
      <c r="H29" s="24">
        <f t="shared" ref="H29:S29" si="9">IF(ISBLANK(H15),"", (IF((H15/$G29)&lt;$P$6, 0, 1)))</f>
        <v>0</v>
      </c>
      <c r="I29" s="24">
        <f t="shared" si="9"/>
        <v>0</v>
      </c>
      <c r="J29" s="24">
        <f t="shared" si="9"/>
        <v>0</v>
      </c>
      <c r="K29" s="25">
        <f t="shared" si="9"/>
        <v>1</v>
      </c>
      <c r="L29" s="25">
        <f t="shared" si="9"/>
        <v>1</v>
      </c>
      <c r="M29" s="25">
        <f t="shared" si="9"/>
        <v>1</v>
      </c>
      <c r="N29" s="20" t="str">
        <f t="shared" si="9"/>
        <v/>
      </c>
      <c r="O29" s="20" t="str">
        <f t="shared" si="9"/>
        <v/>
      </c>
      <c r="P29" s="20" t="str">
        <f t="shared" si="9"/>
        <v/>
      </c>
      <c r="Q29" s="20" t="str">
        <f t="shared" si="9"/>
        <v/>
      </c>
      <c r="R29" s="20" t="str">
        <f t="shared" si="9"/>
        <v/>
      </c>
      <c r="S29" s="20" t="str">
        <f t="shared" si="9"/>
        <v/>
      </c>
      <c r="T29" s="26">
        <f t="shared" si="3"/>
        <v>1</v>
      </c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</row>
    <row r="30" spans="1:39">
      <c r="A30" s="4"/>
      <c r="B30" s="4"/>
      <c r="C30" s="16" t="str">
        <f t="shared" ref="C30:G30" si="10">C16</f>
        <v>Customer 5</v>
      </c>
      <c r="D30" s="21" t="str">
        <f t="shared" si="10"/>
        <v>May '23</v>
      </c>
      <c r="E30" s="22">
        <f t="shared" si="10"/>
        <v>25000</v>
      </c>
      <c r="F30" s="22" t="str">
        <f t="shared" si="10"/>
        <v>Yes</v>
      </c>
      <c r="G30" s="33">
        <f t="shared" si="10"/>
        <v>40</v>
      </c>
      <c r="H30" s="24">
        <f t="shared" ref="H30:S30" si="11">IF(ISBLANK(H16),"", (IF((H16/$G30)&lt;$P$6, 0, 1)))</f>
        <v>0</v>
      </c>
      <c r="I30" s="24">
        <f t="shared" si="11"/>
        <v>0</v>
      </c>
      <c r="J30" s="24">
        <f t="shared" si="11"/>
        <v>0</v>
      </c>
      <c r="K30" s="25">
        <f t="shared" si="11"/>
        <v>1</v>
      </c>
      <c r="L30" s="25">
        <f t="shared" si="11"/>
        <v>1</v>
      </c>
      <c r="M30" s="25">
        <f t="shared" si="11"/>
        <v>1</v>
      </c>
      <c r="N30" s="20" t="str">
        <f t="shared" si="11"/>
        <v/>
      </c>
      <c r="O30" s="20" t="str">
        <f t="shared" si="11"/>
        <v/>
      </c>
      <c r="P30" s="20" t="str">
        <f t="shared" si="11"/>
        <v/>
      </c>
      <c r="Q30" s="20" t="str">
        <f t="shared" si="11"/>
        <v/>
      </c>
      <c r="R30" s="20" t="str">
        <f t="shared" si="11"/>
        <v/>
      </c>
      <c r="S30" s="20" t="str">
        <f t="shared" si="11"/>
        <v/>
      </c>
      <c r="T30" s="26">
        <f t="shared" si="3"/>
        <v>1</v>
      </c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</row>
    <row r="31" spans="1:39">
      <c r="A31" s="4"/>
      <c r="B31" s="4"/>
      <c r="C31" s="16" t="str">
        <f t="shared" ref="C31:G31" si="12">C17</f>
        <v>Customer 6</v>
      </c>
      <c r="D31" s="21" t="str">
        <f t="shared" si="12"/>
        <v>June '23</v>
      </c>
      <c r="E31" s="22">
        <f t="shared" si="12"/>
        <v>12000</v>
      </c>
      <c r="F31" s="22" t="str">
        <f t="shared" si="12"/>
        <v>No</v>
      </c>
      <c r="G31" s="33">
        <f t="shared" si="12"/>
        <v>50</v>
      </c>
      <c r="H31" s="24">
        <f t="shared" ref="H31:S31" si="13">IF(ISBLANK(H17),"", (IF((H17/$G31)&lt;$P$6, 0, 1)))</f>
        <v>0</v>
      </c>
      <c r="I31" s="24">
        <f t="shared" si="13"/>
        <v>0</v>
      </c>
      <c r="J31" s="24">
        <f t="shared" si="13"/>
        <v>0</v>
      </c>
      <c r="K31" s="24">
        <f t="shared" si="13"/>
        <v>0</v>
      </c>
      <c r="L31" s="24">
        <f t="shared" si="13"/>
        <v>0</v>
      </c>
      <c r="M31" s="20" t="str">
        <f t="shared" si="13"/>
        <v/>
      </c>
      <c r="N31" s="20" t="str">
        <f t="shared" si="13"/>
        <v/>
      </c>
      <c r="O31" s="20" t="str">
        <f t="shared" si="13"/>
        <v/>
      </c>
      <c r="P31" s="20" t="str">
        <f t="shared" si="13"/>
        <v/>
      </c>
      <c r="Q31" s="20" t="str">
        <f t="shared" si="13"/>
        <v/>
      </c>
      <c r="R31" s="20" t="str">
        <f t="shared" si="13"/>
        <v/>
      </c>
      <c r="S31" s="20" t="str">
        <f t="shared" si="13"/>
        <v/>
      </c>
      <c r="T31" s="26">
        <f t="shared" si="3"/>
        <v>0</v>
      </c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</row>
    <row r="32" spans="1:39">
      <c r="A32" s="4"/>
      <c r="B32" s="4"/>
      <c r="C32" s="16" t="str">
        <f t="shared" ref="C32:G32" si="14">C18</f>
        <v>Customer 7</v>
      </c>
      <c r="D32" s="21" t="str">
        <f t="shared" si="14"/>
        <v>July '23</v>
      </c>
      <c r="E32" s="22">
        <f t="shared" si="14"/>
        <v>76000</v>
      </c>
      <c r="F32" s="22" t="str">
        <f t="shared" si="14"/>
        <v>Yes</v>
      </c>
      <c r="G32" s="33">
        <f t="shared" si="14"/>
        <v>50</v>
      </c>
      <c r="H32" s="24">
        <f t="shared" ref="H32:S32" si="15">IF(ISBLANK(H18),"", (IF((H18/$G32)&lt;$P$6, 0, 1)))</f>
        <v>0</v>
      </c>
      <c r="I32" s="24">
        <f t="shared" si="15"/>
        <v>0</v>
      </c>
      <c r="J32" s="24">
        <f t="shared" si="15"/>
        <v>0</v>
      </c>
      <c r="K32" s="24">
        <f t="shared" si="15"/>
        <v>0</v>
      </c>
      <c r="L32" s="20" t="str">
        <f t="shared" si="15"/>
        <v/>
      </c>
      <c r="M32" s="20" t="str">
        <f t="shared" si="15"/>
        <v/>
      </c>
      <c r="N32" s="20" t="str">
        <f t="shared" si="15"/>
        <v/>
      </c>
      <c r="O32" s="20" t="str">
        <f t="shared" si="15"/>
        <v/>
      </c>
      <c r="P32" s="20" t="str">
        <f t="shared" si="15"/>
        <v/>
      </c>
      <c r="Q32" s="20" t="str">
        <f t="shared" si="15"/>
        <v/>
      </c>
      <c r="R32" s="20" t="str">
        <f t="shared" si="15"/>
        <v/>
      </c>
      <c r="S32" s="20" t="str">
        <f t="shared" si="15"/>
        <v/>
      </c>
      <c r="T32" s="26">
        <f t="shared" si="3"/>
        <v>0</v>
      </c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</row>
    <row r="33" spans="1:39">
      <c r="A33" s="4"/>
      <c r="B33" s="4"/>
      <c r="C33" s="16" t="str">
        <f t="shared" ref="C33:G33" si="16">C19</f>
        <v>Customer 8</v>
      </c>
      <c r="D33" s="21" t="str">
        <f t="shared" si="16"/>
        <v>July '23</v>
      </c>
      <c r="E33" s="22">
        <f t="shared" si="16"/>
        <v>90000</v>
      </c>
      <c r="F33" s="22" t="str">
        <f t="shared" si="16"/>
        <v>Yes</v>
      </c>
      <c r="G33" s="33">
        <f t="shared" si="16"/>
        <v>40</v>
      </c>
      <c r="H33" s="24">
        <f t="shared" ref="H33:S33" si="17">IF(ISBLANK(H19),"", (IF((H19/$G33)&lt;$P$6, 0, 1)))</f>
        <v>0</v>
      </c>
      <c r="I33" s="24">
        <f t="shared" si="17"/>
        <v>0</v>
      </c>
      <c r="J33" s="24">
        <f t="shared" si="17"/>
        <v>0</v>
      </c>
      <c r="K33" s="25">
        <f t="shared" si="17"/>
        <v>1</v>
      </c>
      <c r="L33" s="20" t="str">
        <f t="shared" si="17"/>
        <v/>
      </c>
      <c r="M33" s="20" t="str">
        <f t="shared" si="17"/>
        <v/>
      </c>
      <c r="N33" s="20" t="str">
        <f t="shared" si="17"/>
        <v/>
      </c>
      <c r="O33" s="20" t="str">
        <f t="shared" si="17"/>
        <v/>
      </c>
      <c r="P33" s="20" t="str">
        <f t="shared" si="17"/>
        <v/>
      </c>
      <c r="Q33" s="20" t="str">
        <f t="shared" si="17"/>
        <v/>
      </c>
      <c r="R33" s="20" t="str">
        <f t="shared" si="17"/>
        <v/>
      </c>
      <c r="S33" s="20" t="str">
        <f t="shared" si="17"/>
        <v/>
      </c>
      <c r="T33" s="26">
        <f t="shared" si="3"/>
        <v>1</v>
      </c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</row>
    <row r="34" spans="1:39">
      <c r="A34" s="4"/>
      <c r="B34" s="4"/>
      <c r="C34" s="16" t="str">
        <f t="shared" ref="C34:G34" si="18">C20</f>
        <v>Customer 9</v>
      </c>
      <c r="D34" s="21" t="str">
        <f t="shared" si="18"/>
        <v>Aug '23</v>
      </c>
      <c r="E34" s="22">
        <f t="shared" si="18"/>
        <v>45000</v>
      </c>
      <c r="F34" s="22" t="str">
        <f t="shared" si="18"/>
        <v>Yes</v>
      </c>
      <c r="G34" s="33">
        <f t="shared" si="18"/>
        <v>60</v>
      </c>
      <c r="H34" s="24">
        <f t="shared" ref="H34:S34" si="19">IF(ISBLANK(H20),"", (IF((H20/$G34)&lt;$P$6, 0, 1)))</f>
        <v>0</v>
      </c>
      <c r="I34" s="24">
        <f t="shared" si="19"/>
        <v>0</v>
      </c>
      <c r="J34" s="24">
        <f t="shared" si="19"/>
        <v>0</v>
      </c>
      <c r="K34" s="20" t="str">
        <f t="shared" si="19"/>
        <v/>
      </c>
      <c r="L34" s="20" t="str">
        <f t="shared" si="19"/>
        <v/>
      </c>
      <c r="M34" s="20" t="str">
        <f t="shared" si="19"/>
        <v/>
      </c>
      <c r="N34" s="20" t="str">
        <f t="shared" si="19"/>
        <v/>
      </c>
      <c r="O34" s="20" t="str">
        <f t="shared" si="19"/>
        <v/>
      </c>
      <c r="P34" s="20" t="str">
        <f t="shared" si="19"/>
        <v/>
      </c>
      <c r="Q34" s="20" t="str">
        <f t="shared" si="19"/>
        <v/>
      </c>
      <c r="R34" s="20" t="str">
        <f t="shared" si="19"/>
        <v/>
      </c>
      <c r="S34" s="20" t="str">
        <f t="shared" si="19"/>
        <v/>
      </c>
      <c r="T34" s="26">
        <f t="shared" si="3"/>
        <v>0</v>
      </c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</row>
    <row r="35" spans="1:39">
      <c r="A35" s="4"/>
      <c r="B35" s="4"/>
      <c r="C35" s="16" t="str">
        <f t="shared" ref="C35:G35" si="20">C21</f>
        <v>Customer 10</v>
      </c>
      <c r="D35" s="21" t="str">
        <f t="shared" si="20"/>
        <v>Aug '24</v>
      </c>
      <c r="E35" s="22">
        <f t="shared" si="20"/>
        <v>55000</v>
      </c>
      <c r="F35" s="22" t="str">
        <f t="shared" si="20"/>
        <v>Yes</v>
      </c>
      <c r="G35" s="33">
        <f t="shared" si="20"/>
        <v>75</v>
      </c>
      <c r="H35" s="24">
        <f t="shared" ref="H35:S35" si="21">IF(ISBLANK(H21),"", (IF((H21/$G35)&lt;$P$6, 0, 1)))</f>
        <v>0</v>
      </c>
      <c r="I35" s="24">
        <f t="shared" si="21"/>
        <v>0</v>
      </c>
      <c r="J35" s="24">
        <f t="shared" si="21"/>
        <v>0</v>
      </c>
      <c r="K35" s="20" t="str">
        <f t="shared" si="21"/>
        <v/>
      </c>
      <c r="L35" s="20" t="str">
        <f t="shared" si="21"/>
        <v/>
      </c>
      <c r="M35" s="20" t="str">
        <f t="shared" si="21"/>
        <v/>
      </c>
      <c r="N35" s="20" t="str">
        <f t="shared" si="21"/>
        <v/>
      </c>
      <c r="O35" s="20" t="str">
        <f t="shared" si="21"/>
        <v/>
      </c>
      <c r="P35" s="20" t="str">
        <f t="shared" si="21"/>
        <v/>
      </c>
      <c r="Q35" s="20" t="str">
        <f t="shared" si="21"/>
        <v/>
      </c>
      <c r="R35" s="20" t="str">
        <f t="shared" si="21"/>
        <v/>
      </c>
      <c r="S35" s="20" t="str">
        <f t="shared" si="21"/>
        <v/>
      </c>
      <c r="T35" s="26">
        <f t="shared" si="3"/>
        <v>0</v>
      </c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</row>
    <row r="36" spans="1:39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6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</row>
    <row r="37" spans="1:39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27" t="s">
        <v>49</v>
      </c>
      <c r="T37" s="28">
        <f>SUM(T26:T35)/COUNT(T26:T35)</f>
        <v>0.6</v>
      </c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</row>
    <row r="38" spans="1:39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29" t="s">
        <v>50</v>
      </c>
      <c r="T38" s="30">
        <v>0.7</v>
      </c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</row>
    <row r="39" spans="1: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</row>
    <row r="40" spans="1:39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</row>
    <row r="41" spans="1:39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</row>
    <row r="42" spans="1:39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</row>
    <row r="43" spans="1:39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</row>
    <row r="44" spans="1:39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</row>
    <row r="45" spans="1:39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</row>
    <row r="46" spans="1:39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</row>
    <row r="47" spans="1:39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</row>
    <row r="48" spans="1:39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</row>
    <row r="49" spans="1:3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</row>
    <row r="50" spans="1:39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</row>
    <row r="51" spans="1:39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</row>
    <row r="52" spans="1:39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</row>
    <row r="53" spans="1:39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</row>
    <row r="54" spans="1:39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</row>
    <row r="55" spans="1:39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</row>
    <row r="56" spans="1:39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</row>
    <row r="57" spans="1:39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</row>
    <row r="58" spans="1:39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</row>
    <row r="59" spans="1:3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</row>
    <row r="60" spans="1:39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</row>
    <row r="61" spans="1:39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</row>
    <row r="62" spans="1:39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</row>
    <row r="63" spans="1:39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</row>
    <row r="64" spans="1:39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</row>
    <row r="65" spans="1:39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</row>
    <row r="66" spans="1:39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</row>
    <row r="67" spans="1:39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</row>
    <row r="68" spans="1:39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</row>
    <row r="69" spans="1:3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</row>
    <row r="70" spans="1:39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</row>
    <row r="71" spans="1:39" ht="14.4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</row>
    <row r="72" spans="1:39" ht="14.4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</row>
    <row r="73" spans="1:39" ht="14.4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</row>
    <row r="74" spans="1:39" ht="14.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</row>
    <row r="75" spans="1:39" ht="14.4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</row>
    <row r="76" spans="1:39" ht="14.4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</row>
    <row r="77" spans="1:39" ht="14.4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</row>
    <row r="78" spans="1:39" ht="14.4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</row>
    <row r="79" spans="1:39" ht="14.4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</row>
    <row r="80" spans="1:39" ht="14.4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</row>
    <row r="81" spans="1:39" ht="14.4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</row>
    <row r="82" spans="1:39" ht="14.4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</row>
    <row r="83" spans="1:39" ht="14.4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</row>
    <row r="84" spans="1:39" ht="14.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</row>
    <row r="85" spans="1:39" ht="14.4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</row>
    <row r="86" spans="1:39" ht="14.4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</row>
    <row r="87" spans="1:39" ht="14.4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</row>
    <row r="88" spans="1:39" ht="14.4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</row>
    <row r="89" spans="1:39" ht="14.4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</row>
    <row r="90" spans="1:39" ht="14.4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</row>
    <row r="91" spans="1:39" ht="14.4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</row>
    <row r="92" spans="1:39" ht="14.4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</row>
    <row r="93" spans="1:39" ht="14.4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</row>
    <row r="94" spans="1:39" ht="14.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</row>
    <row r="95" spans="1:39" ht="14.4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</row>
    <row r="96" spans="1:39" ht="14.4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</row>
    <row r="97" spans="1:39" ht="14.4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</row>
    <row r="98" spans="1:39" ht="14.4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</row>
    <row r="99" spans="1:39" ht="14.4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</row>
    <row r="100" spans="1:39" ht="14.4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</row>
    <row r="101" spans="1:39" ht="14.4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</row>
    <row r="102" spans="1:39" ht="14.4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</row>
    <row r="103" spans="1:39" ht="14.4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</row>
    <row r="104" spans="1:39" ht="14.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</row>
    <row r="105" spans="1:39" ht="14.4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</row>
    <row r="106" spans="1:39" ht="14.4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</row>
    <row r="107" spans="1:39" ht="14.4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</row>
    <row r="108" spans="1:39" ht="14.4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</row>
    <row r="109" spans="1:39" ht="14.4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</row>
    <row r="110" spans="1:39" ht="14.4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</row>
    <row r="111" spans="1:39" ht="14.4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</row>
    <row r="112" spans="1:39" ht="14.4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</row>
    <row r="113" spans="1:39" ht="14.4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</row>
    <row r="114" spans="1:39" ht="14.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</row>
    <row r="115" spans="1:39" ht="14.4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</row>
    <row r="116" spans="1:39" ht="14.4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</row>
    <row r="117" spans="1:39" ht="14.4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</row>
    <row r="118" spans="1:39" ht="14.4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</row>
    <row r="119" spans="1:39" ht="14.4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</row>
    <row r="120" spans="1:39" ht="14.4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</row>
    <row r="121" spans="1:39" ht="14.4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</row>
    <row r="122" spans="1:39" ht="14.4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</row>
    <row r="123" spans="1:39" ht="14.4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</row>
    <row r="124" spans="1:39" ht="14.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</row>
    <row r="125" spans="1:39" ht="14.4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</row>
    <row r="126" spans="1:39" ht="14.4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</row>
    <row r="127" spans="1:39" ht="14.4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</row>
    <row r="128" spans="1:39" ht="14.4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</row>
    <row r="129" spans="1:39" ht="14.4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</row>
    <row r="130" spans="1:39" ht="14.4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</row>
    <row r="131" spans="1:39" ht="14.4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</row>
    <row r="132" spans="1:39" ht="14.4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</row>
    <row r="133" spans="1:39" ht="14.4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</row>
    <row r="134" spans="1:39" ht="14.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</row>
    <row r="135" spans="1:39" ht="14.4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</row>
    <row r="136" spans="1:39" ht="14.4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</row>
    <row r="137" spans="1:39" ht="14.4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</row>
    <row r="138" spans="1:39" ht="14.4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</row>
    <row r="139" spans="1:39" ht="14.4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</row>
    <row r="140" spans="1:39" ht="14.4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</row>
    <row r="141" spans="1:39" ht="14.4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</row>
    <row r="142" spans="1:39" ht="14.4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</row>
    <row r="143" spans="1:39" ht="14.4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</row>
    <row r="144" spans="1:39" ht="14.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</row>
    <row r="145" spans="1:39" ht="14.4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</row>
    <row r="146" spans="1:39" ht="14.4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</row>
    <row r="147" spans="1:39" ht="14.4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</row>
    <row r="148" spans="1:39" ht="14.4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</row>
    <row r="149" spans="1:39" ht="14.4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</row>
    <row r="150" spans="1:39" ht="14.4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</row>
    <row r="151" spans="1:39" ht="14.4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</row>
    <row r="152" spans="1:39" ht="14.4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</row>
    <row r="153" spans="1:39" ht="14.4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</row>
    <row r="154" spans="1:39" ht="14.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</row>
    <row r="155" spans="1:39" ht="14.4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</row>
    <row r="156" spans="1:39" ht="14.4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</row>
    <row r="157" spans="1:39" ht="14.4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</row>
    <row r="158" spans="1:39" ht="14.4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</row>
    <row r="159" spans="1:39" ht="14.4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</row>
    <row r="160" spans="1:39" ht="14.4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</row>
    <row r="161" spans="1:39" ht="14.4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</row>
    <row r="162" spans="1:39" ht="14.4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</row>
    <row r="163" spans="1:39" ht="14.4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</row>
    <row r="164" spans="1:39" ht="14.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</row>
    <row r="165" spans="1:39" ht="14.4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</row>
    <row r="166" spans="1:39" ht="14.4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</row>
    <row r="167" spans="1:39" ht="14.4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</row>
    <row r="168" spans="1:39" ht="14.4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</row>
    <row r="169" spans="1:39" ht="14.4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</row>
    <row r="170" spans="1:39" ht="14.4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</row>
    <row r="171" spans="1:39" ht="14.4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</row>
    <row r="172" spans="1:39" ht="14.4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</row>
    <row r="173" spans="1:39" ht="14.4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</row>
    <row r="174" spans="1:39" ht="14.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</row>
    <row r="175" spans="1:39" ht="14.4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</row>
    <row r="176" spans="1:39" ht="14.4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</row>
    <row r="177" spans="1:39" ht="14.4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</row>
    <row r="178" spans="1:39" ht="14.4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</row>
    <row r="179" spans="1:39" ht="14.4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</row>
    <row r="180" spans="1:39" ht="14.4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</row>
    <row r="181" spans="1:39" ht="14.4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</row>
    <row r="182" spans="1:39" ht="14.4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</row>
    <row r="183" spans="1:39" ht="14.4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</row>
    <row r="184" spans="1:39" ht="14.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</row>
    <row r="185" spans="1:39" ht="14.4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</row>
    <row r="186" spans="1:39" ht="14.4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</row>
    <row r="187" spans="1:39" ht="14.4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</row>
    <row r="188" spans="1:39" ht="14.4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</row>
    <row r="189" spans="1:39" ht="14.4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</row>
    <row r="190" spans="1:39" ht="14.4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</row>
    <row r="191" spans="1:39" ht="14.4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</row>
    <row r="192" spans="1:39" ht="14.4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</row>
    <row r="193" spans="1:39" ht="14.4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</row>
    <row r="194" spans="1:39" ht="14.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</row>
    <row r="195" spans="1:39" ht="14.4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</row>
    <row r="196" spans="1:39" ht="14.4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</row>
    <row r="197" spans="1:39" ht="14.4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</row>
    <row r="198" spans="1:39" ht="14.4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</row>
    <row r="199" spans="1:39" ht="14.4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</row>
    <row r="200" spans="1:39" ht="14.4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</row>
    <row r="201" spans="1:39" ht="14.4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</row>
    <row r="202" spans="1:39" ht="14.4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</row>
    <row r="203" spans="1:39" ht="14.4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</row>
    <row r="204" spans="1:39" ht="14.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</row>
    <row r="205" spans="1:39" ht="14.4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</row>
    <row r="206" spans="1:39" ht="14.4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</row>
    <row r="207" spans="1:39" ht="14.4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</row>
    <row r="208" spans="1:39" ht="14.4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</row>
    <row r="209" spans="1:39" ht="14.4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</row>
    <row r="210" spans="1:39" ht="14.4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</row>
    <row r="211" spans="1:39" ht="14.4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</row>
    <row r="212" spans="1:39" ht="14.4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</row>
    <row r="213" spans="1:39" ht="14.4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</row>
    <row r="214" spans="1:39" ht="14.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</row>
    <row r="215" spans="1:39" ht="14.4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</row>
    <row r="216" spans="1:39" ht="14.4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</row>
    <row r="217" spans="1:39" ht="14.4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</row>
    <row r="218" spans="1:39" ht="14.4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</row>
    <row r="219" spans="1:39" ht="14.4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</row>
    <row r="220" spans="1:39" ht="14.4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</row>
    <row r="221" spans="1:39" ht="14.4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</row>
    <row r="222" spans="1:39" ht="14.4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</row>
    <row r="223" spans="1:39" ht="14.4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</row>
    <row r="224" spans="1:39" ht="14.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</row>
    <row r="225" spans="1:39" ht="14.4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</row>
    <row r="226" spans="1:39" ht="14.4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</row>
    <row r="227" spans="1:39" ht="14.4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</row>
    <row r="228" spans="1:39" ht="14.4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</row>
    <row r="229" spans="1:39" ht="14.4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</row>
    <row r="230" spans="1:39" ht="14.4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</row>
    <row r="231" spans="1:39" ht="14.4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</row>
    <row r="232" spans="1:39" ht="14.4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</row>
    <row r="233" spans="1:39" ht="14.4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</row>
    <row r="234" spans="1:39" ht="14.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</row>
    <row r="235" spans="1:39" ht="14.4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</row>
    <row r="236" spans="1:39" ht="14.4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</row>
    <row r="237" spans="1:39" ht="14.4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</row>
    <row r="238" spans="1:39" ht="14.4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</row>
    <row r="239" spans="1:39" ht="14.4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</row>
    <row r="240" spans="1:39" ht="14.4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</row>
    <row r="241" spans="1:39" ht="14.4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</row>
    <row r="242" spans="1:39" ht="14.4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</row>
    <row r="243" spans="1:39" ht="14.4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</row>
    <row r="244" spans="1:39" ht="14.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</row>
    <row r="245" spans="1:39" ht="14.4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</row>
    <row r="246" spans="1:39" ht="14.4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</row>
    <row r="247" spans="1:39" ht="14.4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</row>
    <row r="248" spans="1:39" ht="14.4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</row>
    <row r="249" spans="1:39" ht="14.4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</row>
    <row r="250" spans="1:39" ht="14.4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</row>
    <row r="251" spans="1:39" ht="14.4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</row>
    <row r="252" spans="1:39" ht="14.4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</row>
    <row r="253" spans="1:39" ht="14.4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</row>
    <row r="254" spans="1:39" ht="14.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</row>
    <row r="255" spans="1:39" ht="14.4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</row>
    <row r="256" spans="1:39" ht="14.4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</row>
    <row r="257" spans="1:39" ht="14.4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</row>
    <row r="258" spans="1:39" ht="14.4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</row>
    <row r="259" spans="1:39" ht="14.4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</row>
    <row r="260" spans="1:39" ht="14.4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</row>
    <row r="261" spans="1:39" ht="14.4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</row>
    <row r="262" spans="1:39" ht="14.4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</row>
    <row r="263" spans="1:39" ht="14.4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</row>
    <row r="264" spans="1:39" ht="14.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</row>
    <row r="265" spans="1:39" ht="14.4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</row>
    <row r="266" spans="1:39" ht="14.4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</row>
    <row r="267" spans="1:39" ht="14.4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</row>
    <row r="268" spans="1:39" ht="14.4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</row>
    <row r="269" spans="1:39" ht="14.4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</row>
    <row r="270" spans="1:39" ht="14.4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</row>
    <row r="271" spans="1:39" ht="14.4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</row>
    <row r="272" spans="1:39" ht="14.4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</row>
    <row r="273" spans="1:39" ht="14.4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</row>
    <row r="274" spans="1:39" ht="14.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</row>
    <row r="275" spans="1:39" ht="14.4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</row>
    <row r="276" spans="1:39" ht="14.4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</row>
    <row r="277" spans="1:39" ht="14.4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</row>
    <row r="278" spans="1:39" ht="14.4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</row>
    <row r="279" spans="1:39" ht="14.4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</row>
    <row r="280" spans="1:39" ht="14.4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</row>
    <row r="281" spans="1:39" ht="14.4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</row>
    <row r="282" spans="1:39" ht="14.4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</row>
    <row r="283" spans="1:39" ht="14.4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</row>
    <row r="284" spans="1:39" ht="14.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</row>
    <row r="285" spans="1:39" ht="14.4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</row>
    <row r="286" spans="1:39" ht="14.4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</row>
    <row r="287" spans="1:39" ht="14.4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</row>
    <row r="288" spans="1:39" ht="14.4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</row>
    <row r="289" spans="1:39" ht="14.4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</row>
    <row r="290" spans="1:39" ht="14.4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</row>
    <row r="291" spans="1:39" ht="14.4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</row>
    <row r="292" spans="1:39" ht="14.4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</row>
    <row r="293" spans="1:39" ht="14.4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</row>
    <row r="294" spans="1:39" ht="14.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</row>
    <row r="295" spans="1:39" ht="14.4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</row>
    <row r="296" spans="1:39" ht="14.4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</row>
    <row r="297" spans="1:39" ht="14.4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</row>
    <row r="298" spans="1:39" ht="14.4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</row>
    <row r="299" spans="1:39" ht="14.4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</row>
    <row r="300" spans="1:39" ht="14.4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</row>
    <row r="301" spans="1:39" ht="14.4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</row>
    <row r="302" spans="1:39" ht="14.4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</row>
    <row r="303" spans="1:39" ht="14.4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</row>
    <row r="304" spans="1:39" ht="14.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</row>
    <row r="305" spans="1:39" ht="14.4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</row>
    <row r="306" spans="1:39" ht="14.4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</row>
    <row r="307" spans="1:39" ht="14.4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</row>
    <row r="308" spans="1:39" ht="14.4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</row>
    <row r="309" spans="1:39" ht="14.4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</row>
    <row r="310" spans="1:39" ht="14.4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</row>
    <row r="311" spans="1:39" ht="14.4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</row>
    <row r="312" spans="1:39" ht="14.4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</row>
    <row r="313" spans="1:39" ht="14.4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</row>
    <row r="314" spans="1:39" ht="14.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</row>
    <row r="315" spans="1:39" ht="14.4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</row>
    <row r="316" spans="1:39" ht="14.4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</row>
    <row r="317" spans="1:39" ht="14.4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</row>
    <row r="318" spans="1:39" ht="14.4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</row>
    <row r="319" spans="1:39" ht="14.4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</row>
    <row r="320" spans="1:39" ht="14.4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</row>
    <row r="321" spans="1:39" ht="14.4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</row>
    <row r="322" spans="1:39" ht="14.4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</row>
    <row r="323" spans="1:39" ht="14.4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</row>
    <row r="324" spans="1:39" ht="14.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</row>
    <row r="325" spans="1:39" ht="14.4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</row>
    <row r="326" spans="1:39" ht="14.4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</row>
    <row r="327" spans="1:39" ht="14.4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</row>
    <row r="328" spans="1:39" ht="14.4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</row>
    <row r="329" spans="1:39" ht="14.4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</row>
    <row r="330" spans="1:39" ht="14.4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</row>
    <row r="331" spans="1:39" ht="14.4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</row>
    <row r="332" spans="1:39" ht="14.4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</row>
    <row r="333" spans="1:39" ht="14.4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</row>
    <row r="334" spans="1:39" ht="14.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</row>
    <row r="335" spans="1:39" ht="14.4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</row>
    <row r="336" spans="1:39" ht="14.4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</row>
    <row r="337" spans="1:39" ht="14.4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</row>
    <row r="338" spans="1:39" ht="14.4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</row>
    <row r="339" spans="1:39" ht="14.4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</row>
    <row r="340" spans="1:39" ht="14.4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</row>
    <row r="341" spans="1:39" ht="14.4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</row>
    <row r="342" spans="1:39" ht="14.4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</row>
    <row r="343" spans="1:39" ht="14.4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</row>
    <row r="344" spans="1:39" ht="14.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</row>
    <row r="345" spans="1:39" ht="14.4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</row>
    <row r="346" spans="1:39" ht="14.4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</row>
    <row r="347" spans="1:39" ht="14.4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</row>
    <row r="348" spans="1:39" ht="14.4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</row>
    <row r="349" spans="1:39" ht="14.4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</row>
    <row r="350" spans="1:39" ht="14.4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</row>
    <row r="351" spans="1:39" ht="14.4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</row>
    <row r="352" spans="1:39" ht="14.4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</row>
    <row r="353" spans="1:39" ht="14.4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</row>
    <row r="354" spans="1:39" ht="14.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</row>
    <row r="355" spans="1:39" ht="14.4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</row>
    <row r="356" spans="1:39" ht="14.4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</row>
    <row r="357" spans="1:39" ht="14.4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</row>
    <row r="358" spans="1:39" ht="14.4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</row>
    <row r="359" spans="1:39" ht="14.4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</row>
    <row r="360" spans="1:39" ht="14.4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</row>
    <row r="361" spans="1:39" ht="14.4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</row>
    <row r="362" spans="1:39" ht="14.4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</row>
    <row r="363" spans="1:39" ht="14.4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</row>
    <row r="364" spans="1:39" ht="14.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</row>
    <row r="365" spans="1:39" ht="14.4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</row>
    <row r="366" spans="1:39" ht="14.4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</row>
    <row r="367" spans="1:39" ht="14.4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</row>
    <row r="368" spans="1:39" ht="14.4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</row>
    <row r="369" spans="1:39" ht="14.4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</row>
    <row r="370" spans="1:39" ht="14.4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</row>
    <row r="371" spans="1:39" ht="14.4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</row>
    <row r="372" spans="1:39" ht="14.4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</row>
    <row r="373" spans="1:39" ht="14.4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</row>
    <row r="374" spans="1:39" ht="14.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</row>
    <row r="375" spans="1:39" ht="14.4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</row>
    <row r="376" spans="1:39" ht="14.4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</row>
    <row r="377" spans="1:39" ht="14.4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</row>
    <row r="378" spans="1:39" ht="14.4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</row>
    <row r="379" spans="1:39" ht="14.4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</row>
    <row r="380" spans="1:39" ht="14.4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</row>
    <row r="381" spans="1:39" ht="14.4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</row>
    <row r="382" spans="1:39" ht="14.4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</row>
    <row r="383" spans="1:39" ht="14.4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</row>
    <row r="384" spans="1:39" ht="14.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</row>
    <row r="385" spans="1:39" ht="14.4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</row>
    <row r="386" spans="1:39" ht="14.4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</row>
    <row r="387" spans="1:39" ht="14.4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</row>
    <row r="388" spans="1:39" ht="14.4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</row>
    <row r="389" spans="1:39" ht="14.4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</row>
    <row r="390" spans="1:39" ht="14.4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</row>
    <row r="391" spans="1:39" ht="14.4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</row>
    <row r="392" spans="1:39" ht="14.4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</row>
    <row r="393" spans="1:39" ht="14.4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</row>
    <row r="394" spans="1:39" ht="14.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</row>
    <row r="395" spans="1:39" ht="14.4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</row>
    <row r="396" spans="1:39" ht="14.4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</row>
    <row r="397" spans="1:39" ht="14.4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</row>
    <row r="398" spans="1:39" ht="14.4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</row>
    <row r="399" spans="1:39" ht="14.4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</row>
    <row r="400" spans="1:39" ht="14.4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</row>
    <row r="401" spans="1:39" ht="14.4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</row>
    <row r="402" spans="1:39" ht="14.4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</row>
    <row r="403" spans="1:39" ht="14.4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</row>
    <row r="404" spans="1:39" ht="14.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</row>
    <row r="405" spans="1:39" ht="14.4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</row>
    <row r="406" spans="1:39" ht="14.4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</row>
    <row r="407" spans="1:39" ht="14.4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</row>
    <row r="408" spans="1:39" ht="14.4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</row>
    <row r="409" spans="1:39" ht="14.4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</row>
    <row r="410" spans="1:39" ht="14.4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</row>
    <row r="411" spans="1:39" ht="14.4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</row>
    <row r="412" spans="1:39" ht="14.4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</row>
    <row r="413" spans="1:39" ht="14.4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</row>
    <row r="414" spans="1:39" ht="14.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</row>
    <row r="415" spans="1:39" ht="14.4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</row>
    <row r="416" spans="1:39" ht="14.4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</row>
    <row r="417" spans="1:39" ht="14.4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</row>
    <row r="418" spans="1:39" ht="14.4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</row>
    <row r="419" spans="1:39" ht="14.4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</row>
    <row r="420" spans="1:39" ht="14.4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</row>
    <row r="421" spans="1:39" ht="14.4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</row>
    <row r="422" spans="1:39" ht="14.4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</row>
    <row r="423" spans="1:39" ht="14.4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</row>
    <row r="424" spans="1:39" ht="14.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</row>
    <row r="425" spans="1:39" ht="14.4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</row>
    <row r="426" spans="1:39" ht="14.4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</row>
    <row r="427" spans="1:39" ht="14.4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</row>
    <row r="428" spans="1:39" ht="14.4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</row>
    <row r="429" spans="1:39" ht="14.4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</row>
    <row r="430" spans="1:39" ht="14.4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</row>
    <row r="431" spans="1:39" ht="14.4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</row>
    <row r="432" spans="1:39" ht="14.4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</row>
    <row r="433" spans="1:39" ht="14.4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</row>
    <row r="434" spans="1:39" ht="14.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</row>
    <row r="435" spans="1:39" ht="14.4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</row>
    <row r="436" spans="1:39" ht="14.4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</row>
    <row r="437" spans="1:39" ht="14.4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</row>
    <row r="438" spans="1:39" ht="14.4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</row>
    <row r="439" spans="1:39" ht="14.4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</row>
    <row r="440" spans="1:39" ht="14.4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</row>
    <row r="441" spans="1:39" ht="14.4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</row>
    <row r="442" spans="1:39" ht="14.4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</row>
    <row r="443" spans="1:39" ht="14.4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</row>
    <row r="444" spans="1:39" ht="14.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</row>
    <row r="445" spans="1:39" ht="14.4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</row>
    <row r="446" spans="1:39" ht="14.4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</row>
    <row r="447" spans="1:39" ht="14.4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</row>
    <row r="448" spans="1:39" ht="14.4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</row>
    <row r="449" spans="1:39" ht="14.4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</row>
    <row r="450" spans="1:39" ht="14.4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</row>
    <row r="451" spans="1:39" ht="14.4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</row>
    <row r="452" spans="1:39" ht="14.4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</row>
    <row r="453" spans="1:39" ht="14.4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</row>
    <row r="454" spans="1:39" ht="14.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</row>
    <row r="455" spans="1:39" ht="14.4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</row>
    <row r="456" spans="1:39" ht="14.4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</row>
    <row r="457" spans="1:39" ht="14.4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</row>
    <row r="458" spans="1:39" ht="14.4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</row>
    <row r="459" spans="1:39" ht="14.4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</row>
    <row r="460" spans="1:39" ht="14.4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</row>
    <row r="461" spans="1:39" ht="14.4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</row>
    <row r="462" spans="1:39" ht="14.4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</row>
    <row r="463" spans="1:39" ht="14.4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</row>
    <row r="464" spans="1:39" ht="14.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</row>
    <row r="465" spans="1:39" ht="14.4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</row>
    <row r="466" spans="1:39" ht="14.4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</row>
    <row r="467" spans="1:39" ht="14.4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</row>
    <row r="468" spans="1:39" ht="14.4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</row>
    <row r="469" spans="1:39" ht="14.4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</row>
    <row r="470" spans="1:39" ht="14.4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</row>
    <row r="471" spans="1:39" ht="14.4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</row>
    <row r="472" spans="1:39" ht="14.4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</row>
    <row r="473" spans="1:39" ht="14.4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</row>
    <row r="474" spans="1:39" ht="14.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</row>
    <row r="475" spans="1:39" ht="14.4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</row>
    <row r="476" spans="1:39" ht="14.4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</row>
    <row r="477" spans="1:39" ht="14.4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</row>
    <row r="478" spans="1:39" ht="14.4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</row>
    <row r="479" spans="1:39" ht="14.4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</row>
    <row r="480" spans="1:39" ht="14.4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</row>
    <row r="481" spans="1:39" ht="14.4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</row>
    <row r="482" spans="1:39" ht="14.4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</row>
    <row r="483" spans="1:39" ht="14.4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</row>
    <row r="484" spans="1:39" ht="14.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</row>
    <row r="485" spans="1:39" ht="14.4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</row>
    <row r="486" spans="1:39" ht="14.4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</row>
    <row r="487" spans="1:39" ht="14.4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</row>
    <row r="488" spans="1:39" ht="14.4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</row>
    <row r="489" spans="1:39" ht="14.4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</row>
    <row r="490" spans="1:39" ht="14.4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</row>
    <row r="491" spans="1:39" ht="14.4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</row>
    <row r="492" spans="1:39" ht="14.4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</row>
    <row r="493" spans="1:39" ht="14.4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</row>
    <row r="494" spans="1:39" ht="14.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</row>
    <row r="495" spans="1:39" ht="14.4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</row>
    <row r="496" spans="1:39" ht="14.4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</row>
    <row r="497" spans="1:39" ht="14.4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</row>
    <row r="498" spans="1:39" ht="14.4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</row>
    <row r="499" spans="1:39" ht="14.4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</row>
    <row r="500" spans="1:39" ht="14.4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</row>
    <row r="501" spans="1:39" ht="14.4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</row>
    <row r="502" spans="1:39" ht="14.4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</row>
    <row r="503" spans="1:39" ht="14.4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</row>
    <row r="504" spans="1:39" ht="14.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</row>
    <row r="505" spans="1:39" ht="14.4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</row>
    <row r="506" spans="1:39" ht="14.4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</row>
    <row r="507" spans="1:39" ht="14.4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</row>
    <row r="508" spans="1:39" ht="14.4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</row>
    <row r="509" spans="1:39" ht="14.4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</row>
    <row r="510" spans="1:39" ht="14.4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</row>
    <row r="511" spans="1:39" ht="14.4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</row>
    <row r="512" spans="1:39" ht="14.4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</row>
    <row r="513" spans="1:39" ht="14.4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</row>
    <row r="514" spans="1:39" ht="14.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</row>
    <row r="515" spans="1:39" ht="14.4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</row>
    <row r="516" spans="1:39" ht="14.4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</row>
    <row r="517" spans="1:39" ht="14.4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</row>
    <row r="518" spans="1:39" ht="14.4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</row>
    <row r="519" spans="1:39" ht="14.4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</row>
    <row r="520" spans="1:39" ht="14.4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</row>
    <row r="521" spans="1:39" ht="14.4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</row>
    <row r="522" spans="1:39" ht="14.4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</row>
    <row r="523" spans="1:39" ht="14.4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</row>
    <row r="524" spans="1:39" ht="14.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</row>
    <row r="525" spans="1:39" ht="14.4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</row>
    <row r="526" spans="1:39" ht="14.4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</row>
    <row r="527" spans="1:39" ht="14.4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</row>
    <row r="528" spans="1:39" ht="14.4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</row>
    <row r="529" spans="1:39" ht="14.4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</row>
    <row r="530" spans="1:39" ht="14.4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</row>
    <row r="531" spans="1:39" ht="14.4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</row>
    <row r="532" spans="1:39" ht="14.4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</row>
    <row r="533" spans="1:39" ht="14.4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</row>
    <row r="534" spans="1:39" ht="14.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</row>
    <row r="535" spans="1:39" ht="14.4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</row>
    <row r="536" spans="1:39" ht="14.4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</row>
    <row r="537" spans="1:39" ht="14.4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</row>
    <row r="538" spans="1:39" ht="14.4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</row>
    <row r="539" spans="1:39" ht="14.4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</row>
    <row r="540" spans="1:39" ht="14.4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</row>
    <row r="541" spans="1:39" ht="14.4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</row>
    <row r="542" spans="1:39" ht="14.4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</row>
    <row r="543" spans="1:39" ht="14.4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</row>
    <row r="544" spans="1:39" ht="14.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</row>
    <row r="545" spans="1:39" ht="14.4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</row>
    <row r="546" spans="1:39" ht="14.4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</row>
    <row r="547" spans="1:39" ht="14.4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</row>
    <row r="548" spans="1:39" ht="14.4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</row>
    <row r="549" spans="1:39" ht="14.4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</row>
    <row r="550" spans="1:39" ht="14.4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</row>
    <row r="551" spans="1:39" ht="14.4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</row>
    <row r="552" spans="1:39" ht="14.4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</row>
    <row r="553" spans="1:39" ht="14.4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</row>
    <row r="554" spans="1:39" ht="14.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</row>
    <row r="555" spans="1:39" ht="14.4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</row>
    <row r="556" spans="1:39" ht="14.4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</row>
    <row r="557" spans="1:39" ht="14.4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</row>
    <row r="558" spans="1:39" ht="14.4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</row>
    <row r="559" spans="1:39" ht="14.4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</row>
    <row r="560" spans="1:39" ht="14.4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</row>
    <row r="561" spans="1:39" ht="14.4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</row>
    <row r="562" spans="1:39" ht="14.4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</row>
    <row r="563" spans="1:39" ht="14.4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</row>
    <row r="564" spans="1:39" ht="14.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</row>
    <row r="565" spans="1:39" ht="14.4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</row>
    <row r="566" spans="1:39" ht="14.4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</row>
    <row r="567" spans="1:39" ht="14.4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</row>
    <row r="568" spans="1:39" ht="14.4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</row>
    <row r="569" spans="1:39" ht="14.4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</row>
    <row r="570" spans="1:39" ht="14.4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</row>
    <row r="571" spans="1:39" ht="14.4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</row>
    <row r="572" spans="1:39" ht="14.4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</row>
    <row r="573" spans="1:39" ht="14.4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</row>
    <row r="574" spans="1:39" ht="14.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</row>
    <row r="575" spans="1:39" ht="14.4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</row>
    <row r="576" spans="1:39" ht="14.4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</row>
    <row r="577" spans="1:39" ht="14.4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</row>
    <row r="578" spans="1:39" ht="14.4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</row>
    <row r="579" spans="1:39" ht="14.4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</row>
    <row r="580" spans="1:39" ht="14.4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</row>
    <row r="581" spans="1:39" ht="14.4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</row>
    <row r="582" spans="1:39" ht="14.4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</row>
    <row r="583" spans="1:39" ht="14.4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</row>
    <row r="584" spans="1:39" ht="14.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</row>
    <row r="585" spans="1:39" ht="14.4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</row>
    <row r="586" spans="1:39" ht="14.4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</row>
    <row r="587" spans="1:39" ht="14.4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</row>
    <row r="588" spans="1:39" ht="14.4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</row>
    <row r="589" spans="1:39" ht="14.4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</row>
    <row r="590" spans="1:39" ht="14.4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</row>
    <row r="591" spans="1:39" ht="14.4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</row>
    <row r="592" spans="1:39" ht="14.4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</row>
    <row r="593" spans="1:39" ht="14.4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</row>
    <row r="594" spans="1:39" ht="14.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</row>
    <row r="595" spans="1:39" ht="14.4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</row>
    <row r="596" spans="1:39" ht="14.4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</row>
    <row r="597" spans="1:39" ht="14.4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</row>
    <row r="598" spans="1:39" ht="14.4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</row>
    <row r="599" spans="1:39" ht="14.4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</row>
    <row r="600" spans="1:39" ht="14.4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</row>
    <row r="601" spans="1:39" ht="14.4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</row>
    <row r="602" spans="1:39" ht="14.4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</row>
    <row r="603" spans="1:39" ht="14.4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</row>
    <row r="604" spans="1:39" ht="14.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</row>
    <row r="605" spans="1:39" ht="14.4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</row>
    <row r="606" spans="1:39" ht="14.4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</row>
    <row r="607" spans="1:39" ht="14.4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</row>
    <row r="608" spans="1:39" ht="14.4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</row>
    <row r="609" spans="1:39" ht="14.4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</row>
    <row r="610" spans="1:39" ht="14.4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</row>
    <row r="611" spans="1:39" ht="14.4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</row>
    <row r="612" spans="1:39" ht="14.4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</row>
    <row r="613" spans="1:39" ht="14.4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</row>
    <row r="614" spans="1:39" ht="14.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</row>
    <row r="615" spans="1:39" ht="14.4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</row>
    <row r="616" spans="1:39" ht="14.4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</row>
    <row r="617" spans="1:39" ht="14.4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</row>
    <row r="618" spans="1:39" ht="14.4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</row>
    <row r="619" spans="1:39" ht="14.4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</row>
    <row r="620" spans="1:39" ht="14.4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</row>
    <row r="621" spans="1:39" ht="14.4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</row>
    <row r="622" spans="1:39" ht="14.4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</row>
    <row r="623" spans="1:39" ht="14.4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</row>
    <row r="624" spans="1:39" ht="14.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</row>
    <row r="625" spans="1:39" ht="14.4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</row>
    <row r="626" spans="1:39" ht="14.4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</row>
    <row r="627" spans="1:39" ht="14.4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</row>
    <row r="628" spans="1:39" ht="14.4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</row>
    <row r="629" spans="1:39" ht="14.4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</row>
    <row r="630" spans="1:39" ht="14.4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</row>
    <row r="631" spans="1:39" ht="14.4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</row>
    <row r="632" spans="1:39" ht="14.4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</row>
    <row r="633" spans="1:39" ht="14.4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</row>
    <row r="634" spans="1:39" ht="14.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</row>
    <row r="635" spans="1:39" ht="14.4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</row>
    <row r="636" spans="1:39" ht="14.4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</row>
    <row r="637" spans="1:39" ht="14.4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</row>
    <row r="638" spans="1:39" ht="14.4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</row>
    <row r="639" spans="1:39" ht="14.4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</row>
    <row r="640" spans="1:39" ht="14.4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</row>
    <row r="641" spans="1:39" ht="14.4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</row>
    <row r="642" spans="1:39" ht="14.4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</row>
    <row r="643" spans="1:39" ht="14.4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</row>
    <row r="644" spans="1:39" ht="14.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</row>
    <row r="645" spans="1:39" ht="14.4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</row>
    <row r="646" spans="1:39" ht="14.4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</row>
    <row r="647" spans="1:39" ht="14.4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</row>
    <row r="648" spans="1:39" ht="14.4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</row>
    <row r="649" spans="1:39" ht="14.4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</row>
    <row r="650" spans="1:39" ht="14.4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</row>
    <row r="651" spans="1:39" ht="14.4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</row>
    <row r="652" spans="1:39" ht="14.4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</row>
    <row r="653" spans="1:39" ht="14.4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</row>
    <row r="654" spans="1:39" ht="14.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</row>
    <row r="655" spans="1:39" ht="14.4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</row>
    <row r="656" spans="1:39" ht="14.4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</row>
    <row r="657" spans="1:39" ht="14.4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</row>
    <row r="658" spans="1:39" ht="14.4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</row>
    <row r="659" spans="1:39" ht="14.4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</row>
    <row r="660" spans="1:39" ht="14.4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</row>
    <row r="661" spans="1:39" ht="14.4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</row>
    <row r="662" spans="1:39" ht="14.4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</row>
    <row r="663" spans="1:39" ht="14.4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</row>
    <row r="664" spans="1:39" ht="14.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</row>
    <row r="665" spans="1:39" ht="14.4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</row>
    <row r="666" spans="1:39" ht="14.4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</row>
    <row r="667" spans="1:39" ht="14.4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</row>
    <row r="668" spans="1:39" ht="14.4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</row>
    <row r="669" spans="1:39" ht="14.4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</row>
    <row r="670" spans="1:39" ht="14.4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</row>
    <row r="671" spans="1:39" ht="14.4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</row>
    <row r="672" spans="1:39" ht="14.4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</row>
    <row r="673" spans="1:39" ht="14.4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</row>
    <row r="674" spans="1:39" ht="14.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</row>
    <row r="675" spans="1:39" ht="14.4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</row>
    <row r="676" spans="1:39" ht="14.4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</row>
    <row r="677" spans="1:39" ht="14.4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</row>
    <row r="678" spans="1:39" ht="14.4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</row>
    <row r="679" spans="1:39" ht="14.4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</row>
    <row r="680" spans="1:39" ht="14.4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</row>
    <row r="681" spans="1:39" ht="14.4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</row>
    <row r="682" spans="1:39" ht="14.4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</row>
    <row r="683" spans="1:39" ht="14.4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</row>
    <row r="684" spans="1:39" ht="14.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</row>
    <row r="685" spans="1:39" ht="14.4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</row>
    <row r="686" spans="1:39" ht="14.4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</row>
    <row r="687" spans="1:39" ht="14.4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</row>
    <row r="688" spans="1:39" ht="14.4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</row>
    <row r="689" spans="1:39" ht="14.4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</row>
    <row r="690" spans="1:39" ht="14.4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</row>
    <row r="691" spans="1:39" ht="14.4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</row>
    <row r="692" spans="1:39" ht="14.4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</row>
    <row r="693" spans="1:39" ht="14.4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</row>
    <row r="694" spans="1:39" ht="14.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</row>
    <row r="695" spans="1:39" ht="14.4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</row>
    <row r="696" spans="1:39" ht="14.4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</row>
    <row r="697" spans="1:39" ht="14.4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</row>
    <row r="698" spans="1:39" ht="14.4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</row>
    <row r="699" spans="1:39" ht="14.4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</row>
    <row r="700" spans="1:39" ht="14.4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</row>
    <row r="701" spans="1:39" ht="14.4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</row>
    <row r="702" spans="1:39" ht="14.4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</row>
    <row r="703" spans="1:39" ht="14.4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</row>
    <row r="704" spans="1:39" ht="14.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</row>
    <row r="705" spans="1:39" ht="14.4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</row>
    <row r="706" spans="1:39" ht="14.4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</row>
    <row r="707" spans="1:39" ht="14.4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</row>
    <row r="708" spans="1:39" ht="14.4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</row>
    <row r="709" spans="1:39" ht="14.4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</row>
    <row r="710" spans="1:39" ht="14.4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</row>
    <row r="711" spans="1:39" ht="14.4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</row>
    <row r="712" spans="1:39" ht="14.4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</row>
    <row r="713" spans="1:39" ht="14.4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</row>
    <row r="714" spans="1:39" ht="14.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</row>
    <row r="715" spans="1:39" ht="14.4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</row>
    <row r="716" spans="1:39" ht="14.4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</row>
    <row r="717" spans="1:39" ht="14.4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</row>
    <row r="718" spans="1:39" ht="14.4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</row>
    <row r="719" spans="1:39" ht="14.4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</row>
    <row r="720" spans="1:39" ht="14.4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</row>
    <row r="721" spans="1:39" ht="14.4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</row>
    <row r="722" spans="1:39" ht="14.4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</row>
    <row r="723" spans="1:39" ht="14.4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</row>
    <row r="724" spans="1:39" ht="14.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</row>
    <row r="725" spans="1:39" ht="14.4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</row>
    <row r="726" spans="1:39" ht="14.4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</row>
    <row r="727" spans="1:39" ht="14.4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</row>
    <row r="728" spans="1:39" ht="14.4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</row>
    <row r="729" spans="1:39" ht="14.4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</row>
    <row r="730" spans="1:39" ht="14.4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</row>
    <row r="731" spans="1:39" ht="14.4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</row>
    <row r="732" spans="1:39" ht="14.4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</row>
    <row r="733" spans="1:39" ht="14.4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</row>
    <row r="734" spans="1:39" ht="14.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</row>
    <row r="735" spans="1:39" ht="14.4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</row>
    <row r="736" spans="1:39" ht="14.4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</row>
    <row r="737" spans="1:39" ht="14.4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</row>
    <row r="738" spans="1:39" ht="14.4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</row>
    <row r="739" spans="1:39" ht="14.4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</row>
    <row r="740" spans="1:39" ht="14.4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</row>
    <row r="741" spans="1:39" ht="14.4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</row>
    <row r="742" spans="1:39" ht="14.4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</row>
    <row r="743" spans="1:39" ht="14.4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</row>
    <row r="744" spans="1:39" ht="14.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</row>
    <row r="745" spans="1:39" ht="14.4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</row>
    <row r="746" spans="1:39" ht="14.4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</row>
    <row r="747" spans="1:39" ht="14.4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</row>
    <row r="748" spans="1:39" ht="14.4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</row>
    <row r="749" spans="1:39" ht="14.4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</row>
    <row r="750" spans="1:39" ht="14.4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</row>
    <row r="751" spans="1:39" ht="14.4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</row>
    <row r="752" spans="1:39" ht="14.4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</row>
    <row r="753" spans="1:39" ht="14.4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</row>
    <row r="754" spans="1:39" ht="14.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</row>
    <row r="755" spans="1:39" ht="14.4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</row>
    <row r="756" spans="1:39" ht="14.4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</row>
    <row r="757" spans="1:39" ht="14.4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</row>
    <row r="758" spans="1:39" ht="14.4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</row>
    <row r="759" spans="1:39" ht="14.4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</row>
    <row r="760" spans="1:39" ht="14.4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</row>
    <row r="761" spans="1:39" ht="14.4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</row>
    <row r="762" spans="1:39" ht="14.4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</row>
    <row r="763" spans="1:39" ht="14.4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</row>
    <row r="764" spans="1:39" ht="14.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</row>
    <row r="765" spans="1:39" ht="14.4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</row>
    <row r="766" spans="1:39" ht="14.4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</row>
    <row r="767" spans="1:39" ht="14.4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</row>
    <row r="768" spans="1:39" ht="14.4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</row>
    <row r="769" spans="1:39" ht="14.4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</row>
    <row r="770" spans="1:39" ht="14.4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</row>
    <row r="771" spans="1:39" ht="14.4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</row>
    <row r="772" spans="1:39" ht="14.4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</row>
    <row r="773" spans="1:39" ht="14.4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</row>
    <row r="774" spans="1:39" ht="14.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</row>
    <row r="775" spans="1:39" ht="14.4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</row>
    <row r="776" spans="1:39" ht="14.4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</row>
    <row r="777" spans="1:39" ht="14.4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</row>
    <row r="778" spans="1:39" ht="14.4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</row>
    <row r="779" spans="1:39" ht="14.4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</row>
    <row r="780" spans="1:39" ht="14.4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</row>
    <row r="781" spans="1:39" ht="14.4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</row>
    <row r="782" spans="1:39" ht="14.4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</row>
    <row r="783" spans="1:39" ht="14.4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</row>
    <row r="784" spans="1:39" ht="14.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</row>
    <row r="785" spans="1:39" ht="14.4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</row>
    <row r="786" spans="1:39" ht="14.4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</row>
    <row r="787" spans="1:39" ht="14.4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</row>
    <row r="788" spans="1:39" ht="14.4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</row>
    <row r="789" spans="1:39" ht="14.4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</row>
    <row r="790" spans="1:39" ht="14.4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</row>
    <row r="791" spans="1:39" ht="14.4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</row>
    <row r="792" spans="1:39" ht="14.4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</row>
    <row r="793" spans="1:39" ht="14.4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</row>
    <row r="794" spans="1:39" ht="14.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</row>
    <row r="795" spans="1:39" ht="14.4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</row>
    <row r="796" spans="1:39" ht="14.4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</row>
    <row r="797" spans="1:39" ht="14.4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</row>
    <row r="798" spans="1:39" ht="14.4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</row>
    <row r="799" spans="1:39" ht="14.4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</row>
    <row r="800" spans="1:39" ht="14.4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</row>
    <row r="801" spans="1:39" ht="14.4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</row>
    <row r="802" spans="1:39" ht="14.4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</row>
    <row r="803" spans="1:39" ht="14.4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</row>
    <row r="804" spans="1:39" ht="14.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</row>
    <row r="805" spans="1:39" ht="14.4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</row>
    <row r="806" spans="1:39" ht="14.4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</row>
    <row r="807" spans="1:39" ht="14.4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</row>
    <row r="808" spans="1:39" ht="14.4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</row>
    <row r="809" spans="1:39" ht="14.4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</row>
    <row r="810" spans="1:39" ht="14.4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</row>
    <row r="811" spans="1:39" ht="14.4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</row>
    <row r="812" spans="1:39" ht="14.4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</row>
    <row r="813" spans="1:39" ht="14.4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</row>
    <row r="814" spans="1:39" ht="14.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</row>
    <row r="815" spans="1:39" ht="14.4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</row>
    <row r="816" spans="1:39" ht="14.4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</row>
    <row r="817" spans="1:39" ht="14.4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</row>
    <row r="818" spans="1:39" ht="14.4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</row>
    <row r="819" spans="1:39" ht="14.4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</row>
    <row r="820" spans="1:39" ht="14.4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</row>
    <row r="821" spans="1:39" ht="14.4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</row>
    <row r="822" spans="1:39" ht="14.4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</row>
    <row r="823" spans="1:39" ht="14.4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</row>
    <row r="824" spans="1:39" ht="14.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</row>
    <row r="825" spans="1:39" ht="14.4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</row>
    <row r="826" spans="1:39" ht="14.4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</row>
    <row r="827" spans="1:39" ht="14.4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</row>
    <row r="828" spans="1:39" ht="14.4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</row>
    <row r="829" spans="1:39" ht="14.4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</row>
    <row r="830" spans="1:39" ht="14.4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</row>
    <row r="831" spans="1:39" ht="14.4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</row>
    <row r="832" spans="1:39" ht="14.4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</row>
    <row r="833" spans="1:39" ht="14.4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</row>
    <row r="834" spans="1:39" ht="14.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</row>
    <row r="835" spans="1:39" ht="14.4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</row>
    <row r="836" spans="1:39" ht="14.4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</row>
    <row r="837" spans="1:39" ht="14.4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</row>
    <row r="838" spans="1:39" ht="14.4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</row>
    <row r="839" spans="1:39" ht="14.4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</row>
    <row r="840" spans="1:39" ht="14.4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</row>
    <row r="841" spans="1:39" ht="14.4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</row>
    <row r="842" spans="1:39" ht="14.4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</row>
    <row r="843" spans="1:39" ht="14.4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</row>
    <row r="844" spans="1:39" ht="14.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</row>
    <row r="845" spans="1:39" ht="14.4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</row>
    <row r="846" spans="1:39" ht="14.4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</row>
    <row r="847" spans="1:39" ht="14.4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</row>
    <row r="848" spans="1:39" ht="14.4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</row>
    <row r="849" spans="1:39" ht="14.4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</row>
    <row r="850" spans="1:39" ht="14.4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</row>
    <row r="851" spans="1:39" ht="14.4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</row>
    <row r="852" spans="1:39" ht="14.4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</row>
    <row r="853" spans="1:39" ht="14.4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</row>
    <row r="854" spans="1:39" ht="14.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</row>
    <row r="855" spans="1:39" ht="14.4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</row>
    <row r="856" spans="1:39" ht="14.4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</row>
    <row r="857" spans="1:39" ht="14.4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</row>
    <row r="858" spans="1:39" ht="14.4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</row>
    <row r="859" spans="1:39" ht="14.4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</row>
    <row r="860" spans="1:39" ht="14.4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</row>
    <row r="861" spans="1:39" ht="14.4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</row>
    <row r="862" spans="1:39" ht="14.4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</row>
    <row r="863" spans="1:39" ht="14.4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</row>
    <row r="864" spans="1:39" ht="14.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</row>
    <row r="865" spans="1:39" ht="14.4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</row>
    <row r="866" spans="1:39" ht="14.4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</row>
    <row r="867" spans="1:39" ht="14.4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</row>
    <row r="868" spans="1:39" ht="14.4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</row>
    <row r="869" spans="1:39" ht="14.4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</row>
    <row r="870" spans="1:39" ht="14.4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</row>
    <row r="871" spans="1:39" ht="14.4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</row>
    <row r="872" spans="1:39" ht="14.4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</row>
    <row r="873" spans="1:39" ht="14.4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</row>
    <row r="874" spans="1:39" ht="14.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</row>
    <row r="875" spans="1:39" ht="14.4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</row>
    <row r="876" spans="1:39" ht="14.4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</row>
    <row r="877" spans="1:39" ht="14.4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</row>
    <row r="878" spans="1:39" ht="14.4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</row>
    <row r="879" spans="1:39" ht="14.4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</row>
    <row r="880" spans="1:39" ht="14.4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</row>
    <row r="881" spans="1:39" ht="14.4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</row>
    <row r="882" spans="1:39" ht="14.4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</row>
    <row r="883" spans="1:39" ht="14.4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</row>
    <row r="884" spans="1:39" ht="14.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</row>
    <row r="885" spans="1:39" ht="14.4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</row>
    <row r="886" spans="1:39" ht="14.4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</row>
    <row r="887" spans="1:39" ht="14.4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</row>
    <row r="888" spans="1:39" ht="14.4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</row>
    <row r="889" spans="1:39" ht="14.4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</row>
    <row r="890" spans="1:39" ht="14.4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</row>
    <row r="891" spans="1:39" ht="14.4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</row>
    <row r="892" spans="1:39" ht="14.4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</row>
    <row r="893" spans="1:39" ht="14.4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</row>
    <row r="894" spans="1:39" ht="14.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</row>
    <row r="895" spans="1:39" ht="14.4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</row>
    <row r="896" spans="1:39" ht="14.4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</row>
    <row r="897" spans="1:39" ht="14.4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</row>
    <row r="898" spans="1:39" ht="14.4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</row>
    <row r="899" spans="1:39" ht="14.4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</row>
    <row r="900" spans="1:39" ht="14.4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</row>
    <row r="901" spans="1:39" ht="14.4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</row>
    <row r="902" spans="1:39" ht="14.4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</row>
    <row r="903" spans="1:39" ht="14.4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</row>
    <row r="904" spans="1:39" ht="14.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</row>
    <row r="905" spans="1:39" ht="14.4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</row>
    <row r="906" spans="1:39" ht="14.4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</row>
    <row r="907" spans="1:39" ht="14.4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</row>
    <row r="908" spans="1:39" ht="14.4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</row>
    <row r="909" spans="1:39" ht="14.4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</row>
    <row r="910" spans="1:39" ht="14.4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</row>
    <row r="911" spans="1:39" ht="14.4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</row>
    <row r="912" spans="1:39" ht="14.4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</row>
    <row r="913" spans="1:39" ht="14.4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</row>
    <row r="914" spans="1:39" ht="14.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</row>
    <row r="915" spans="1:39" ht="14.4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</row>
    <row r="916" spans="1:39" ht="14.4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</row>
    <row r="917" spans="1:39" ht="14.4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</row>
    <row r="918" spans="1:39" ht="14.4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</row>
    <row r="919" spans="1:39" ht="14.4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</row>
    <row r="920" spans="1:39" ht="14.4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</row>
    <row r="921" spans="1:39" ht="14.4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</row>
    <row r="922" spans="1:39" ht="14.4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</row>
    <row r="923" spans="1:39" ht="14.4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</row>
    <row r="924" spans="1:39" ht="14.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</row>
    <row r="925" spans="1:39" ht="14.4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</row>
    <row r="926" spans="1:39" ht="14.4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</row>
    <row r="927" spans="1:39" ht="14.4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</row>
    <row r="928" spans="1:39" ht="14.4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</row>
    <row r="929" spans="1:39" ht="14.4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</row>
    <row r="930" spans="1:39" ht="14.4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</row>
    <row r="931" spans="1:39" ht="14.4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</row>
    <row r="932" spans="1:39" ht="14.4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</row>
    <row r="933" spans="1:39" ht="14.4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</row>
    <row r="934" spans="1:39" ht="14.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</row>
    <row r="935" spans="1:39" ht="14.4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</row>
    <row r="936" spans="1:39" ht="14.4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</row>
    <row r="937" spans="1:39" ht="14.4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</row>
    <row r="938" spans="1:39" ht="14.4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</row>
    <row r="939" spans="1:39" ht="14.4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</row>
    <row r="940" spans="1:39" ht="14.4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</row>
    <row r="941" spans="1:39" ht="14.4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</row>
    <row r="942" spans="1:39" ht="14.4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</row>
    <row r="943" spans="1:39" ht="14.4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</row>
    <row r="944" spans="1:39" ht="14.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</row>
    <row r="945" spans="1:39" ht="14.4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</row>
    <row r="946" spans="1:39" ht="14.4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</row>
    <row r="947" spans="1:39" ht="14.4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</row>
    <row r="948" spans="1:39" ht="14.4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</row>
    <row r="949" spans="1:39" ht="14.4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</row>
    <row r="950" spans="1:39" ht="14.4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</row>
    <row r="951" spans="1:39" ht="14.4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</row>
    <row r="952" spans="1:39" ht="14.4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</row>
    <row r="953" spans="1:39" ht="14.4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</row>
    <row r="954" spans="1:39" ht="14.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</row>
    <row r="955" spans="1:39" ht="14.4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</row>
    <row r="956" spans="1:39" ht="14.4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</row>
    <row r="957" spans="1:39" ht="14.4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</row>
    <row r="958" spans="1:39" ht="14.4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</row>
    <row r="959" spans="1:39" ht="14.4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</row>
    <row r="960" spans="1:39" ht="14.4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</row>
    <row r="961" spans="1:39" ht="14.4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</row>
    <row r="962" spans="1:39" ht="14.4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</row>
    <row r="963" spans="1:39" ht="14.4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</row>
    <row r="964" spans="1:39" ht="14.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</row>
    <row r="965" spans="1:39" ht="14.4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</row>
    <row r="966" spans="1:39" ht="14.4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</row>
    <row r="967" spans="1:39" ht="14.4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</row>
    <row r="968" spans="1:39" ht="14.4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</row>
    <row r="969" spans="1:39" ht="14.4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</row>
    <row r="970" spans="1:39" ht="14.4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</row>
    <row r="971" spans="1:39" ht="14.4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</row>
    <row r="972" spans="1:39" ht="14.4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</row>
    <row r="973" spans="1:39" ht="14.4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</row>
    <row r="974" spans="1:39" ht="14.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</row>
    <row r="975" spans="1:39" ht="14.4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</row>
    <row r="976" spans="1:39" ht="14.4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</row>
    <row r="977" spans="1:39" ht="14.4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</row>
    <row r="978" spans="1:39" ht="14.4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</row>
    <row r="979" spans="1:39" ht="14.4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</row>
    <row r="980" spans="1:39" ht="14.4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</row>
    <row r="981" spans="1:39" ht="14.4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</row>
    <row r="982" spans="1:39" ht="14.4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</row>
    <row r="983" spans="1:39" ht="14.4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</row>
    <row r="984" spans="1:39" ht="14.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</row>
    <row r="985" spans="1:39" ht="14.4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</row>
    <row r="986" spans="1:39" ht="14.4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</row>
    <row r="987" spans="1:39" ht="14.4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</row>
    <row r="988" spans="1:39" ht="14.4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</row>
    <row r="989" spans="1:39" ht="14.4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</row>
    <row r="990" spans="1:39" ht="14.4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</row>
    <row r="991" spans="1:39" ht="14.4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</row>
    <row r="992" spans="1:39" ht="14.4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</row>
    <row r="993" spans="1:39" ht="14.4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</row>
    <row r="994" spans="1:39" ht="14.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</row>
    <row r="995" spans="1:39" ht="14.4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</row>
    <row r="996" spans="1:39" ht="14.4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</row>
    <row r="997" spans="1:39" ht="14.4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</row>
    <row r="998" spans="1:39" ht="14.4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</row>
    <row r="999" spans="1:39" ht="14.4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</row>
    <row r="1000" spans="1:39" ht="14.4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</row>
  </sheetData>
  <mergeCells count="4">
    <mergeCell ref="A1:Q1"/>
    <mergeCell ref="P5:R5"/>
    <mergeCell ref="A10:Q10"/>
    <mergeCell ref="A24:Q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M1000"/>
  <sheetViews>
    <sheetView showGridLines="0" workbookViewId="0">
      <selection sqref="A1:Q1"/>
    </sheetView>
  </sheetViews>
  <sheetFormatPr defaultColWidth="14.44140625" defaultRowHeight="15" customHeight="1"/>
  <cols>
    <col min="1" max="1" width="6.33203125" customWidth="1"/>
    <col min="2" max="2" width="5.88671875" customWidth="1"/>
  </cols>
  <sheetData>
    <row r="1" spans="1:39" ht="20.399999999999999">
      <c r="A1" s="132" t="s">
        <v>91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4"/>
      <c r="R1" s="3"/>
      <c r="S1" s="3"/>
      <c r="T1" s="3"/>
      <c r="U1" s="3"/>
      <c r="V1" s="3"/>
      <c r="W1" s="3"/>
      <c r="X1" s="3"/>
      <c r="Y1" s="3"/>
      <c r="Z1" s="3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</row>
    <row r="2" spans="1:39">
      <c r="A2" s="5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</row>
    <row r="3" spans="1:39">
      <c r="A3" s="5" t="s">
        <v>53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</row>
    <row r="4" spans="1:39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</row>
    <row r="5" spans="1:39">
      <c r="A5" s="7" t="s">
        <v>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4"/>
      <c r="O5" s="4"/>
      <c r="P5" s="6"/>
      <c r="Q5" s="6"/>
      <c r="R5" s="6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</row>
    <row r="6" spans="1:39">
      <c r="A6" s="4"/>
      <c r="B6" s="5" t="s">
        <v>5</v>
      </c>
      <c r="C6" s="5" t="s">
        <v>6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8"/>
      <c r="P6" s="139" t="s">
        <v>4</v>
      </c>
      <c r="Q6" s="140"/>
      <c r="R6" s="141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</row>
    <row r="7" spans="1:39">
      <c r="A7" s="4"/>
      <c r="B7" s="5" t="s">
        <v>5</v>
      </c>
      <c r="C7" s="5" t="s">
        <v>8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8"/>
      <c r="P7" s="10"/>
      <c r="Q7" s="5" t="s">
        <v>9</v>
      </c>
      <c r="R7" s="8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</row>
    <row r="8" spans="1:3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8"/>
      <c r="P8" s="11"/>
      <c r="Q8" s="12" t="s">
        <v>10</v>
      </c>
      <c r="R8" s="13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</row>
    <row r="9" spans="1:3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</row>
    <row r="10" spans="1:39">
      <c r="A10" s="138" t="s">
        <v>11</v>
      </c>
      <c r="B10" s="133"/>
      <c r="C10" s="133"/>
      <c r="D10" s="133"/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4"/>
      <c r="R10" s="3"/>
      <c r="S10" s="3"/>
      <c r="T10" s="3"/>
      <c r="U10" s="3"/>
      <c r="V10" s="3"/>
      <c r="W10" s="3"/>
      <c r="X10" s="3"/>
      <c r="Y10" s="3"/>
      <c r="Z10" s="3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</row>
    <row r="11" spans="1:39">
      <c r="A11" s="4"/>
      <c r="B11" s="4"/>
      <c r="C11" s="4"/>
      <c r="D11" s="14" t="s">
        <v>12</v>
      </c>
      <c r="E11" s="14" t="s">
        <v>13</v>
      </c>
      <c r="F11" s="14" t="s">
        <v>14</v>
      </c>
      <c r="G11" s="32" t="s">
        <v>52</v>
      </c>
      <c r="H11" s="15" t="s">
        <v>15</v>
      </c>
      <c r="I11" s="15" t="s">
        <v>16</v>
      </c>
      <c r="J11" s="15" t="s">
        <v>17</v>
      </c>
      <c r="K11" s="15" t="s">
        <v>18</v>
      </c>
      <c r="L11" s="15" t="s">
        <v>19</v>
      </c>
      <c r="M11" s="15" t="s">
        <v>20</v>
      </c>
      <c r="N11" s="15" t="s">
        <v>21</v>
      </c>
      <c r="O11" s="15" t="s">
        <v>22</v>
      </c>
      <c r="P11" s="15" t="s">
        <v>23</v>
      </c>
      <c r="Q11" s="15" t="s">
        <v>24</v>
      </c>
      <c r="R11" s="15" t="s">
        <v>25</v>
      </c>
      <c r="S11" s="15" t="s">
        <v>26</v>
      </c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</row>
    <row r="12" spans="1:39">
      <c r="A12" s="4"/>
      <c r="B12" s="4"/>
      <c r="C12" s="4"/>
      <c r="D12" s="20"/>
      <c r="E12" s="20"/>
      <c r="F12" s="20"/>
      <c r="G12" s="20"/>
      <c r="H12" s="34">
        <v>0.1</v>
      </c>
      <c r="I12" s="34">
        <v>0.15</v>
      </c>
      <c r="J12" s="34">
        <v>0.2</v>
      </c>
      <c r="K12" s="34">
        <v>0.25</v>
      </c>
      <c r="L12" s="34">
        <v>0.4</v>
      </c>
      <c r="M12" s="34">
        <v>0.5</v>
      </c>
      <c r="N12" s="34">
        <v>0.6</v>
      </c>
      <c r="O12" s="34">
        <v>0.7</v>
      </c>
      <c r="P12" s="34">
        <v>0.8</v>
      </c>
      <c r="Q12" s="34">
        <v>0.9</v>
      </c>
      <c r="R12" s="34">
        <v>1</v>
      </c>
      <c r="S12" s="34">
        <v>1</v>
      </c>
      <c r="T12" s="5" t="s">
        <v>54</v>
      </c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</row>
    <row r="13" spans="1:39">
      <c r="A13" s="4"/>
      <c r="B13" s="4"/>
      <c r="C13" s="16" t="s">
        <v>27</v>
      </c>
      <c r="D13" s="17" t="s">
        <v>28</v>
      </c>
      <c r="E13" s="18">
        <v>9000</v>
      </c>
      <c r="F13" s="17" t="s">
        <v>29</v>
      </c>
      <c r="G13" s="17">
        <v>10</v>
      </c>
      <c r="H13" s="19">
        <v>0</v>
      </c>
      <c r="I13" s="19">
        <v>0</v>
      </c>
      <c r="J13" s="19">
        <v>2</v>
      </c>
      <c r="K13" s="19">
        <v>4</v>
      </c>
      <c r="L13" s="19">
        <v>5</v>
      </c>
      <c r="M13" s="19">
        <v>5</v>
      </c>
      <c r="N13" s="19">
        <v>4</v>
      </c>
      <c r="O13" s="19">
        <v>6</v>
      </c>
      <c r="P13" s="19">
        <v>6</v>
      </c>
      <c r="Q13" s="19">
        <v>7</v>
      </c>
      <c r="R13" s="20"/>
      <c r="S13" s="20"/>
      <c r="T13" s="5" t="s">
        <v>30</v>
      </c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</row>
    <row r="14" spans="1:39">
      <c r="A14" s="4"/>
      <c r="B14" s="4"/>
      <c r="C14" s="16" t="s">
        <v>31</v>
      </c>
      <c r="D14" s="17" t="s">
        <v>28</v>
      </c>
      <c r="E14" s="18">
        <v>10000</v>
      </c>
      <c r="F14" s="17" t="s">
        <v>32</v>
      </c>
      <c r="G14" s="17">
        <v>20</v>
      </c>
      <c r="H14" s="19">
        <v>2</v>
      </c>
      <c r="I14" s="19">
        <v>4</v>
      </c>
      <c r="J14" s="19">
        <v>5</v>
      </c>
      <c r="K14" s="19">
        <v>6</v>
      </c>
      <c r="L14" s="19">
        <v>7</v>
      </c>
      <c r="M14" s="19">
        <v>10</v>
      </c>
      <c r="N14" s="19">
        <v>15</v>
      </c>
      <c r="O14" s="19">
        <v>15</v>
      </c>
      <c r="P14" s="19">
        <v>20</v>
      </c>
      <c r="Q14" s="20"/>
      <c r="R14" s="20"/>
      <c r="S14" s="20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</row>
    <row r="15" spans="1:39">
      <c r="A15" s="4"/>
      <c r="B15" s="4"/>
      <c r="C15" s="16" t="s">
        <v>33</v>
      </c>
      <c r="D15" s="17" t="s">
        <v>34</v>
      </c>
      <c r="E15" s="18">
        <v>40000</v>
      </c>
      <c r="F15" s="17" t="s">
        <v>32</v>
      </c>
      <c r="G15" s="17">
        <v>20</v>
      </c>
      <c r="H15" s="19">
        <v>0</v>
      </c>
      <c r="I15" s="19">
        <v>3</v>
      </c>
      <c r="J15" s="19">
        <v>6</v>
      </c>
      <c r="K15" s="19">
        <v>3</v>
      </c>
      <c r="L15" s="19">
        <v>12</v>
      </c>
      <c r="M15" s="19">
        <v>14</v>
      </c>
      <c r="N15" s="19">
        <v>14</v>
      </c>
      <c r="O15" s="19">
        <v>15</v>
      </c>
      <c r="P15" s="20"/>
      <c r="Q15" s="20"/>
      <c r="R15" s="20"/>
      <c r="S15" s="20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</row>
    <row r="16" spans="1:39">
      <c r="A16" s="4"/>
      <c r="B16" s="4"/>
      <c r="C16" s="16" t="s">
        <v>35</v>
      </c>
      <c r="D16" s="17" t="s">
        <v>36</v>
      </c>
      <c r="E16" s="18">
        <v>50000</v>
      </c>
      <c r="F16" s="17" t="s">
        <v>32</v>
      </c>
      <c r="G16" s="17">
        <v>100</v>
      </c>
      <c r="H16" s="19">
        <v>6</v>
      </c>
      <c r="I16" s="19">
        <v>15</v>
      </c>
      <c r="J16" s="19">
        <v>19</v>
      </c>
      <c r="K16" s="19">
        <v>41</v>
      </c>
      <c r="L16" s="19">
        <v>43</v>
      </c>
      <c r="M16" s="19">
        <v>56</v>
      </c>
      <c r="N16" s="20"/>
      <c r="O16" s="20"/>
      <c r="P16" s="20"/>
      <c r="Q16" s="20"/>
      <c r="R16" s="20"/>
      <c r="S16" s="20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</row>
    <row r="17" spans="1:39">
      <c r="A17" s="4"/>
      <c r="B17" s="4"/>
      <c r="C17" s="16" t="s">
        <v>37</v>
      </c>
      <c r="D17" s="17" t="s">
        <v>36</v>
      </c>
      <c r="E17" s="18">
        <v>25000</v>
      </c>
      <c r="F17" s="17" t="s">
        <v>32</v>
      </c>
      <c r="G17" s="17">
        <v>40</v>
      </c>
      <c r="H17" s="19">
        <v>3</v>
      </c>
      <c r="I17" s="19">
        <v>3</v>
      </c>
      <c r="J17" s="19">
        <v>5</v>
      </c>
      <c r="K17" s="19">
        <v>16</v>
      </c>
      <c r="L17" s="19">
        <v>18</v>
      </c>
      <c r="M17" s="19">
        <v>20</v>
      </c>
      <c r="N17" s="20"/>
      <c r="O17" s="20"/>
      <c r="P17" s="20"/>
      <c r="Q17" s="20"/>
      <c r="R17" s="20"/>
      <c r="S17" s="20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</row>
    <row r="18" spans="1:39">
      <c r="A18" s="4"/>
      <c r="B18" s="4"/>
      <c r="C18" s="16" t="s">
        <v>38</v>
      </c>
      <c r="D18" s="17" t="s">
        <v>39</v>
      </c>
      <c r="E18" s="18">
        <v>12000</v>
      </c>
      <c r="F18" s="17" t="s">
        <v>29</v>
      </c>
      <c r="G18" s="17">
        <v>50</v>
      </c>
      <c r="H18" s="19">
        <v>0</v>
      </c>
      <c r="I18" s="19">
        <v>0</v>
      </c>
      <c r="J18" s="19">
        <v>0</v>
      </c>
      <c r="K18" s="19">
        <v>1</v>
      </c>
      <c r="L18" s="19">
        <v>2</v>
      </c>
      <c r="M18" s="20"/>
      <c r="N18" s="20"/>
      <c r="O18" s="20"/>
      <c r="P18" s="20"/>
      <c r="Q18" s="20"/>
      <c r="R18" s="20"/>
      <c r="S18" s="20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</row>
    <row r="19" spans="1:39">
      <c r="A19" s="4"/>
      <c r="B19" s="4"/>
      <c r="C19" s="16" t="s">
        <v>40</v>
      </c>
      <c r="D19" s="17" t="s">
        <v>41</v>
      </c>
      <c r="E19" s="18">
        <v>76000</v>
      </c>
      <c r="F19" s="17" t="s">
        <v>32</v>
      </c>
      <c r="G19" s="17">
        <v>50</v>
      </c>
      <c r="H19" s="19">
        <v>0</v>
      </c>
      <c r="I19" s="19">
        <v>4</v>
      </c>
      <c r="J19" s="19">
        <v>6</v>
      </c>
      <c r="K19" s="19">
        <v>10</v>
      </c>
      <c r="L19" s="20"/>
      <c r="M19" s="20"/>
      <c r="N19" s="20"/>
      <c r="O19" s="20"/>
      <c r="P19" s="20"/>
      <c r="Q19" s="20"/>
      <c r="R19" s="20"/>
      <c r="S19" s="20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</row>
    <row r="20" spans="1:39">
      <c r="A20" s="4"/>
      <c r="B20" s="4"/>
      <c r="C20" s="16" t="s">
        <v>42</v>
      </c>
      <c r="D20" s="17" t="s">
        <v>41</v>
      </c>
      <c r="E20" s="18">
        <v>90000</v>
      </c>
      <c r="F20" s="17" t="s">
        <v>32</v>
      </c>
      <c r="G20" s="17">
        <v>40</v>
      </c>
      <c r="H20" s="19">
        <v>5</v>
      </c>
      <c r="I20" s="19">
        <v>6</v>
      </c>
      <c r="J20" s="19">
        <v>7</v>
      </c>
      <c r="K20" s="19">
        <v>14</v>
      </c>
      <c r="L20" s="20"/>
      <c r="M20" s="20"/>
      <c r="N20" s="20"/>
      <c r="O20" s="20"/>
      <c r="P20" s="20"/>
      <c r="Q20" s="20"/>
      <c r="R20" s="20"/>
      <c r="S20" s="20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</row>
    <row r="21" spans="1:39">
      <c r="A21" s="4"/>
      <c r="B21" s="4"/>
      <c r="C21" s="16" t="s">
        <v>43</v>
      </c>
      <c r="D21" s="17" t="s">
        <v>44</v>
      </c>
      <c r="E21" s="18">
        <v>45000</v>
      </c>
      <c r="F21" s="17" t="s">
        <v>32</v>
      </c>
      <c r="G21" s="17">
        <v>60</v>
      </c>
      <c r="H21" s="19">
        <v>0</v>
      </c>
      <c r="I21" s="19">
        <v>5</v>
      </c>
      <c r="J21" s="19">
        <v>12</v>
      </c>
      <c r="K21" s="20"/>
      <c r="L21" s="20"/>
      <c r="M21" s="20"/>
      <c r="N21" s="20"/>
      <c r="O21" s="20"/>
      <c r="P21" s="20"/>
      <c r="Q21" s="20"/>
      <c r="R21" s="20"/>
      <c r="S21" s="20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</row>
    <row r="22" spans="1:39">
      <c r="A22" s="4"/>
      <c r="B22" s="4"/>
      <c r="C22" s="16" t="s">
        <v>45</v>
      </c>
      <c r="D22" s="17" t="s">
        <v>46</v>
      </c>
      <c r="E22" s="18">
        <v>55000</v>
      </c>
      <c r="F22" s="17" t="s">
        <v>32</v>
      </c>
      <c r="G22" s="17">
        <v>75</v>
      </c>
      <c r="H22" s="19">
        <v>4</v>
      </c>
      <c r="I22" s="19">
        <v>4</v>
      </c>
      <c r="J22" s="19">
        <v>4</v>
      </c>
      <c r="K22" s="20"/>
      <c r="L22" s="20"/>
      <c r="M22" s="20"/>
      <c r="N22" s="20"/>
      <c r="O22" s="20"/>
      <c r="P22" s="20"/>
      <c r="Q22" s="20"/>
      <c r="R22" s="20"/>
      <c r="S22" s="20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</row>
    <row r="23" spans="1:39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</row>
    <row r="24" spans="1:39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</row>
    <row r="25" spans="1:39">
      <c r="A25" s="138" t="s">
        <v>47</v>
      </c>
      <c r="B25" s="133"/>
      <c r="C25" s="133"/>
      <c r="D25" s="133"/>
      <c r="E25" s="133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4"/>
      <c r="R25" s="3"/>
      <c r="S25" s="3"/>
      <c r="T25" s="3"/>
      <c r="U25" s="3"/>
      <c r="V25" s="3"/>
      <c r="W25" s="3"/>
      <c r="X25" s="3"/>
      <c r="Y25" s="3"/>
      <c r="Z25" s="3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</row>
    <row r="26" spans="1:39">
      <c r="A26" s="4"/>
      <c r="B26" s="4"/>
      <c r="C26" s="4"/>
      <c r="D26" s="14" t="s">
        <v>12</v>
      </c>
      <c r="E26" s="14" t="s">
        <v>13</v>
      </c>
      <c r="F26" s="14" t="s">
        <v>14</v>
      </c>
      <c r="G26" s="32" t="s">
        <v>52</v>
      </c>
      <c r="H26" s="15" t="str">
        <f t="shared" ref="H26:S26" si="0">H11</f>
        <v>Month 1</v>
      </c>
      <c r="I26" s="15" t="str">
        <f t="shared" si="0"/>
        <v>Month 2</v>
      </c>
      <c r="J26" s="15" t="str">
        <f t="shared" si="0"/>
        <v>Month 3</v>
      </c>
      <c r="K26" s="15" t="str">
        <f t="shared" si="0"/>
        <v>Month 4</v>
      </c>
      <c r="L26" s="15" t="str">
        <f t="shared" si="0"/>
        <v>Month 5</v>
      </c>
      <c r="M26" s="15" t="str">
        <f t="shared" si="0"/>
        <v>Month 6</v>
      </c>
      <c r="N26" s="15" t="str">
        <f t="shared" si="0"/>
        <v>Month 7</v>
      </c>
      <c r="O26" s="15" t="str">
        <f t="shared" si="0"/>
        <v>Month 8</v>
      </c>
      <c r="P26" s="15" t="str">
        <f t="shared" si="0"/>
        <v>Month 9</v>
      </c>
      <c r="Q26" s="15" t="str">
        <f t="shared" si="0"/>
        <v>Month 10</v>
      </c>
      <c r="R26" s="15" t="str">
        <f t="shared" si="0"/>
        <v>Month 11</v>
      </c>
      <c r="S26" s="15" t="str">
        <f t="shared" si="0"/>
        <v>Month 12</v>
      </c>
      <c r="T26" s="15" t="s">
        <v>48</v>
      </c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</row>
    <row r="27" spans="1:39">
      <c r="A27" s="4"/>
      <c r="B27" s="4"/>
      <c r="C27" s="4"/>
      <c r="D27" s="4"/>
      <c r="E27" s="4"/>
      <c r="F27" s="4"/>
      <c r="G27" s="4"/>
      <c r="H27" s="35">
        <f t="shared" ref="H27:S27" si="1">H12</f>
        <v>0.1</v>
      </c>
      <c r="I27" s="35">
        <f t="shared" si="1"/>
        <v>0.15</v>
      </c>
      <c r="J27" s="35">
        <f t="shared" si="1"/>
        <v>0.2</v>
      </c>
      <c r="K27" s="35">
        <f t="shared" si="1"/>
        <v>0.25</v>
      </c>
      <c r="L27" s="35">
        <f t="shared" si="1"/>
        <v>0.4</v>
      </c>
      <c r="M27" s="35">
        <f t="shared" si="1"/>
        <v>0.5</v>
      </c>
      <c r="N27" s="35">
        <f t="shared" si="1"/>
        <v>0.6</v>
      </c>
      <c r="O27" s="35">
        <f t="shared" si="1"/>
        <v>0.7</v>
      </c>
      <c r="P27" s="35">
        <f t="shared" si="1"/>
        <v>0.8</v>
      </c>
      <c r="Q27" s="35">
        <f t="shared" si="1"/>
        <v>0.9</v>
      </c>
      <c r="R27" s="35">
        <f t="shared" si="1"/>
        <v>1</v>
      </c>
      <c r="S27" s="35">
        <f t="shared" si="1"/>
        <v>1</v>
      </c>
      <c r="T27" s="36" t="s">
        <v>54</v>
      </c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</row>
    <row r="28" spans="1:39">
      <c r="A28" s="4"/>
      <c r="B28" s="4"/>
      <c r="C28" s="16" t="str">
        <f t="shared" ref="C28:G28" si="2">C13</f>
        <v>Customer 1</v>
      </c>
      <c r="D28" s="21" t="str">
        <f t="shared" si="2"/>
        <v>Jan '23</v>
      </c>
      <c r="E28" s="22">
        <f t="shared" si="2"/>
        <v>9000</v>
      </c>
      <c r="F28" s="22" t="str">
        <f t="shared" si="2"/>
        <v>No</v>
      </c>
      <c r="G28" s="33">
        <f t="shared" si="2"/>
        <v>10</v>
      </c>
      <c r="H28" s="24">
        <f t="shared" ref="H28:S28" si="3">IF(ISBLANK(H13),"", (IF((H13/$G28)&lt;H$12, 0, 1)))</f>
        <v>0</v>
      </c>
      <c r="I28" s="24">
        <f t="shared" si="3"/>
        <v>0</v>
      </c>
      <c r="J28" s="25">
        <f t="shared" si="3"/>
        <v>1</v>
      </c>
      <c r="K28" s="25">
        <f t="shared" si="3"/>
        <v>1</v>
      </c>
      <c r="L28" s="25">
        <f t="shared" si="3"/>
        <v>1</v>
      </c>
      <c r="M28" s="25">
        <f t="shared" si="3"/>
        <v>1</v>
      </c>
      <c r="N28" s="24">
        <f t="shared" si="3"/>
        <v>0</v>
      </c>
      <c r="O28" s="24">
        <f t="shared" si="3"/>
        <v>0</v>
      </c>
      <c r="P28" s="24">
        <f t="shared" si="3"/>
        <v>0</v>
      </c>
      <c r="Q28" s="24">
        <f t="shared" si="3"/>
        <v>0</v>
      </c>
      <c r="R28" s="20" t="str">
        <f t="shared" si="3"/>
        <v/>
      </c>
      <c r="S28" s="20" t="str">
        <f t="shared" si="3"/>
        <v/>
      </c>
      <c r="T28" s="26">
        <f t="shared" ref="T28:T37" si="4">LOOKUP(2,1/(H28:S28&lt;&gt;""),H28:S28)</f>
        <v>0</v>
      </c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</row>
    <row r="29" spans="1:39">
      <c r="A29" s="4"/>
      <c r="B29" s="4"/>
      <c r="C29" s="16" t="str">
        <f t="shared" ref="C29:G29" si="5">C14</f>
        <v>Customer 2</v>
      </c>
      <c r="D29" s="21" t="str">
        <f t="shared" si="5"/>
        <v>Jan '23</v>
      </c>
      <c r="E29" s="22">
        <f t="shared" si="5"/>
        <v>10000</v>
      </c>
      <c r="F29" s="22" t="str">
        <f t="shared" si="5"/>
        <v>Yes</v>
      </c>
      <c r="G29" s="33">
        <f t="shared" si="5"/>
        <v>20</v>
      </c>
      <c r="H29" s="25">
        <f t="shared" ref="H29:S29" si="6">IF(ISBLANK(H14),"", (IF((H14/$G29)&lt;H$12, 0, 1)))</f>
        <v>1</v>
      </c>
      <c r="I29" s="25">
        <f t="shared" si="6"/>
        <v>1</v>
      </c>
      <c r="J29" s="25">
        <f t="shared" si="6"/>
        <v>1</v>
      </c>
      <c r="K29" s="25">
        <f t="shared" si="6"/>
        <v>1</v>
      </c>
      <c r="L29" s="24">
        <f t="shared" si="6"/>
        <v>0</v>
      </c>
      <c r="M29" s="25">
        <f t="shared" si="6"/>
        <v>1</v>
      </c>
      <c r="N29" s="25">
        <f t="shared" si="6"/>
        <v>1</v>
      </c>
      <c r="O29" s="25">
        <f t="shared" si="6"/>
        <v>1</v>
      </c>
      <c r="P29" s="25">
        <f t="shared" si="6"/>
        <v>1</v>
      </c>
      <c r="Q29" s="20" t="str">
        <f t="shared" si="6"/>
        <v/>
      </c>
      <c r="R29" s="20" t="str">
        <f t="shared" si="6"/>
        <v/>
      </c>
      <c r="S29" s="20" t="str">
        <f t="shared" si="6"/>
        <v/>
      </c>
      <c r="T29" s="26">
        <f t="shared" si="4"/>
        <v>1</v>
      </c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</row>
    <row r="30" spans="1:39">
      <c r="A30" s="4"/>
      <c r="B30" s="4"/>
      <c r="C30" s="16" t="str">
        <f t="shared" ref="C30:G30" si="7">C15</f>
        <v>Customer 3</v>
      </c>
      <c r="D30" s="21" t="str">
        <f t="shared" si="7"/>
        <v>Feb '23</v>
      </c>
      <c r="E30" s="22">
        <f t="shared" si="7"/>
        <v>40000</v>
      </c>
      <c r="F30" s="22" t="str">
        <f t="shared" si="7"/>
        <v>Yes</v>
      </c>
      <c r="G30" s="33">
        <f t="shared" si="7"/>
        <v>20</v>
      </c>
      <c r="H30" s="24">
        <f t="shared" ref="H30:S30" si="8">IF(ISBLANK(H15),"", (IF((H15/$G30)&lt;H$12, 0, 1)))</f>
        <v>0</v>
      </c>
      <c r="I30" s="25">
        <f t="shared" si="8"/>
        <v>1</v>
      </c>
      <c r="J30" s="25">
        <f t="shared" si="8"/>
        <v>1</v>
      </c>
      <c r="K30" s="24">
        <f t="shared" si="8"/>
        <v>0</v>
      </c>
      <c r="L30" s="25">
        <f t="shared" si="8"/>
        <v>1</v>
      </c>
      <c r="M30" s="25">
        <f t="shared" si="8"/>
        <v>1</v>
      </c>
      <c r="N30" s="25">
        <f t="shared" si="8"/>
        <v>1</v>
      </c>
      <c r="O30" s="25">
        <f t="shared" si="8"/>
        <v>1</v>
      </c>
      <c r="P30" s="20" t="str">
        <f t="shared" si="8"/>
        <v/>
      </c>
      <c r="Q30" s="20" t="str">
        <f t="shared" si="8"/>
        <v/>
      </c>
      <c r="R30" s="20" t="str">
        <f t="shared" si="8"/>
        <v/>
      </c>
      <c r="S30" s="20" t="str">
        <f t="shared" si="8"/>
        <v/>
      </c>
      <c r="T30" s="26">
        <f t="shared" si="4"/>
        <v>1</v>
      </c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</row>
    <row r="31" spans="1:39">
      <c r="A31" s="4"/>
      <c r="B31" s="4"/>
      <c r="C31" s="16" t="str">
        <f t="shared" ref="C31:G31" si="9">C16</f>
        <v>Customer 4</v>
      </c>
      <c r="D31" s="21" t="str">
        <f t="shared" si="9"/>
        <v>May '23</v>
      </c>
      <c r="E31" s="22">
        <f t="shared" si="9"/>
        <v>50000</v>
      </c>
      <c r="F31" s="22" t="str">
        <f t="shared" si="9"/>
        <v>Yes</v>
      </c>
      <c r="G31" s="33">
        <f t="shared" si="9"/>
        <v>100</v>
      </c>
      <c r="H31" s="24">
        <f t="shared" ref="H31:S31" si="10">IF(ISBLANK(H16),"", (IF((H16/$G31)&lt;H$12, 0, 1)))</f>
        <v>0</v>
      </c>
      <c r="I31" s="25">
        <f t="shared" si="10"/>
        <v>1</v>
      </c>
      <c r="J31" s="24">
        <f t="shared" si="10"/>
        <v>0</v>
      </c>
      <c r="K31" s="25">
        <f t="shared" si="10"/>
        <v>1</v>
      </c>
      <c r="L31" s="25">
        <f t="shared" si="10"/>
        <v>1</v>
      </c>
      <c r="M31" s="25">
        <f t="shared" si="10"/>
        <v>1</v>
      </c>
      <c r="N31" s="20" t="str">
        <f t="shared" si="10"/>
        <v/>
      </c>
      <c r="O31" s="20" t="str">
        <f t="shared" si="10"/>
        <v/>
      </c>
      <c r="P31" s="20" t="str">
        <f t="shared" si="10"/>
        <v/>
      </c>
      <c r="Q31" s="20" t="str">
        <f t="shared" si="10"/>
        <v/>
      </c>
      <c r="R31" s="20" t="str">
        <f t="shared" si="10"/>
        <v/>
      </c>
      <c r="S31" s="20" t="str">
        <f t="shared" si="10"/>
        <v/>
      </c>
      <c r="T31" s="26">
        <f t="shared" si="4"/>
        <v>1</v>
      </c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</row>
    <row r="32" spans="1:39">
      <c r="A32" s="4"/>
      <c r="B32" s="4"/>
      <c r="C32" s="16" t="str">
        <f t="shared" ref="C32:G32" si="11">C17</f>
        <v>Customer 5</v>
      </c>
      <c r="D32" s="21" t="str">
        <f t="shared" si="11"/>
        <v>May '23</v>
      </c>
      <c r="E32" s="22">
        <f t="shared" si="11"/>
        <v>25000</v>
      </c>
      <c r="F32" s="22" t="str">
        <f t="shared" si="11"/>
        <v>Yes</v>
      </c>
      <c r="G32" s="33">
        <f t="shared" si="11"/>
        <v>40</v>
      </c>
      <c r="H32" s="24">
        <f t="shared" ref="H32:S32" si="12">IF(ISBLANK(H17),"", (IF((H17/$G32)&lt;H$12, 0, 1)))</f>
        <v>0</v>
      </c>
      <c r="I32" s="24">
        <f t="shared" si="12"/>
        <v>0</v>
      </c>
      <c r="J32" s="24">
        <f t="shared" si="12"/>
        <v>0</v>
      </c>
      <c r="K32" s="25">
        <f t="shared" si="12"/>
        <v>1</v>
      </c>
      <c r="L32" s="25">
        <f t="shared" si="12"/>
        <v>1</v>
      </c>
      <c r="M32" s="25">
        <f t="shared" si="12"/>
        <v>1</v>
      </c>
      <c r="N32" s="20" t="str">
        <f t="shared" si="12"/>
        <v/>
      </c>
      <c r="O32" s="20" t="str">
        <f t="shared" si="12"/>
        <v/>
      </c>
      <c r="P32" s="20" t="str">
        <f t="shared" si="12"/>
        <v/>
      </c>
      <c r="Q32" s="20" t="str">
        <f t="shared" si="12"/>
        <v/>
      </c>
      <c r="R32" s="20" t="str">
        <f t="shared" si="12"/>
        <v/>
      </c>
      <c r="S32" s="20" t="str">
        <f t="shared" si="12"/>
        <v/>
      </c>
      <c r="T32" s="26">
        <f t="shared" si="4"/>
        <v>1</v>
      </c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</row>
    <row r="33" spans="1:39">
      <c r="A33" s="4"/>
      <c r="B33" s="4"/>
      <c r="C33" s="16" t="str">
        <f t="shared" ref="C33:G33" si="13">C18</f>
        <v>Customer 6</v>
      </c>
      <c r="D33" s="21" t="str">
        <f t="shared" si="13"/>
        <v>June '23</v>
      </c>
      <c r="E33" s="22">
        <f t="shared" si="13"/>
        <v>12000</v>
      </c>
      <c r="F33" s="22" t="str">
        <f t="shared" si="13"/>
        <v>No</v>
      </c>
      <c r="G33" s="33">
        <f t="shared" si="13"/>
        <v>50</v>
      </c>
      <c r="H33" s="24">
        <f t="shared" ref="H33:S33" si="14">IF(ISBLANK(H18),"", (IF((H18/$G33)&lt;H$12, 0, 1)))</f>
        <v>0</v>
      </c>
      <c r="I33" s="24">
        <f t="shared" si="14"/>
        <v>0</v>
      </c>
      <c r="J33" s="24">
        <f t="shared" si="14"/>
        <v>0</v>
      </c>
      <c r="K33" s="24">
        <f t="shared" si="14"/>
        <v>0</v>
      </c>
      <c r="L33" s="24">
        <f t="shared" si="14"/>
        <v>0</v>
      </c>
      <c r="M33" s="20" t="str">
        <f t="shared" si="14"/>
        <v/>
      </c>
      <c r="N33" s="20" t="str">
        <f t="shared" si="14"/>
        <v/>
      </c>
      <c r="O33" s="20" t="str">
        <f t="shared" si="14"/>
        <v/>
      </c>
      <c r="P33" s="20" t="str">
        <f t="shared" si="14"/>
        <v/>
      </c>
      <c r="Q33" s="20" t="str">
        <f t="shared" si="14"/>
        <v/>
      </c>
      <c r="R33" s="20" t="str">
        <f t="shared" si="14"/>
        <v/>
      </c>
      <c r="S33" s="20" t="str">
        <f t="shared" si="14"/>
        <v/>
      </c>
      <c r="T33" s="26">
        <f t="shared" si="4"/>
        <v>0</v>
      </c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</row>
    <row r="34" spans="1:39">
      <c r="A34" s="4"/>
      <c r="B34" s="4"/>
      <c r="C34" s="16" t="str">
        <f t="shared" ref="C34:G34" si="15">C19</f>
        <v>Customer 7</v>
      </c>
      <c r="D34" s="21" t="str">
        <f t="shared" si="15"/>
        <v>July '23</v>
      </c>
      <c r="E34" s="22">
        <f t="shared" si="15"/>
        <v>76000</v>
      </c>
      <c r="F34" s="22" t="str">
        <f t="shared" si="15"/>
        <v>Yes</v>
      </c>
      <c r="G34" s="33">
        <f t="shared" si="15"/>
        <v>50</v>
      </c>
      <c r="H34" s="24">
        <f t="shared" ref="H34:S34" si="16">IF(ISBLANK(H19),"", (IF((H19/$G34)&lt;H$12, 0, 1)))</f>
        <v>0</v>
      </c>
      <c r="I34" s="24">
        <f t="shared" si="16"/>
        <v>0</v>
      </c>
      <c r="J34" s="24">
        <f t="shared" si="16"/>
        <v>0</v>
      </c>
      <c r="K34" s="24">
        <f t="shared" si="16"/>
        <v>0</v>
      </c>
      <c r="L34" s="20" t="str">
        <f t="shared" si="16"/>
        <v/>
      </c>
      <c r="M34" s="20" t="str">
        <f t="shared" si="16"/>
        <v/>
      </c>
      <c r="N34" s="20" t="str">
        <f t="shared" si="16"/>
        <v/>
      </c>
      <c r="O34" s="20" t="str">
        <f t="shared" si="16"/>
        <v/>
      </c>
      <c r="P34" s="20" t="str">
        <f t="shared" si="16"/>
        <v/>
      </c>
      <c r="Q34" s="20" t="str">
        <f t="shared" si="16"/>
        <v/>
      </c>
      <c r="R34" s="20" t="str">
        <f t="shared" si="16"/>
        <v/>
      </c>
      <c r="S34" s="20" t="str">
        <f t="shared" si="16"/>
        <v/>
      </c>
      <c r="T34" s="26">
        <f t="shared" si="4"/>
        <v>0</v>
      </c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</row>
    <row r="35" spans="1:39">
      <c r="A35" s="4"/>
      <c r="B35" s="4"/>
      <c r="C35" s="16" t="str">
        <f t="shared" ref="C35:G35" si="17">C20</f>
        <v>Customer 8</v>
      </c>
      <c r="D35" s="21" t="str">
        <f t="shared" si="17"/>
        <v>July '23</v>
      </c>
      <c r="E35" s="22">
        <f t="shared" si="17"/>
        <v>90000</v>
      </c>
      <c r="F35" s="22" t="str">
        <f t="shared" si="17"/>
        <v>Yes</v>
      </c>
      <c r="G35" s="33">
        <f t="shared" si="17"/>
        <v>40</v>
      </c>
      <c r="H35" s="25">
        <f t="shared" ref="H35:S35" si="18">IF(ISBLANK(H20),"", (IF((H20/$G35)&lt;H$12, 0, 1)))</f>
        <v>1</v>
      </c>
      <c r="I35" s="25">
        <f t="shared" si="18"/>
        <v>1</v>
      </c>
      <c r="J35" s="24">
        <f t="shared" si="18"/>
        <v>0</v>
      </c>
      <c r="K35" s="25">
        <f t="shared" si="18"/>
        <v>1</v>
      </c>
      <c r="L35" s="20" t="str">
        <f t="shared" si="18"/>
        <v/>
      </c>
      <c r="M35" s="20" t="str">
        <f t="shared" si="18"/>
        <v/>
      </c>
      <c r="N35" s="20" t="str">
        <f t="shared" si="18"/>
        <v/>
      </c>
      <c r="O35" s="20" t="str">
        <f t="shared" si="18"/>
        <v/>
      </c>
      <c r="P35" s="20" t="str">
        <f t="shared" si="18"/>
        <v/>
      </c>
      <c r="Q35" s="20" t="str">
        <f t="shared" si="18"/>
        <v/>
      </c>
      <c r="R35" s="20" t="str">
        <f t="shared" si="18"/>
        <v/>
      </c>
      <c r="S35" s="20" t="str">
        <f t="shared" si="18"/>
        <v/>
      </c>
      <c r="T35" s="26">
        <f t="shared" si="4"/>
        <v>1</v>
      </c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</row>
    <row r="36" spans="1:39">
      <c r="A36" s="4"/>
      <c r="B36" s="4"/>
      <c r="C36" s="16" t="str">
        <f t="shared" ref="C36:G36" si="19">C21</f>
        <v>Customer 9</v>
      </c>
      <c r="D36" s="21" t="str">
        <f t="shared" si="19"/>
        <v>Aug '23</v>
      </c>
      <c r="E36" s="22">
        <f t="shared" si="19"/>
        <v>45000</v>
      </c>
      <c r="F36" s="22" t="str">
        <f t="shared" si="19"/>
        <v>Yes</v>
      </c>
      <c r="G36" s="33">
        <f t="shared" si="19"/>
        <v>60</v>
      </c>
      <c r="H36" s="24">
        <f t="shared" ref="H36:S36" si="20">IF(ISBLANK(H21),"", (IF((H21/$G36)&lt;H$12, 0, 1)))</f>
        <v>0</v>
      </c>
      <c r="I36" s="24">
        <f t="shared" si="20"/>
        <v>0</v>
      </c>
      <c r="J36" s="25">
        <f t="shared" si="20"/>
        <v>1</v>
      </c>
      <c r="K36" s="20" t="str">
        <f t="shared" si="20"/>
        <v/>
      </c>
      <c r="L36" s="20" t="str">
        <f t="shared" si="20"/>
        <v/>
      </c>
      <c r="M36" s="20" t="str">
        <f t="shared" si="20"/>
        <v/>
      </c>
      <c r="N36" s="20" t="str">
        <f t="shared" si="20"/>
        <v/>
      </c>
      <c r="O36" s="20" t="str">
        <f t="shared" si="20"/>
        <v/>
      </c>
      <c r="P36" s="20" t="str">
        <f t="shared" si="20"/>
        <v/>
      </c>
      <c r="Q36" s="20" t="str">
        <f t="shared" si="20"/>
        <v/>
      </c>
      <c r="R36" s="20" t="str">
        <f t="shared" si="20"/>
        <v/>
      </c>
      <c r="S36" s="20" t="str">
        <f t="shared" si="20"/>
        <v/>
      </c>
      <c r="T36" s="26">
        <f t="shared" si="4"/>
        <v>1</v>
      </c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</row>
    <row r="37" spans="1:39">
      <c r="A37" s="4"/>
      <c r="B37" s="4"/>
      <c r="C37" s="16" t="str">
        <f t="shared" ref="C37:G37" si="21">C22</f>
        <v>Customer 10</v>
      </c>
      <c r="D37" s="21" t="str">
        <f t="shared" si="21"/>
        <v>Aug '24</v>
      </c>
      <c r="E37" s="22">
        <f t="shared" si="21"/>
        <v>55000</v>
      </c>
      <c r="F37" s="22" t="str">
        <f t="shared" si="21"/>
        <v>Yes</v>
      </c>
      <c r="G37" s="33">
        <f t="shared" si="21"/>
        <v>75</v>
      </c>
      <c r="H37" s="24">
        <f t="shared" ref="H37:S37" si="22">IF(ISBLANK(H22),"", (IF((H22/$G37)&lt;H$12, 0, 1)))</f>
        <v>0</v>
      </c>
      <c r="I37" s="24">
        <f t="shared" si="22"/>
        <v>0</v>
      </c>
      <c r="J37" s="24">
        <f t="shared" si="22"/>
        <v>0</v>
      </c>
      <c r="K37" s="20" t="str">
        <f t="shared" si="22"/>
        <v/>
      </c>
      <c r="L37" s="20" t="str">
        <f t="shared" si="22"/>
        <v/>
      </c>
      <c r="M37" s="20" t="str">
        <f t="shared" si="22"/>
        <v/>
      </c>
      <c r="N37" s="20" t="str">
        <f t="shared" si="22"/>
        <v/>
      </c>
      <c r="O37" s="20" t="str">
        <f t="shared" si="22"/>
        <v/>
      </c>
      <c r="P37" s="20" t="str">
        <f t="shared" si="22"/>
        <v/>
      </c>
      <c r="Q37" s="20" t="str">
        <f t="shared" si="22"/>
        <v/>
      </c>
      <c r="R37" s="20" t="str">
        <f t="shared" si="22"/>
        <v/>
      </c>
      <c r="S37" s="20" t="str">
        <f t="shared" si="22"/>
        <v/>
      </c>
      <c r="T37" s="26">
        <f t="shared" si="4"/>
        <v>0</v>
      </c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</row>
    <row r="38" spans="1:39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6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</row>
    <row r="39" spans="1: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27" t="s">
        <v>49</v>
      </c>
      <c r="T39" s="28">
        <f>SUM(T28:T37)/COUNT(T28:T37)</f>
        <v>0.6</v>
      </c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</row>
    <row r="40" spans="1:39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29" t="s">
        <v>50</v>
      </c>
      <c r="T40" s="30">
        <v>0.7</v>
      </c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</row>
    <row r="41" spans="1:39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</row>
    <row r="42" spans="1:39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</row>
    <row r="43" spans="1:39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</row>
    <row r="44" spans="1:39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</row>
    <row r="45" spans="1:39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</row>
    <row r="46" spans="1:39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</row>
    <row r="47" spans="1:39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</row>
    <row r="48" spans="1:39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</row>
    <row r="49" spans="1:3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</row>
    <row r="50" spans="1:39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</row>
    <row r="51" spans="1:39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</row>
    <row r="52" spans="1:39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</row>
    <row r="53" spans="1:39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</row>
    <row r="54" spans="1:39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</row>
    <row r="55" spans="1:39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</row>
    <row r="56" spans="1:39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</row>
    <row r="57" spans="1:39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</row>
    <row r="58" spans="1:39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</row>
    <row r="59" spans="1:3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</row>
    <row r="60" spans="1:39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</row>
    <row r="61" spans="1:39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</row>
    <row r="62" spans="1:39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</row>
    <row r="63" spans="1:39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</row>
    <row r="64" spans="1:39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</row>
    <row r="65" spans="1:39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</row>
    <row r="66" spans="1:39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</row>
    <row r="67" spans="1:39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</row>
    <row r="68" spans="1:39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</row>
    <row r="69" spans="1:3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</row>
    <row r="70" spans="1:39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</row>
    <row r="71" spans="1:39" ht="14.4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</row>
    <row r="72" spans="1:39" ht="14.4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</row>
    <row r="73" spans="1:39" ht="14.4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</row>
    <row r="74" spans="1:39" ht="14.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</row>
    <row r="75" spans="1:39" ht="14.4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</row>
    <row r="76" spans="1:39" ht="14.4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</row>
    <row r="77" spans="1:39" ht="14.4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</row>
    <row r="78" spans="1:39" ht="14.4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</row>
    <row r="79" spans="1:39" ht="14.4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</row>
    <row r="80" spans="1:39" ht="14.4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</row>
    <row r="81" spans="1:39" ht="14.4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</row>
    <row r="82" spans="1:39" ht="14.4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</row>
    <row r="83" spans="1:39" ht="14.4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</row>
    <row r="84" spans="1:39" ht="14.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</row>
    <row r="85" spans="1:39" ht="14.4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</row>
    <row r="86" spans="1:39" ht="14.4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</row>
    <row r="87" spans="1:39" ht="14.4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</row>
    <row r="88" spans="1:39" ht="14.4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</row>
    <row r="89" spans="1:39" ht="14.4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</row>
    <row r="90" spans="1:39" ht="14.4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</row>
    <row r="91" spans="1:39" ht="14.4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</row>
    <row r="92" spans="1:39" ht="14.4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</row>
    <row r="93" spans="1:39" ht="14.4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</row>
    <row r="94" spans="1:39" ht="14.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</row>
    <row r="95" spans="1:39" ht="14.4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</row>
    <row r="96" spans="1:39" ht="14.4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</row>
    <row r="97" spans="1:39" ht="14.4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</row>
    <row r="98" spans="1:39" ht="14.4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</row>
    <row r="99" spans="1:39" ht="14.4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</row>
    <row r="100" spans="1:39" ht="14.4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</row>
    <row r="101" spans="1:39" ht="14.4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</row>
    <row r="102" spans="1:39" ht="14.4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</row>
    <row r="103" spans="1:39" ht="14.4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</row>
    <row r="104" spans="1:39" ht="14.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</row>
    <row r="105" spans="1:39" ht="14.4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</row>
    <row r="106" spans="1:39" ht="14.4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</row>
    <row r="107" spans="1:39" ht="14.4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</row>
    <row r="108" spans="1:39" ht="14.4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</row>
    <row r="109" spans="1:39" ht="14.4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</row>
    <row r="110" spans="1:39" ht="14.4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</row>
    <row r="111" spans="1:39" ht="14.4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</row>
    <row r="112" spans="1:39" ht="14.4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</row>
    <row r="113" spans="1:39" ht="14.4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</row>
    <row r="114" spans="1:39" ht="14.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</row>
    <row r="115" spans="1:39" ht="14.4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</row>
    <row r="116" spans="1:39" ht="14.4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</row>
    <row r="117" spans="1:39" ht="14.4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</row>
    <row r="118" spans="1:39" ht="14.4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</row>
    <row r="119" spans="1:39" ht="14.4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</row>
    <row r="120" spans="1:39" ht="14.4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</row>
    <row r="121" spans="1:39" ht="14.4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</row>
    <row r="122" spans="1:39" ht="14.4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</row>
    <row r="123" spans="1:39" ht="14.4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</row>
    <row r="124" spans="1:39" ht="14.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</row>
    <row r="125" spans="1:39" ht="14.4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</row>
    <row r="126" spans="1:39" ht="14.4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</row>
    <row r="127" spans="1:39" ht="14.4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</row>
    <row r="128" spans="1:39" ht="14.4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</row>
    <row r="129" spans="1:39" ht="14.4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</row>
    <row r="130" spans="1:39" ht="14.4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</row>
    <row r="131" spans="1:39" ht="14.4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</row>
    <row r="132" spans="1:39" ht="14.4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</row>
    <row r="133" spans="1:39" ht="14.4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</row>
    <row r="134" spans="1:39" ht="14.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</row>
    <row r="135" spans="1:39" ht="14.4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</row>
    <row r="136" spans="1:39" ht="14.4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</row>
    <row r="137" spans="1:39" ht="14.4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</row>
    <row r="138" spans="1:39" ht="14.4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</row>
    <row r="139" spans="1:39" ht="14.4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</row>
    <row r="140" spans="1:39" ht="14.4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</row>
    <row r="141" spans="1:39" ht="14.4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</row>
    <row r="142" spans="1:39" ht="14.4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</row>
    <row r="143" spans="1:39" ht="14.4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</row>
    <row r="144" spans="1:39" ht="14.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</row>
    <row r="145" spans="1:39" ht="14.4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</row>
    <row r="146" spans="1:39" ht="14.4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</row>
    <row r="147" spans="1:39" ht="14.4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</row>
    <row r="148" spans="1:39" ht="14.4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</row>
    <row r="149" spans="1:39" ht="14.4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</row>
    <row r="150" spans="1:39" ht="14.4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</row>
    <row r="151" spans="1:39" ht="14.4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</row>
    <row r="152" spans="1:39" ht="14.4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</row>
    <row r="153" spans="1:39" ht="14.4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</row>
    <row r="154" spans="1:39" ht="14.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</row>
    <row r="155" spans="1:39" ht="14.4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</row>
    <row r="156" spans="1:39" ht="14.4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</row>
    <row r="157" spans="1:39" ht="14.4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</row>
    <row r="158" spans="1:39" ht="14.4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</row>
    <row r="159" spans="1:39" ht="14.4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</row>
    <row r="160" spans="1:39" ht="14.4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</row>
    <row r="161" spans="1:39" ht="14.4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</row>
    <row r="162" spans="1:39" ht="14.4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</row>
    <row r="163" spans="1:39" ht="14.4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</row>
    <row r="164" spans="1:39" ht="14.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</row>
    <row r="165" spans="1:39" ht="14.4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</row>
    <row r="166" spans="1:39" ht="14.4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</row>
    <row r="167" spans="1:39" ht="14.4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</row>
    <row r="168" spans="1:39" ht="14.4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</row>
    <row r="169" spans="1:39" ht="14.4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</row>
    <row r="170" spans="1:39" ht="14.4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</row>
    <row r="171" spans="1:39" ht="14.4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</row>
    <row r="172" spans="1:39" ht="14.4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</row>
    <row r="173" spans="1:39" ht="14.4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</row>
    <row r="174" spans="1:39" ht="14.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</row>
    <row r="175" spans="1:39" ht="14.4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</row>
    <row r="176" spans="1:39" ht="14.4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</row>
    <row r="177" spans="1:39" ht="14.4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</row>
    <row r="178" spans="1:39" ht="14.4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</row>
    <row r="179" spans="1:39" ht="14.4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</row>
    <row r="180" spans="1:39" ht="14.4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</row>
    <row r="181" spans="1:39" ht="14.4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</row>
    <row r="182" spans="1:39" ht="14.4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</row>
    <row r="183" spans="1:39" ht="14.4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</row>
    <row r="184" spans="1:39" ht="14.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</row>
    <row r="185" spans="1:39" ht="14.4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</row>
    <row r="186" spans="1:39" ht="14.4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</row>
    <row r="187" spans="1:39" ht="14.4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</row>
    <row r="188" spans="1:39" ht="14.4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</row>
    <row r="189" spans="1:39" ht="14.4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</row>
    <row r="190" spans="1:39" ht="14.4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</row>
    <row r="191" spans="1:39" ht="14.4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</row>
    <row r="192" spans="1:39" ht="14.4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</row>
    <row r="193" spans="1:39" ht="14.4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</row>
    <row r="194" spans="1:39" ht="14.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</row>
    <row r="195" spans="1:39" ht="14.4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</row>
    <row r="196" spans="1:39" ht="14.4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</row>
    <row r="197" spans="1:39" ht="14.4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</row>
    <row r="198" spans="1:39" ht="14.4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</row>
    <row r="199" spans="1:39" ht="14.4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</row>
    <row r="200" spans="1:39" ht="14.4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</row>
    <row r="201" spans="1:39" ht="14.4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</row>
    <row r="202" spans="1:39" ht="14.4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</row>
    <row r="203" spans="1:39" ht="14.4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</row>
    <row r="204" spans="1:39" ht="14.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</row>
    <row r="205" spans="1:39" ht="14.4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</row>
    <row r="206" spans="1:39" ht="14.4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</row>
    <row r="207" spans="1:39" ht="14.4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</row>
    <row r="208" spans="1:39" ht="14.4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</row>
    <row r="209" spans="1:39" ht="14.4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</row>
    <row r="210" spans="1:39" ht="14.4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</row>
    <row r="211" spans="1:39" ht="14.4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</row>
    <row r="212" spans="1:39" ht="14.4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</row>
    <row r="213" spans="1:39" ht="14.4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</row>
    <row r="214" spans="1:39" ht="14.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</row>
    <row r="215" spans="1:39" ht="14.4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</row>
    <row r="216" spans="1:39" ht="14.4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</row>
    <row r="217" spans="1:39" ht="14.4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</row>
    <row r="218" spans="1:39" ht="14.4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</row>
    <row r="219" spans="1:39" ht="14.4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</row>
    <row r="220" spans="1:39" ht="14.4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</row>
    <row r="221" spans="1:39" ht="14.4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</row>
    <row r="222" spans="1:39" ht="14.4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</row>
    <row r="223" spans="1:39" ht="14.4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</row>
    <row r="224" spans="1:39" ht="14.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</row>
    <row r="225" spans="1:39" ht="14.4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</row>
    <row r="226" spans="1:39" ht="14.4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</row>
    <row r="227" spans="1:39" ht="14.4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</row>
    <row r="228" spans="1:39" ht="14.4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</row>
    <row r="229" spans="1:39" ht="14.4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</row>
    <row r="230" spans="1:39" ht="14.4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</row>
    <row r="231" spans="1:39" ht="14.4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</row>
    <row r="232" spans="1:39" ht="14.4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</row>
    <row r="233" spans="1:39" ht="14.4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</row>
    <row r="234" spans="1:39" ht="14.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</row>
    <row r="235" spans="1:39" ht="14.4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</row>
    <row r="236" spans="1:39" ht="14.4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</row>
    <row r="237" spans="1:39" ht="14.4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</row>
    <row r="238" spans="1:39" ht="14.4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</row>
    <row r="239" spans="1:39" ht="14.4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</row>
    <row r="240" spans="1:39" ht="14.4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</row>
    <row r="241" spans="1:39" ht="14.4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</row>
    <row r="242" spans="1:39" ht="14.4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</row>
    <row r="243" spans="1:39" ht="14.4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</row>
    <row r="244" spans="1:39" ht="14.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</row>
    <row r="245" spans="1:39" ht="14.4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</row>
    <row r="246" spans="1:39" ht="14.4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</row>
    <row r="247" spans="1:39" ht="14.4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</row>
    <row r="248" spans="1:39" ht="14.4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</row>
    <row r="249" spans="1:39" ht="14.4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</row>
    <row r="250" spans="1:39" ht="14.4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</row>
    <row r="251" spans="1:39" ht="14.4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</row>
    <row r="252" spans="1:39" ht="14.4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</row>
    <row r="253" spans="1:39" ht="14.4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</row>
    <row r="254" spans="1:39" ht="14.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</row>
    <row r="255" spans="1:39" ht="14.4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</row>
    <row r="256" spans="1:39" ht="14.4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</row>
    <row r="257" spans="1:39" ht="14.4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</row>
    <row r="258" spans="1:39" ht="14.4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</row>
    <row r="259" spans="1:39" ht="14.4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</row>
    <row r="260" spans="1:39" ht="14.4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</row>
    <row r="261" spans="1:39" ht="14.4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</row>
    <row r="262" spans="1:39" ht="14.4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</row>
    <row r="263" spans="1:39" ht="14.4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</row>
    <row r="264" spans="1:39" ht="14.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</row>
    <row r="265" spans="1:39" ht="14.4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</row>
    <row r="266" spans="1:39" ht="14.4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</row>
    <row r="267" spans="1:39" ht="14.4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</row>
    <row r="268" spans="1:39" ht="14.4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</row>
    <row r="269" spans="1:39" ht="14.4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</row>
    <row r="270" spans="1:39" ht="14.4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</row>
    <row r="271" spans="1:39" ht="14.4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</row>
    <row r="272" spans="1:39" ht="14.4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</row>
    <row r="273" spans="1:39" ht="14.4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</row>
    <row r="274" spans="1:39" ht="14.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</row>
    <row r="275" spans="1:39" ht="14.4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</row>
    <row r="276" spans="1:39" ht="14.4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</row>
    <row r="277" spans="1:39" ht="14.4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</row>
    <row r="278" spans="1:39" ht="14.4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</row>
    <row r="279" spans="1:39" ht="14.4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</row>
    <row r="280" spans="1:39" ht="14.4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</row>
    <row r="281" spans="1:39" ht="14.4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</row>
    <row r="282" spans="1:39" ht="14.4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</row>
    <row r="283" spans="1:39" ht="14.4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</row>
    <row r="284" spans="1:39" ht="14.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</row>
    <row r="285" spans="1:39" ht="14.4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</row>
    <row r="286" spans="1:39" ht="14.4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</row>
    <row r="287" spans="1:39" ht="14.4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</row>
    <row r="288" spans="1:39" ht="14.4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</row>
    <row r="289" spans="1:39" ht="14.4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</row>
    <row r="290" spans="1:39" ht="14.4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</row>
    <row r="291" spans="1:39" ht="14.4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</row>
    <row r="292" spans="1:39" ht="14.4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</row>
    <row r="293" spans="1:39" ht="14.4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</row>
    <row r="294" spans="1:39" ht="14.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</row>
    <row r="295" spans="1:39" ht="14.4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</row>
    <row r="296" spans="1:39" ht="14.4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</row>
    <row r="297" spans="1:39" ht="14.4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</row>
    <row r="298" spans="1:39" ht="14.4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</row>
    <row r="299" spans="1:39" ht="14.4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</row>
    <row r="300" spans="1:39" ht="14.4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</row>
    <row r="301" spans="1:39" ht="14.4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</row>
    <row r="302" spans="1:39" ht="14.4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</row>
    <row r="303" spans="1:39" ht="14.4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</row>
    <row r="304" spans="1:39" ht="14.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</row>
    <row r="305" spans="1:39" ht="14.4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</row>
    <row r="306" spans="1:39" ht="14.4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</row>
    <row r="307" spans="1:39" ht="14.4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</row>
    <row r="308" spans="1:39" ht="14.4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</row>
    <row r="309" spans="1:39" ht="14.4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</row>
    <row r="310" spans="1:39" ht="14.4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</row>
    <row r="311" spans="1:39" ht="14.4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</row>
    <row r="312" spans="1:39" ht="14.4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</row>
    <row r="313" spans="1:39" ht="14.4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</row>
    <row r="314" spans="1:39" ht="14.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</row>
    <row r="315" spans="1:39" ht="14.4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</row>
    <row r="316" spans="1:39" ht="14.4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</row>
    <row r="317" spans="1:39" ht="14.4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</row>
    <row r="318" spans="1:39" ht="14.4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</row>
    <row r="319" spans="1:39" ht="14.4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</row>
    <row r="320" spans="1:39" ht="14.4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</row>
    <row r="321" spans="1:39" ht="14.4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</row>
    <row r="322" spans="1:39" ht="14.4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</row>
    <row r="323" spans="1:39" ht="14.4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</row>
    <row r="324" spans="1:39" ht="14.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</row>
    <row r="325" spans="1:39" ht="14.4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</row>
    <row r="326" spans="1:39" ht="14.4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</row>
    <row r="327" spans="1:39" ht="14.4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</row>
    <row r="328" spans="1:39" ht="14.4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</row>
    <row r="329" spans="1:39" ht="14.4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</row>
    <row r="330" spans="1:39" ht="14.4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</row>
    <row r="331" spans="1:39" ht="14.4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</row>
    <row r="332" spans="1:39" ht="14.4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</row>
    <row r="333" spans="1:39" ht="14.4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</row>
    <row r="334" spans="1:39" ht="14.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</row>
    <row r="335" spans="1:39" ht="14.4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</row>
    <row r="336" spans="1:39" ht="14.4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</row>
    <row r="337" spans="1:39" ht="14.4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</row>
    <row r="338" spans="1:39" ht="14.4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</row>
    <row r="339" spans="1:39" ht="14.4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</row>
    <row r="340" spans="1:39" ht="14.4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</row>
    <row r="341" spans="1:39" ht="14.4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</row>
    <row r="342" spans="1:39" ht="14.4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</row>
    <row r="343" spans="1:39" ht="14.4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</row>
    <row r="344" spans="1:39" ht="14.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</row>
    <row r="345" spans="1:39" ht="14.4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</row>
    <row r="346" spans="1:39" ht="14.4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</row>
    <row r="347" spans="1:39" ht="14.4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</row>
    <row r="348" spans="1:39" ht="14.4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</row>
    <row r="349" spans="1:39" ht="14.4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</row>
    <row r="350" spans="1:39" ht="14.4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</row>
    <row r="351" spans="1:39" ht="14.4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</row>
    <row r="352" spans="1:39" ht="14.4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</row>
    <row r="353" spans="1:39" ht="14.4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</row>
    <row r="354" spans="1:39" ht="14.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</row>
    <row r="355" spans="1:39" ht="14.4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</row>
    <row r="356" spans="1:39" ht="14.4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</row>
    <row r="357" spans="1:39" ht="14.4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</row>
    <row r="358" spans="1:39" ht="14.4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</row>
    <row r="359" spans="1:39" ht="14.4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</row>
    <row r="360" spans="1:39" ht="14.4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</row>
    <row r="361" spans="1:39" ht="14.4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</row>
    <row r="362" spans="1:39" ht="14.4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</row>
    <row r="363" spans="1:39" ht="14.4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</row>
    <row r="364" spans="1:39" ht="14.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</row>
    <row r="365" spans="1:39" ht="14.4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</row>
    <row r="366" spans="1:39" ht="14.4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</row>
    <row r="367" spans="1:39" ht="14.4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</row>
    <row r="368" spans="1:39" ht="14.4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</row>
    <row r="369" spans="1:39" ht="14.4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</row>
    <row r="370" spans="1:39" ht="14.4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</row>
    <row r="371" spans="1:39" ht="14.4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</row>
    <row r="372" spans="1:39" ht="14.4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</row>
    <row r="373" spans="1:39" ht="14.4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</row>
    <row r="374" spans="1:39" ht="14.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</row>
    <row r="375" spans="1:39" ht="14.4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</row>
    <row r="376" spans="1:39" ht="14.4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</row>
    <row r="377" spans="1:39" ht="14.4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</row>
    <row r="378" spans="1:39" ht="14.4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</row>
    <row r="379" spans="1:39" ht="14.4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</row>
    <row r="380" spans="1:39" ht="14.4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</row>
    <row r="381" spans="1:39" ht="14.4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</row>
    <row r="382" spans="1:39" ht="14.4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</row>
    <row r="383" spans="1:39" ht="14.4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</row>
    <row r="384" spans="1:39" ht="14.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</row>
    <row r="385" spans="1:39" ht="14.4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</row>
    <row r="386" spans="1:39" ht="14.4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</row>
    <row r="387" spans="1:39" ht="14.4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</row>
    <row r="388" spans="1:39" ht="14.4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</row>
    <row r="389" spans="1:39" ht="14.4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</row>
    <row r="390" spans="1:39" ht="14.4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</row>
    <row r="391" spans="1:39" ht="14.4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</row>
    <row r="392" spans="1:39" ht="14.4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</row>
    <row r="393" spans="1:39" ht="14.4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</row>
    <row r="394" spans="1:39" ht="14.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</row>
    <row r="395" spans="1:39" ht="14.4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</row>
    <row r="396" spans="1:39" ht="14.4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</row>
    <row r="397" spans="1:39" ht="14.4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</row>
    <row r="398" spans="1:39" ht="14.4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</row>
    <row r="399" spans="1:39" ht="14.4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</row>
    <row r="400" spans="1:39" ht="14.4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</row>
    <row r="401" spans="1:39" ht="14.4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</row>
    <row r="402" spans="1:39" ht="14.4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</row>
    <row r="403" spans="1:39" ht="14.4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</row>
    <row r="404" spans="1:39" ht="14.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</row>
    <row r="405" spans="1:39" ht="14.4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</row>
    <row r="406" spans="1:39" ht="14.4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</row>
    <row r="407" spans="1:39" ht="14.4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</row>
    <row r="408" spans="1:39" ht="14.4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</row>
    <row r="409" spans="1:39" ht="14.4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</row>
    <row r="410" spans="1:39" ht="14.4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</row>
    <row r="411" spans="1:39" ht="14.4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</row>
    <row r="412" spans="1:39" ht="14.4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</row>
    <row r="413" spans="1:39" ht="14.4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</row>
    <row r="414" spans="1:39" ht="14.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</row>
    <row r="415" spans="1:39" ht="14.4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</row>
    <row r="416" spans="1:39" ht="14.4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</row>
    <row r="417" spans="1:39" ht="14.4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</row>
    <row r="418" spans="1:39" ht="14.4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</row>
    <row r="419" spans="1:39" ht="14.4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</row>
    <row r="420" spans="1:39" ht="14.4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</row>
    <row r="421" spans="1:39" ht="14.4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</row>
    <row r="422" spans="1:39" ht="14.4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</row>
    <row r="423" spans="1:39" ht="14.4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</row>
    <row r="424" spans="1:39" ht="14.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</row>
    <row r="425" spans="1:39" ht="14.4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</row>
    <row r="426" spans="1:39" ht="14.4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</row>
    <row r="427" spans="1:39" ht="14.4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</row>
    <row r="428" spans="1:39" ht="14.4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</row>
    <row r="429" spans="1:39" ht="14.4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</row>
    <row r="430" spans="1:39" ht="14.4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</row>
    <row r="431" spans="1:39" ht="14.4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</row>
    <row r="432" spans="1:39" ht="14.4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</row>
    <row r="433" spans="1:39" ht="14.4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</row>
    <row r="434" spans="1:39" ht="14.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</row>
    <row r="435" spans="1:39" ht="14.4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</row>
    <row r="436" spans="1:39" ht="14.4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</row>
    <row r="437" spans="1:39" ht="14.4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</row>
    <row r="438" spans="1:39" ht="14.4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</row>
    <row r="439" spans="1:39" ht="14.4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</row>
    <row r="440" spans="1:39" ht="14.4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</row>
    <row r="441" spans="1:39" ht="14.4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</row>
    <row r="442" spans="1:39" ht="14.4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</row>
    <row r="443" spans="1:39" ht="14.4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</row>
    <row r="444" spans="1:39" ht="14.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</row>
    <row r="445" spans="1:39" ht="14.4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</row>
    <row r="446" spans="1:39" ht="14.4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</row>
    <row r="447" spans="1:39" ht="14.4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</row>
    <row r="448" spans="1:39" ht="14.4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</row>
    <row r="449" spans="1:39" ht="14.4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</row>
    <row r="450" spans="1:39" ht="14.4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</row>
    <row r="451" spans="1:39" ht="14.4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</row>
    <row r="452" spans="1:39" ht="14.4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</row>
    <row r="453" spans="1:39" ht="14.4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</row>
    <row r="454" spans="1:39" ht="14.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</row>
    <row r="455" spans="1:39" ht="14.4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</row>
    <row r="456" spans="1:39" ht="14.4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</row>
    <row r="457" spans="1:39" ht="14.4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</row>
    <row r="458" spans="1:39" ht="14.4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</row>
    <row r="459" spans="1:39" ht="14.4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</row>
    <row r="460" spans="1:39" ht="14.4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</row>
    <row r="461" spans="1:39" ht="14.4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</row>
    <row r="462" spans="1:39" ht="14.4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</row>
    <row r="463" spans="1:39" ht="14.4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</row>
    <row r="464" spans="1:39" ht="14.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</row>
    <row r="465" spans="1:39" ht="14.4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</row>
    <row r="466" spans="1:39" ht="14.4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</row>
    <row r="467" spans="1:39" ht="14.4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</row>
    <row r="468" spans="1:39" ht="14.4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</row>
    <row r="469" spans="1:39" ht="14.4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</row>
    <row r="470" spans="1:39" ht="14.4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</row>
    <row r="471" spans="1:39" ht="14.4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</row>
    <row r="472" spans="1:39" ht="14.4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</row>
    <row r="473" spans="1:39" ht="14.4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</row>
    <row r="474" spans="1:39" ht="14.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</row>
    <row r="475" spans="1:39" ht="14.4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</row>
    <row r="476" spans="1:39" ht="14.4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</row>
    <row r="477" spans="1:39" ht="14.4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</row>
    <row r="478" spans="1:39" ht="14.4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</row>
    <row r="479" spans="1:39" ht="14.4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</row>
    <row r="480" spans="1:39" ht="14.4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</row>
    <row r="481" spans="1:39" ht="14.4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</row>
    <row r="482" spans="1:39" ht="14.4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</row>
    <row r="483" spans="1:39" ht="14.4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</row>
    <row r="484" spans="1:39" ht="14.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</row>
    <row r="485" spans="1:39" ht="14.4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</row>
    <row r="486" spans="1:39" ht="14.4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</row>
    <row r="487" spans="1:39" ht="14.4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</row>
    <row r="488" spans="1:39" ht="14.4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</row>
    <row r="489" spans="1:39" ht="14.4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</row>
    <row r="490" spans="1:39" ht="14.4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</row>
    <row r="491" spans="1:39" ht="14.4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</row>
    <row r="492" spans="1:39" ht="14.4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</row>
    <row r="493" spans="1:39" ht="14.4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</row>
    <row r="494" spans="1:39" ht="14.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</row>
    <row r="495" spans="1:39" ht="14.4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</row>
    <row r="496" spans="1:39" ht="14.4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</row>
    <row r="497" spans="1:39" ht="14.4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</row>
    <row r="498" spans="1:39" ht="14.4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</row>
    <row r="499" spans="1:39" ht="14.4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</row>
    <row r="500" spans="1:39" ht="14.4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</row>
    <row r="501" spans="1:39" ht="14.4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</row>
    <row r="502" spans="1:39" ht="14.4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</row>
    <row r="503" spans="1:39" ht="14.4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</row>
    <row r="504" spans="1:39" ht="14.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</row>
    <row r="505" spans="1:39" ht="14.4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</row>
    <row r="506" spans="1:39" ht="14.4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</row>
    <row r="507" spans="1:39" ht="14.4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</row>
    <row r="508" spans="1:39" ht="14.4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</row>
    <row r="509" spans="1:39" ht="14.4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</row>
    <row r="510" spans="1:39" ht="14.4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</row>
    <row r="511" spans="1:39" ht="14.4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</row>
    <row r="512" spans="1:39" ht="14.4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</row>
    <row r="513" spans="1:39" ht="14.4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</row>
    <row r="514" spans="1:39" ht="14.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</row>
    <row r="515" spans="1:39" ht="14.4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</row>
    <row r="516" spans="1:39" ht="14.4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</row>
    <row r="517" spans="1:39" ht="14.4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</row>
    <row r="518" spans="1:39" ht="14.4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</row>
    <row r="519" spans="1:39" ht="14.4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</row>
    <row r="520" spans="1:39" ht="14.4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</row>
    <row r="521" spans="1:39" ht="14.4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</row>
    <row r="522" spans="1:39" ht="14.4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</row>
    <row r="523" spans="1:39" ht="14.4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</row>
    <row r="524" spans="1:39" ht="14.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</row>
    <row r="525" spans="1:39" ht="14.4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</row>
    <row r="526" spans="1:39" ht="14.4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</row>
    <row r="527" spans="1:39" ht="14.4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</row>
    <row r="528" spans="1:39" ht="14.4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</row>
    <row r="529" spans="1:39" ht="14.4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</row>
    <row r="530" spans="1:39" ht="14.4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</row>
    <row r="531" spans="1:39" ht="14.4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</row>
    <row r="532" spans="1:39" ht="14.4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</row>
    <row r="533" spans="1:39" ht="14.4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</row>
    <row r="534" spans="1:39" ht="14.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</row>
    <row r="535" spans="1:39" ht="14.4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</row>
    <row r="536" spans="1:39" ht="14.4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</row>
    <row r="537" spans="1:39" ht="14.4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</row>
    <row r="538" spans="1:39" ht="14.4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</row>
    <row r="539" spans="1:39" ht="14.4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</row>
    <row r="540" spans="1:39" ht="14.4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</row>
    <row r="541" spans="1:39" ht="14.4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</row>
    <row r="542" spans="1:39" ht="14.4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</row>
    <row r="543" spans="1:39" ht="14.4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</row>
    <row r="544" spans="1:39" ht="14.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</row>
    <row r="545" spans="1:39" ht="14.4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</row>
    <row r="546" spans="1:39" ht="14.4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</row>
    <row r="547" spans="1:39" ht="14.4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</row>
    <row r="548" spans="1:39" ht="14.4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</row>
    <row r="549" spans="1:39" ht="14.4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</row>
    <row r="550" spans="1:39" ht="14.4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</row>
    <row r="551" spans="1:39" ht="14.4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</row>
    <row r="552" spans="1:39" ht="14.4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</row>
    <row r="553" spans="1:39" ht="14.4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</row>
    <row r="554" spans="1:39" ht="14.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</row>
    <row r="555" spans="1:39" ht="14.4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</row>
    <row r="556" spans="1:39" ht="14.4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</row>
    <row r="557" spans="1:39" ht="14.4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</row>
    <row r="558" spans="1:39" ht="14.4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</row>
    <row r="559" spans="1:39" ht="14.4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</row>
    <row r="560" spans="1:39" ht="14.4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</row>
    <row r="561" spans="1:39" ht="14.4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</row>
    <row r="562" spans="1:39" ht="14.4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</row>
    <row r="563" spans="1:39" ht="14.4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</row>
    <row r="564" spans="1:39" ht="14.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</row>
    <row r="565" spans="1:39" ht="14.4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</row>
    <row r="566" spans="1:39" ht="14.4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</row>
    <row r="567" spans="1:39" ht="14.4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</row>
    <row r="568" spans="1:39" ht="14.4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</row>
    <row r="569" spans="1:39" ht="14.4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</row>
    <row r="570" spans="1:39" ht="14.4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</row>
    <row r="571" spans="1:39" ht="14.4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</row>
    <row r="572" spans="1:39" ht="14.4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</row>
    <row r="573" spans="1:39" ht="14.4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</row>
    <row r="574" spans="1:39" ht="14.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</row>
    <row r="575" spans="1:39" ht="14.4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</row>
    <row r="576" spans="1:39" ht="14.4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</row>
    <row r="577" spans="1:39" ht="14.4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</row>
    <row r="578" spans="1:39" ht="14.4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</row>
    <row r="579" spans="1:39" ht="14.4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</row>
    <row r="580" spans="1:39" ht="14.4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</row>
    <row r="581" spans="1:39" ht="14.4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</row>
    <row r="582" spans="1:39" ht="14.4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</row>
    <row r="583" spans="1:39" ht="14.4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</row>
    <row r="584" spans="1:39" ht="14.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</row>
    <row r="585" spans="1:39" ht="14.4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</row>
    <row r="586" spans="1:39" ht="14.4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</row>
    <row r="587" spans="1:39" ht="14.4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</row>
    <row r="588" spans="1:39" ht="14.4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</row>
    <row r="589" spans="1:39" ht="14.4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</row>
    <row r="590" spans="1:39" ht="14.4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</row>
    <row r="591" spans="1:39" ht="14.4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</row>
    <row r="592" spans="1:39" ht="14.4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</row>
    <row r="593" spans="1:39" ht="14.4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</row>
    <row r="594" spans="1:39" ht="14.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</row>
    <row r="595" spans="1:39" ht="14.4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</row>
    <row r="596" spans="1:39" ht="14.4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</row>
    <row r="597" spans="1:39" ht="14.4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</row>
    <row r="598" spans="1:39" ht="14.4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</row>
    <row r="599" spans="1:39" ht="14.4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</row>
    <row r="600" spans="1:39" ht="14.4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</row>
    <row r="601" spans="1:39" ht="14.4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</row>
    <row r="602" spans="1:39" ht="14.4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</row>
    <row r="603" spans="1:39" ht="14.4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</row>
    <row r="604" spans="1:39" ht="14.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</row>
    <row r="605" spans="1:39" ht="14.4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</row>
    <row r="606" spans="1:39" ht="14.4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</row>
    <row r="607" spans="1:39" ht="14.4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</row>
    <row r="608" spans="1:39" ht="14.4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</row>
    <row r="609" spans="1:39" ht="14.4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</row>
    <row r="610" spans="1:39" ht="14.4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</row>
    <row r="611" spans="1:39" ht="14.4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</row>
    <row r="612" spans="1:39" ht="14.4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</row>
    <row r="613" spans="1:39" ht="14.4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</row>
    <row r="614" spans="1:39" ht="14.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</row>
    <row r="615" spans="1:39" ht="14.4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</row>
    <row r="616" spans="1:39" ht="14.4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</row>
    <row r="617" spans="1:39" ht="14.4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</row>
    <row r="618" spans="1:39" ht="14.4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</row>
    <row r="619" spans="1:39" ht="14.4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</row>
    <row r="620" spans="1:39" ht="14.4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</row>
    <row r="621" spans="1:39" ht="14.4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</row>
    <row r="622" spans="1:39" ht="14.4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</row>
    <row r="623" spans="1:39" ht="14.4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</row>
    <row r="624" spans="1:39" ht="14.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</row>
    <row r="625" spans="1:39" ht="14.4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</row>
    <row r="626" spans="1:39" ht="14.4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</row>
    <row r="627" spans="1:39" ht="14.4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</row>
    <row r="628" spans="1:39" ht="14.4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</row>
    <row r="629" spans="1:39" ht="14.4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</row>
    <row r="630" spans="1:39" ht="14.4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</row>
    <row r="631" spans="1:39" ht="14.4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</row>
    <row r="632" spans="1:39" ht="14.4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</row>
    <row r="633" spans="1:39" ht="14.4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</row>
    <row r="634" spans="1:39" ht="14.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</row>
    <row r="635" spans="1:39" ht="14.4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</row>
    <row r="636" spans="1:39" ht="14.4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</row>
    <row r="637" spans="1:39" ht="14.4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</row>
    <row r="638" spans="1:39" ht="14.4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</row>
    <row r="639" spans="1:39" ht="14.4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</row>
    <row r="640" spans="1:39" ht="14.4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</row>
    <row r="641" spans="1:39" ht="14.4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</row>
    <row r="642" spans="1:39" ht="14.4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</row>
    <row r="643" spans="1:39" ht="14.4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</row>
    <row r="644" spans="1:39" ht="14.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</row>
    <row r="645" spans="1:39" ht="14.4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</row>
    <row r="646" spans="1:39" ht="14.4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</row>
    <row r="647" spans="1:39" ht="14.4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</row>
    <row r="648" spans="1:39" ht="14.4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</row>
    <row r="649" spans="1:39" ht="14.4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</row>
    <row r="650" spans="1:39" ht="14.4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</row>
    <row r="651" spans="1:39" ht="14.4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</row>
    <row r="652" spans="1:39" ht="14.4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</row>
    <row r="653" spans="1:39" ht="14.4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</row>
    <row r="654" spans="1:39" ht="14.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</row>
    <row r="655" spans="1:39" ht="14.4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</row>
    <row r="656" spans="1:39" ht="14.4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</row>
    <row r="657" spans="1:39" ht="14.4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</row>
    <row r="658" spans="1:39" ht="14.4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</row>
    <row r="659" spans="1:39" ht="14.4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</row>
    <row r="660" spans="1:39" ht="14.4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</row>
    <row r="661" spans="1:39" ht="14.4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</row>
    <row r="662" spans="1:39" ht="14.4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</row>
    <row r="663" spans="1:39" ht="14.4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</row>
    <row r="664" spans="1:39" ht="14.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</row>
    <row r="665" spans="1:39" ht="14.4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</row>
    <row r="666" spans="1:39" ht="14.4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</row>
    <row r="667" spans="1:39" ht="14.4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</row>
    <row r="668" spans="1:39" ht="14.4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</row>
    <row r="669" spans="1:39" ht="14.4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</row>
    <row r="670" spans="1:39" ht="14.4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</row>
    <row r="671" spans="1:39" ht="14.4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</row>
    <row r="672" spans="1:39" ht="14.4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</row>
    <row r="673" spans="1:39" ht="14.4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</row>
    <row r="674" spans="1:39" ht="14.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</row>
    <row r="675" spans="1:39" ht="14.4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</row>
    <row r="676" spans="1:39" ht="14.4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</row>
    <row r="677" spans="1:39" ht="14.4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</row>
    <row r="678" spans="1:39" ht="14.4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</row>
    <row r="679" spans="1:39" ht="14.4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</row>
    <row r="680" spans="1:39" ht="14.4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</row>
    <row r="681" spans="1:39" ht="14.4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</row>
    <row r="682" spans="1:39" ht="14.4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</row>
    <row r="683" spans="1:39" ht="14.4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</row>
    <row r="684" spans="1:39" ht="14.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</row>
    <row r="685" spans="1:39" ht="14.4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</row>
    <row r="686" spans="1:39" ht="14.4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</row>
    <row r="687" spans="1:39" ht="14.4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</row>
    <row r="688" spans="1:39" ht="14.4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</row>
    <row r="689" spans="1:39" ht="14.4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</row>
    <row r="690" spans="1:39" ht="14.4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</row>
    <row r="691" spans="1:39" ht="14.4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</row>
    <row r="692" spans="1:39" ht="14.4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</row>
    <row r="693" spans="1:39" ht="14.4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</row>
    <row r="694" spans="1:39" ht="14.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</row>
    <row r="695" spans="1:39" ht="14.4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</row>
    <row r="696" spans="1:39" ht="14.4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</row>
    <row r="697" spans="1:39" ht="14.4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</row>
    <row r="698" spans="1:39" ht="14.4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</row>
    <row r="699" spans="1:39" ht="14.4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</row>
    <row r="700" spans="1:39" ht="14.4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</row>
    <row r="701" spans="1:39" ht="14.4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</row>
    <row r="702" spans="1:39" ht="14.4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</row>
    <row r="703" spans="1:39" ht="14.4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</row>
    <row r="704" spans="1:39" ht="14.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</row>
    <row r="705" spans="1:39" ht="14.4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</row>
    <row r="706" spans="1:39" ht="14.4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</row>
    <row r="707" spans="1:39" ht="14.4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</row>
    <row r="708" spans="1:39" ht="14.4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</row>
    <row r="709" spans="1:39" ht="14.4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</row>
    <row r="710" spans="1:39" ht="14.4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</row>
    <row r="711" spans="1:39" ht="14.4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</row>
    <row r="712" spans="1:39" ht="14.4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</row>
    <row r="713" spans="1:39" ht="14.4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</row>
    <row r="714" spans="1:39" ht="14.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</row>
    <row r="715" spans="1:39" ht="14.4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</row>
    <row r="716" spans="1:39" ht="14.4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</row>
    <row r="717" spans="1:39" ht="14.4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</row>
    <row r="718" spans="1:39" ht="14.4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</row>
    <row r="719" spans="1:39" ht="14.4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</row>
    <row r="720" spans="1:39" ht="14.4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</row>
    <row r="721" spans="1:39" ht="14.4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</row>
    <row r="722" spans="1:39" ht="14.4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</row>
    <row r="723" spans="1:39" ht="14.4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</row>
    <row r="724" spans="1:39" ht="14.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</row>
    <row r="725" spans="1:39" ht="14.4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</row>
    <row r="726" spans="1:39" ht="14.4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</row>
    <row r="727" spans="1:39" ht="14.4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</row>
    <row r="728" spans="1:39" ht="14.4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</row>
    <row r="729" spans="1:39" ht="14.4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</row>
    <row r="730" spans="1:39" ht="14.4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</row>
    <row r="731" spans="1:39" ht="14.4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</row>
    <row r="732" spans="1:39" ht="14.4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</row>
    <row r="733" spans="1:39" ht="14.4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</row>
    <row r="734" spans="1:39" ht="14.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</row>
    <row r="735" spans="1:39" ht="14.4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</row>
    <row r="736" spans="1:39" ht="14.4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</row>
    <row r="737" spans="1:39" ht="14.4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</row>
    <row r="738" spans="1:39" ht="14.4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</row>
    <row r="739" spans="1:39" ht="14.4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</row>
    <row r="740" spans="1:39" ht="14.4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</row>
    <row r="741" spans="1:39" ht="14.4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</row>
    <row r="742" spans="1:39" ht="14.4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</row>
    <row r="743" spans="1:39" ht="14.4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</row>
    <row r="744" spans="1:39" ht="14.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</row>
    <row r="745" spans="1:39" ht="14.4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</row>
    <row r="746" spans="1:39" ht="14.4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</row>
    <row r="747" spans="1:39" ht="14.4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</row>
    <row r="748" spans="1:39" ht="14.4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</row>
    <row r="749" spans="1:39" ht="14.4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</row>
    <row r="750" spans="1:39" ht="14.4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</row>
    <row r="751" spans="1:39" ht="14.4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</row>
    <row r="752" spans="1:39" ht="14.4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</row>
    <row r="753" spans="1:39" ht="14.4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</row>
    <row r="754" spans="1:39" ht="14.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</row>
    <row r="755" spans="1:39" ht="14.4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</row>
    <row r="756" spans="1:39" ht="14.4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</row>
    <row r="757" spans="1:39" ht="14.4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</row>
    <row r="758" spans="1:39" ht="14.4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</row>
    <row r="759" spans="1:39" ht="14.4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</row>
    <row r="760" spans="1:39" ht="14.4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</row>
    <row r="761" spans="1:39" ht="14.4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</row>
    <row r="762" spans="1:39" ht="14.4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</row>
    <row r="763" spans="1:39" ht="14.4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</row>
    <row r="764" spans="1:39" ht="14.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</row>
    <row r="765" spans="1:39" ht="14.4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</row>
    <row r="766" spans="1:39" ht="14.4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</row>
    <row r="767" spans="1:39" ht="14.4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</row>
    <row r="768" spans="1:39" ht="14.4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</row>
    <row r="769" spans="1:39" ht="14.4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</row>
    <row r="770" spans="1:39" ht="14.4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</row>
    <row r="771" spans="1:39" ht="14.4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</row>
    <row r="772" spans="1:39" ht="14.4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</row>
    <row r="773" spans="1:39" ht="14.4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</row>
    <row r="774" spans="1:39" ht="14.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</row>
    <row r="775" spans="1:39" ht="14.4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</row>
    <row r="776" spans="1:39" ht="14.4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</row>
    <row r="777" spans="1:39" ht="14.4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</row>
    <row r="778" spans="1:39" ht="14.4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</row>
    <row r="779" spans="1:39" ht="14.4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</row>
    <row r="780" spans="1:39" ht="14.4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</row>
    <row r="781" spans="1:39" ht="14.4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</row>
    <row r="782" spans="1:39" ht="14.4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</row>
    <row r="783" spans="1:39" ht="14.4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</row>
    <row r="784" spans="1:39" ht="14.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</row>
    <row r="785" spans="1:39" ht="14.4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</row>
    <row r="786" spans="1:39" ht="14.4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</row>
    <row r="787" spans="1:39" ht="14.4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</row>
    <row r="788" spans="1:39" ht="14.4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</row>
    <row r="789" spans="1:39" ht="14.4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</row>
    <row r="790" spans="1:39" ht="14.4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</row>
    <row r="791" spans="1:39" ht="14.4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</row>
    <row r="792" spans="1:39" ht="14.4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</row>
    <row r="793" spans="1:39" ht="14.4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</row>
    <row r="794" spans="1:39" ht="14.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</row>
    <row r="795" spans="1:39" ht="14.4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</row>
    <row r="796" spans="1:39" ht="14.4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</row>
    <row r="797" spans="1:39" ht="14.4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</row>
    <row r="798" spans="1:39" ht="14.4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</row>
    <row r="799" spans="1:39" ht="14.4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</row>
    <row r="800" spans="1:39" ht="14.4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</row>
    <row r="801" spans="1:39" ht="14.4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</row>
    <row r="802" spans="1:39" ht="14.4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</row>
    <row r="803" spans="1:39" ht="14.4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</row>
    <row r="804" spans="1:39" ht="14.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</row>
    <row r="805" spans="1:39" ht="14.4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</row>
    <row r="806" spans="1:39" ht="14.4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</row>
    <row r="807" spans="1:39" ht="14.4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</row>
    <row r="808" spans="1:39" ht="14.4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</row>
    <row r="809" spans="1:39" ht="14.4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</row>
    <row r="810" spans="1:39" ht="14.4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</row>
    <row r="811" spans="1:39" ht="14.4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</row>
    <row r="812" spans="1:39" ht="14.4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</row>
    <row r="813" spans="1:39" ht="14.4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</row>
    <row r="814" spans="1:39" ht="14.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</row>
    <row r="815" spans="1:39" ht="14.4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</row>
    <row r="816" spans="1:39" ht="14.4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</row>
    <row r="817" spans="1:39" ht="14.4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</row>
    <row r="818" spans="1:39" ht="14.4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</row>
    <row r="819" spans="1:39" ht="14.4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</row>
    <row r="820" spans="1:39" ht="14.4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</row>
    <row r="821" spans="1:39" ht="14.4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</row>
    <row r="822" spans="1:39" ht="14.4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</row>
    <row r="823" spans="1:39" ht="14.4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</row>
    <row r="824" spans="1:39" ht="14.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</row>
    <row r="825" spans="1:39" ht="14.4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</row>
    <row r="826" spans="1:39" ht="14.4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</row>
    <row r="827" spans="1:39" ht="14.4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</row>
    <row r="828" spans="1:39" ht="14.4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</row>
    <row r="829" spans="1:39" ht="14.4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</row>
    <row r="830" spans="1:39" ht="14.4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</row>
    <row r="831" spans="1:39" ht="14.4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</row>
    <row r="832" spans="1:39" ht="14.4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</row>
    <row r="833" spans="1:39" ht="14.4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</row>
    <row r="834" spans="1:39" ht="14.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</row>
    <row r="835" spans="1:39" ht="14.4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</row>
    <row r="836" spans="1:39" ht="14.4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</row>
    <row r="837" spans="1:39" ht="14.4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</row>
    <row r="838" spans="1:39" ht="14.4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</row>
    <row r="839" spans="1:39" ht="14.4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</row>
    <row r="840" spans="1:39" ht="14.4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</row>
    <row r="841" spans="1:39" ht="14.4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</row>
    <row r="842" spans="1:39" ht="14.4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</row>
    <row r="843" spans="1:39" ht="14.4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</row>
    <row r="844" spans="1:39" ht="14.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</row>
    <row r="845" spans="1:39" ht="14.4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</row>
    <row r="846" spans="1:39" ht="14.4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</row>
    <row r="847" spans="1:39" ht="14.4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</row>
    <row r="848" spans="1:39" ht="14.4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</row>
    <row r="849" spans="1:39" ht="14.4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</row>
    <row r="850" spans="1:39" ht="14.4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</row>
    <row r="851" spans="1:39" ht="14.4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</row>
    <row r="852" spans="1:39" ht="14.4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</row>
    <row r="853" spans="1:39" ht="14.4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</row>
    <row r="854" spans="1:39" ht="14.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</row>
    <row r="855" spans="1:39" ht="14.4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</row>
    <row r="856" spans="1:39" ht="14.4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</row>
    <row r="857" spans="1:39" ht="14.4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</row>
    <row r="858" spans="1:39" ht="14.4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</row>
    <row r="859" spans="1:39" ht="14.4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</row>
    <row r="860" spans="1:39" ht="14.4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</row>
    <row r="861" spans="1:39" ht="14.4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</row>
    <row r="862" spans="1:39" ht="14.4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</row>
    <row r="863" spans="1:39" ht="14.4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</row>
    <row r="864" spans="1:39" ht="14.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</row>
    <row r="865" spans="1:39" ht="14.4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</row>
    <row r="866" spans="1:39" ht="14.4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</row>
    <row r="867" spans="1:39" ht="14.4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</row>
    <row r="868" spans="1:39" ht="14.4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</row>
    <row r="869" spans="1:39" ht="14.4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</row>
    <row r="870" spans="1:39" ht="14.4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</row>
    <row r="871" spans="1:39" ht="14.4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</row>
    <row r="872" spans="1:39" ht="14.4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</row>
    <row r="873" spans="1:39" ht="14.4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</row>
    <row r="874" spans="1:39" ht="14.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</row>
    <row r="875" spans="1:39" ht="14.4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</row>
    <row r="876" spans="1:39" ht="14.4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</row>
    <row r="877" spans="1:39" ht="14.4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</row>
    <row r="878" spans="1:39" ht="14.4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</row>
    <row r="879" spans="1:39" ht="14.4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</row>
    <row r="880" spans="1:39" ht="14.4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</row>
    <row r="881" spans="1:39" ht="14.4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</row>
    <row r="882" spans="1:39" ht="14.4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</row>
    <row r="883" spans="1:39" ht="14.4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</row>
    <row r="884" spans="1:39" ht="14.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</row>
    <row r="885" spans="1:39" ht="14.4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</row>
    <row r="886" spans="1:39" ht="14.4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</row>
    <row r="887" spans="1:39" ht="14.4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</row>
    <row r="888" spans="1:39" ht="14.4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</row>
    <row r="889" spans="1:39" ht="14.4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</row>
    <row r="890" spans="1:39" ht="14.4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</row>
    <row r="891" spans="1:39" ht="14.4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</row>
    <row r="892" spans="1:39" ht="14.4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</row>
    <row r="893" spans="1:39" ht="14.4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</row>
    <row r="894" spans="1:39" ht="14.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</row>
    <row r="895" spans="1:39" ht="14.4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</row>
    <row r="896" spans="1:39" ht="14.4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</row>
    <row r="897" spans="1:39" ht="14.4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</row>
    <row r="898" spans="1:39" ht="14.4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</row>
    <row r="899" spans="1:39" ht="14.4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</row>
    <row r="900" spans="1:39" ht="14.4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</row>
    <row r="901" spans="1:39" ht="14.4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</row>
    <row r="902" spans="1:39" ht="14.4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</row>
    <row r="903" spans="1:39" ht="14.4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</row>
    <row r="904" spans="1:39" ht="14.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</row>
    <row r="905" spans="1:39" ht="14.4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</row>
    <row r="906" spans="1:39" ht="14.4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</row>
    <row r="907" spans="1:39" ht="14.4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</row>
    <row r="908" spans="1:39" ht="14.4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</row>
    <row r="909" spans="1:39" ht="14.4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</row>
    <row r="910" spans="1:39" ht="14.4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</row>
    <row r="911" spans="1:39" ht="14.4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</row>
    <row r="912" spans="1:39" ht="14.4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</row>
    <row r="913" spans="1:39" ht="14.4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</row>
    <row r="914" spans="1:39" ht="14.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</row>
    <row r="915" spans="1:39" ht="14.4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</row>
    <row r="916" spans="1:39" ht="14.4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</row>
    <row r="917" spans="1:39" ht="14.4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</row>
    <row r="918" spans="1:39" ht="14.4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</row>
    <row r="919" spans="1:39" ht="14.4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</row>
    <row r="920" spans="1:39" ht="14.4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</row>
    <row r="921" spans="1:39" ht="14.4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</row>
    <row r="922" spans="1:39" ht="14.4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</row>
    <row r="923" spans="1:39" ht="14.4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</row>
    <row r="924" spans="1:39" ht="14.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</row>
    <row r="925" spans="1:39" ht="14.4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</row>
    <row r="926" spans="1:39" ht="14.4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</row>
    <row r="927" spans="1:39" ht="14.4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</row>
    <row r="928" spans="1:39" ht="14.4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</row>
    <row r="929" spans="1:39" ht="14.4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</row>
    <row r="930" spans="1:39" ht="14.4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</row>
    <row r="931" spans="1:39" ht="14.4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</row>
    <row r="932" spans="1:39" ht="14.4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</row>
    <row r="933" spans="1:39" ht="14.4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</row>
    <row r="934" spans="1:39" ht="14.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</row>
    <row r="935" spans="1:39" ht="14.4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</row>
    <row r="936" spans="1:39" ht="14.4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</row>
    <row r="937" spans="1:39" ht="14.4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</row>
    <row r="938" spans="1:39" ht="14.4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</row>
    <row r="939" spans="1:39" ht="14.4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</row>
    <row r="940" spans="1:39" ht="14.4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</row>
    <row r="941" spans="1:39" ht="14.4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</row>
    <row r="942" spans="1:39" ht="14.4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</row>
    <row r="943" spans="1:39" ht="14.4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</row>
    <row r="944" spans="1:39" ht="14.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</row>
    <row r="945" spans="1:39" ht="14.4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</row>
    <row r="946" spans="1:39" ht="14.4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</row>
    <row r="947" spans="1:39" ht="14.4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</row>
    <row r="948" spans="1:39" ht="14.4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</row>
    <row r="949" spans="1:39" ht="14.4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</row>
    <row r="950" spans="1:39" ht="14.4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</row>
    <row r="951" spans="1:39" ht="14.4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</row>
    <row r="952" spans="1:39" ht="14.4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</row>
    <row r="953" spans="1:39" ht="14.4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</row>
    <row r="954" spans="1:39" ht="14.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</row>
    <row r="955" spans="1:39" ht="14.4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</row>
    <row r="956" spans="1:39" ht="14.4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</row>
    <row r="957" spans="1:39" ht="14.4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</row>
    <row r="958" spans="1:39" ht="14.4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</row>
    <row r="959" spans="1:39" ht="14.4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</row>
    <row r="960" spans="1:39" ht="14.4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</row>
    <row r="961" spans="1:39" ht="14.4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</row>
    <row r="962" spans="1:39" ht="14.4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</row>
    <row r="963" spans="1:39" ht="14.4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</row>
    <row r="964" spans="1:39" ht="14.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</row>
    <row r="965" spans="1:39" ht="14.4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</row>
    <row r="966" spans="1:39" ht="14.4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</row>
    <row r="967" spans="1:39" ht="14.4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</row>
    <row r="968" spans="1:39" ht="14.4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</row>
    <row r="969" spans="1:39" ht="14.4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</row>
    <row r="970" spans="1:39" ht="14.4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</row>
    <row r="971" spans="1:39" ht="14.4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</row>
    <row r="972" spans="1:39" ht="14.4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</row>
    <row r="973" spans="1:39" ht="14.4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</row>
    <row r="974" spans="1:39" ht="14.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</row>
    <row r="975" spans="1:39" ht="14.4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</row>
    <row r="976" spans="1:39" ht="14.4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</row>
    <row r="977" spans="1:39" ht="14.4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</row>
    <row r="978" spans="1:39" ht="14.4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</row>
    <row r="979" spans="1:39" ht="14.4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</row>
    <row r="980" spans="1:39" ht="14.4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</row>
    <row r="981" spans="1:39" ht="14.4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</row>
    <row r="982" spans="1:39" ht="14.4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</row>
    <row r="983" spans="1:39" ht="14.4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</row>
    <row r="984" spans="1:39" ht="14.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</row>
    <row r="985" spans="1:39" ht="14.4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</row>
    <row r="986" spans="1:39" ht="14.4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</row>
    <row r="987" spans="1:39" ht="14.4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</row>
    <row r="988" spans="1:39" ht="14.4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</row>
    <row r="989" spans="1:39" ht="14.4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</row>
    <row r="990" spans="1:39" ht="14.4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</row>
    <row r="991" spans="1:39" ht="14.4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</row>
    <row r="992" spans="1:39" ht="14.4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</row>
    <row r="993" spans="1:39" ht="14.4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</row>
    <row r="994" spans="1:39" ht="14.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</row>
    <row r="995" spans="1:39" ht="14.4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</row>
    <row r="996" spans="1:39" ht="14.4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</row>
    <row r="997" spans="1:39" ht="14.4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</row>
    <row r="998" spans="1:39" ht="14.4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</row>
    <row r="999" spans="1:39" ht="14.4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</row>
    <row r="1000" spans="1:39" ht="14.4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</row>
  </sheetData>
  <mergeCells count="4">
    <mergeCell ref="A1:Q1"/>
    <mergeCell ref="P6:R6"/>
    <mergeCell ref="A10:Q10"/>
    <mergeCell ref="A25:Q2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showGridLines="0" workbookViewId="0">
      <selection sqref="A1:XFD1"/>
    </sheetView>
  </sheetViews>
  <sheetFormatPr defaultColWidth="14.44140625" defaultRowHeight="15" customHeight="1"/>
  <cols>
    <col min="1" max="1" width="5" customWidth="1"/>
    <col min="2" max="2" width="5.44140625" customWidth="1"/>
  </cols>
  <sheetData>
    <row r="1" spans="1:26" ht="20.399999999999999">
      <c r="A1" s="132" t="s">
        <v>91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4"/>
      <c r="R1" s="3"/>
      <c r="S1" s="3"/>
      <c r="T1" s="3"/>
      <c r="U1" s="3"/>
      <c r="V1" s="3"/>
      <c r="W1" s="3"/>
      <c r="X1" s="3"/>
      <c r="Y1" s="3"/>
      <c r="Z1" s="3"/>
    </row>
    <row r="2" spans="1:26">
      <c r="A2" s="5" t="s">
        <v>55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7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>
      <c r="A5" s="4"/>
      <c r="B5" s="5" t="s">
        <v>5</v>
      </c>
      <c r="C5" s="5" t="s">
        <v>56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4"/>
      <c r="B6" s="5" t="s">
        <v>5</v>
      </c>
      <c r="C6" s="5" t="s">
        <v>8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138" t="s">
        <v>11</v>
      </c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4"/>
      <c r="R8" s="3"/>
      <c r="S8" s="3"/>
      <c r="T8" s="3"/>
      <c r="U8" s="3"/>
      <c r="V8" s="3"/>
      <c r="W8" s="3"/>
      <c r="X8" s="3"/>
      <c r="Y8" s="3"/>
      <c r="Z8" s="3"/>
    </row>
    <row r="9" spans="1:26">
      <c r="A9" s="4"/>
      <c r="B9" s="4"/>
      <c r="C9" s="4"/>
      <c r="D9" s="14" t="s">
        <v>57</v>
      </c>
      <c r="E9" s="15" t="s">
        <v>58</v>
      </c>
      <c r="F9" s="15" t="s">
        <v>59</v>
      </c>
      <c r="G9" s="15" t="s">
        <v>60</v>
      </c>
      <c r="H9" s="15" t="s">
        <v>61</v>
      </c>
      <c r="I9" s="15" t="s">
        <v>62</v>
      </c>
      <c r="J9" s="15" t="s">
        <v>63</v>
      </c>
      <c r="K9" s="15" t="s">
        <v>64</v>
      </c>
      <c r="L9" s="15" t="s">
        <v>65</v>
      </c>
      <c r="M9" s="15" t="s">
        <v>66</v>
      </c>
      <c r="N9" s="15" t="s">
        <v>67</v>
      </c>
      <c r="O9" s="15" t="s">
        <v>68</v>
      </c>
      <c r="P9" s="15" t="s">
        <v>69</v>
      </c>
      <c r="Q9" s="15" t="s">
        <v>70</v>
      </c>
      <c r="R9" s="4"/>
      <c r="S9" s="4"/>
      <c r="T9" s="4"/>
      <c r="U9" s="4"/>
      <c r="V9" s="4"/>
      <c r="W9" s="4"/>
      <c r="X9" s="4"/>
      <c r="Y9" s="4"/>
      <c r="Z9" s="4"/>
    </row>
    <row r="10" spans="1:26">
      <c r="A10" s="4"/>
      <c r="B10" s="4"/>
      <c r="C10" s="16">
        <v>1</v>
      </c>
      <c r="D10" s="17" t="s">
        <v>71</v>
      </c>
      <c r="E10" s="19">
        <v>24</v>
      </c>
      <c r="F10" s="19">
        <v>2</v>
      </c>
      <c r="G10" s="19">
        <v>3</v>
      </c>
      <c r="H10" s="19">
        <v>3</v>
      </c>
      <c r="I10" s="19">
        <v>3</v>
      </c>
      <c r="J10" s="19">
        <v>4</v>
      </c>
      <c r="K10" s="19">
        <v>4</v>
      </c>
      <c r="L10" s="19">
        <v>5</v>
      </c>
      <c r="M10" s="19">
        <v>5</v>
      </c>
      <c r="N10" s="19">
        <v>5</v>
      </c>
      <c r="O10" s="19">
        <v>6</v>
      </c>
      <c r="P10" s="19">
        <v>6</v>
      </c>
      <c r="Q10" s="19">
        <v>7</v>
      </c>
      <c r="R10" s="5" t="s">
        <v>72</v>
      </c>
      <c r="S10" s="4"/>
      <c r="T10" s="4"/>
      <c r="U10" s="4"/>
      <c r="V10" s="4"/>
      <c r="W10" s="4"/>
      <c r="X10" s="4"/>
      <c r="Y10" s="4"/>
      <c r="Z10" s="4"/>
    </row>
    <row r="11" spans="1:26">
      <c r="A11" s="4"/>
      <c r="B11" s="4"/>
      <c r="C11" s="16">
        <f t="shared" ref="C11:C21" si="0">C10+1</f>
        <v>2</v>
      </c>
      <c r="D11" s="17" t="s">
        <v>73</v>
      </c>
      <c r="E11" s="19">
        <v>26</v>
      </c>
      <c r="F11" s="19">
        <v>4</v>
      </c>
      <c r="G11" s="19">
        <v>4</v>
      </c>
      <c r="H11" s="19">
        <v>5</v>
      </c>
      <c r="I11" s="19">
        <v>6</v>
      </c>
      <c r="J11" s="19">
        <v>7</v>
      </c>
      <c r="K11" s="19">
        <v>9</v>
      </c>
      <c r="L11" s="19">
        <v>12</v>
      </c>
      <c r="M11" s="19">
        <v>12</v>
      </c>
      <c r="N11" s="19">
        <v>15</v>
      </c>
      <c r="O11" s="19">
        <v>16</v>
      </c>
      <c r="P11" s="19">
        <v>8</v>
      </c>
      <c r="Q11" s="20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4"/>
      <c r="B12" s="4"/>
      <c r="C12" s="16">
        <f t="shared" si="0"/>
        <v>3</v>
      </c>
      <c r="D12" s="17" t="s">
        <v>74</v>
      </c>
      <c r="E12" s="19">
        <v>29</v>
      </c>
      <c r="F12" s="19">
        <v>2</v>
      </c>
      <c r="G12" s="19">
        <v>3</v>
      </c>
      <c r="H12" s="19">
        <v>4</v>
      </c>
      <c r="I12" s="19">
        <v>5</v>
      </c>
      <c r="J12" s="19">
        <v>7</v>
      </c>
      <c r="K12" s="19">
        <v>8</v>
      </c>
      <c r="L12" s="19">
        <v>10</v>
      </c>
      <c r="M12" s="19">
        <v>10</v>
      </c>
      <c r="N12" s="19">
        <v>11</v>
      </c>
      <c r="O12" s="19">
        <v>12</v>
      </c>
      <c r="P12" s="20"/>
      <c r="Q12" s="20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4"/>
      <c r="B13" s="4"/>
      <c r="C13" s="16">
        <f t="shared" si="0"/>
        <v>4</v>
      </c>
      <c r="D13" s="17" t="s">
        <v>75</v>
      </c>
      <c r="E13" s="19">
        <v>38</v>
      </c>
      <c r="F13" s="19">
        <v>2</v>
      </c>
      <c r="G13" s="19">
        <v>3</v>
      </c>
      <c r="H13" s="19">
        <v>4</v>
      </c>
      <c r="I13" s="19">
        <v>5</v>
      </c>
      <c r="J13" s="19">
        <v>7</v>
      </c>
      <c r="K13" s="19">
        <v>8</v>
      </c>
      <c r="L13" s="19">
        <v>10</v>
      </c>
      <c r="M13" s="19">
        <v>10</v>
      </c>
      <c r="N13" s="19">
        <v>25</v>
      </c>
      <c r="O13" s="20"/>
      <c r="P13" s="20"/>
      <c r="Q13" s="20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4"/>
      <c r="B14" s="4"/>
      <c r="C14" s="16">
        <f t="shared" si="0"/>
        <v>5</v>
      </c>
      <c r="D14" s="17" t="s">
        <v>76</v>
      </c>
      <c r="E14" s="19">
        <v>46</v>
      </c>
      <c r="F14" s="19">
        <v>2</v>
      </c>
      <c r="G14" s="19">
        <v>17</v>
      </c>
      <c r="H14" s="19">
        <v>20</v>
      </c>
      <c r="I14" s="19">
        <v>22</v>
      </c>
      <c r="J14" s="19">
        <v>25</v>
      </c>
      <c r="K14" s="19">
        <v>27</v>
      </c>
      <c r="L14" s="19">
        <v>28</v>
      </c>
      <c r="M14" s="19">
        <v>30</v>
      </c>
      <c r="N14" s="20"/>
      <c r="O14" s="20"/>
      <c r="P14" s="20"/>
      <c r="Q14" s="20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4"/>
      <c r="B15" s="4"/>
      <c r="C15" s="16">
        <f t="shared" si="0"/>
        <v>6</v>
      </c>
      <c r="D15" s="17" t="s">
        <v>77</v>
      </c>
      <c r="E15" s="19">
        <v>41</v>
      </c>
      <c r="F15" s="19">
        <v>5</v>
      </c>
      <c r="G15" s="19">
        <v>15</v>
      </c>
      <c r="H15" s="19">
        <v>16</v>
      </c>
      <c r="I15" s="19">
        <v>22</v>
      </c>
      <c r="J15" s="19">
        <v>26</v>
      </c>
      <c r="K15" s="19">
        <v>27</v>
      </c>
      <c r="L15" s="19">
        <v>30</v>
      </c>
      <c r="M15" s="20"/>
      <c r="N15" s="20"/>
      <c r="O15" s="20"/>
      <c r="P15" s="20"/>
      <c r="Q15" s="20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4"/>
      <c r="B16" s="4"/>
      <c r="C16" s="16">
        <f t="shared" si="0"/>
        <v>7</v>
      </c>
      <c r="D16" s="17" t="s">
        <v>78</v>
      </c>
      <c r="E16" s="19">
        <v>37</v>
      </c>
      <c r="F16" s="19">
        <v>2</v>
      </c>
      <c r="G16" s="19">
        <v>3</v>
      </c>
      <c r="H16" s="19">
        <v>4</v>
      </c>
      <c r="I16" s="19">
        <v>5</v>
      </c>
      <c r="J16" s="19">
        <v>7</v>
      </c>
      <c r="K16" s="19">
        <v>28</v>
      </c>
      <c r="L16" s="20"/>
      <c r="M16" s="20"/>
      <c r="N16" s="20"/>
      <c r="O16" s="20"/>
      <c r="P16" s="20"/>
      <c r="Q16" s="20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4"/>
      <c r="B17" s="4"/>
      <c r="C17" s="16">
        <f t="shared" si="0"/>
        <v>8</v>
      </c>
      <c r="D17" s="17" t="s">
        <v>79</v>
      </c>
      <c r="E17" s="19">
        <v>39</v>
      </c>
      <c r="F17" s="19">
        <v>2</v>
      </c>
      <c r="G17" s="19">
        <v>3</v>
      </c>
      <c r="H17" s="19">
        <v>4</v>
      </c>
      <c r="I17" s="19">
        <v>5</v>
      </c>
      <c r="J17" s="19">
        <v>32</v>
      </c>
      <c r="K17" s="20"/>
      <c r="L17" s="20"/>
      <c r="M17" s="20"/>
      <c r="N17" s="20"/>
      <c r="O17" s="20"/>
      <c r="P17" s="20"/>
      <c r="Q17" s="20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4"/>
      <c r="B18" s="4"/>
      <c r="C18" s="16">
        <f t="shared" si="0"/>
        <v>9</v>
      </c>
      <c r="D18" s="17" t="s">
        <v>80</v>
      </c>
      <c r="E18" s="19">
        <v>50</v>
      </c>
      <c r="F18" s="19">
        <v>2</v>
      </c>
      <c r="G18" s="19">
        <v>28</v>
      </c>
      <c r="H18" s="19">
        <v>36</v>
      </c>
      <c r="I18" s="19">
        <v>45</v>
      </c>
      <c r="J18" s="20"/>
      <c r="K18" s="20"/>
      <c r="L18" s="20"/>
      <c r="M18" s="20"/>
      <c r="N18" s="20"/>
      <c r="O18" s="20"/>
      <c r="P18" s="20"/>
      <c r="Q18" s="20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4"/>
      <c r="B19" s="4"/>
      <c r="C19" s="16">
        <f t="shared" si="0"/>
        <v>10</v>
      </c>
      <c r="D19" s="17" t="s">
        <v>81</v>
      </c>
      <c r="E19" s="19">
        <v>55</v>
      </c>
      <c r="F19" s="19">
        <v>2</v>
      </c>
      <c r="G19" s="19">
        <v>30</v>
      </c>
      <c r="H19" s="19">
        <v>38</v>
      </c>
      <c r="I19" s="20"/>
      <c r="J19" s="20"/>
      <c r="K19" s="20"/>
      <c r="L19" s="20"/>
      <c r="M19" s="20"/>
      <c r="N19" s="20"/>
      <c r="O19" s="20"/>
      <c r="P19" s="20"/>
      <c r="Q19" s="20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4"/>
      <c r="B20" s="4"/>
      <c r="C20" s="16">
        <f t="shared" si="0"/>
        <v>11</v>
      </c>
      <c r="D20" s="17" t="s">
        <v>82</v>
      </c>
      <c r="E20" s="19">
        <v>48</v>
      </c>
      <c r="F20" s="19">
        <v>5</v>
      </c>
      <c r="G20" s="19">
        <v>36</v>
      </c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4"/>
      <c r="B21" s="4"/>
      <c r="C21" s="16">
        <f t="shared" si="0"/>
        <v>12</v>
      </c>
      <c r="D21" s="17" t="s">
        <v>83</v>
      </c>
      <c r="E21" s="19">
        <v>49</v>
      </c>
      <c r="F21" s="19">
        <v>5</v>
      </c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138" t="s">
        <v>47</v>
      </c>
      <c r="B24" s="133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4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4"/>
      <c r="B25" s="4"/>
      <c r="C25" s="4"/>
      <c r="D25" s="4"/>
      <c r="E25" s="15" t="str">
        <f t="shared" ref="E25:Q25" si="1">E9</f>
        <v>Quarter 0</v>
      </c>
      <c r="F25" s="15" t="str">
        <f t="shared" si="1"/>
        <v>Quarter 1</v>
      </c>
      <c r="G25" s="15" t="str">
        <f t="shared" si="1"/>
        <v>Quarter 2</v>
      </c>
      <c r="H25" s="15" t="str">
        <f t="shared" si="1"/>
        <v>Quarter 3</v>
      </c>
      <c r="I25" s="15" t="str">
        <f t="shared" si="1"/>
        <v>Quarter 4</v>
      </c>
      <c r="J25" s="15" t="str">
        <f t="shared" si="1"/>
        <v>Quarter 5</v>
      </c>
      <c r="K25" s="15" t="str">
        <f t="shared" si="1"/>
        <v>Quarter 6</v>
      </c>
      <c r="L25" s="15" t="str">
        <f t="shared" si="1"/>
        <v>Quarter 7</v>
      </c>
      <c r="M25" s="15" t="str">
        <f t="shared" si="1"/>
        <v>Quarter 8</v>
      </c>
      <c r="N25" s="15" t="str">
        <f t="shared" si="1"/>
        <v>Quarter 9</v>
      </c>
      <c r="O25" s="15" t="str">
        <f t="shared" si="1"/>
        <v>Quarter 10</v>
      </c>
      <c r="P25" s="15" t="str">
        <f t="shared" si="1"/>
        <v>Quarter 11</v>
      </c>
      <c r="Q25" s="15" t="str">
        <f t="shared" si="1"/>
        <v>Quarter 12</v>
      </c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4"/>
      <c r="B26" s="4"/>
      <c r="C26" s="16">
        <f t="shared" ref="C26:E26" si="2">C10</f>
        <v>1</v>
      </c>
      <c r="D26" s="21" t="str">
        <f t="shared" si="2"/>
        <v>Q1 2021</v>
      </c>
      <c r="E26" s="37">
        <f t="shared" si="2"/>
        <v>24</v>
      </c>
      <c r="F26" s="38">
        <f t="shared" ref="F26:Q26" si="3">F10/$E26</f>
        <v>8.3333333333333329E-2</v>
      </c>
      <c r="G26" s="39">
        <f t="shared" si="3"/>
        <v>0.125</v>
      </c>
      <c r="H26" s="39">
        <f t="shared" si="3"/>
        <v>0.125</v>
      </c>
      <c r="I26" s="39">
        <f t="shared" si="3"/>
        <v>0.125</v>
      </c>
      <c r="J26" s="40">
        <f t="shared" si="3"/>
        <v>0.16666666666666666</v>
      </c>
      <c r="K26" s="40">
        <f t="shared" si="3"/>
        <v>0.16666666666666666</v>
      </c>
      <c r="L26" s="41">
        <f t="shared" si="3"/>
        <v>0.20833333333333334</v>
      </c>
      <c r="M26" s="41">
        <f t="shared" si="3"/>
        <v>0.20833333333333334</v>
      </c>
      <c r="N26" s="41">
        <f t="shared" si="3"/>
        <v>0.20833333333333334</v>
      </c>
      <c r="O26" s="42">
        <f t="shared" si="3"/>
        <v>0.25</v>
      </c>
      <c r="P26" s="42">
        <f t="shared" si="3"/>
        <v>0.25</v>
      </c>
      <c r="Q26" s="43">
        <f t="shared" si="3"/>
        <v>0.29166666666666669</v>
      </c>
      <c r="R26" s="5" t="s">
        <v>84</v>
      </c>
      <c r="S26" s="4"/>
      <c r="T26" s="4"/>
      <c r="U26" s="4"/>
      <c r="V26" s="4"/>
      <c r="W26" s="4"/>
      <c r="X26" s="4"/>
      <c r="Y26" s="4"/>
      <c r="Z26" s="4"/>
    </row>
    <row r="27" spans="1:26">
      <c r="A27" s="4"/>
      <c r="B27" s="4"/>
      <c r="C27" s="16">
        <f t="shared" ref="C27:E27" si="4">C11</f>
        <v>2</v>
      </c>
      <c r="D27" s="21" t="str">
        <f t="shared" si="4"/>
        <v>Q2 2021</v>
      </c>
      <c r="E27" s="37">
        <f t="shared" si="4"/>
        <v>26</v>
      </c>
      <c r="F27" s="44">
        <f t="shared" ref="F27:P27" si="5">F11/$E27</f>
        <v>0.15384615384615385</v>
      </c>
      <c r="G27" s="44">
        <f t="shared" si="5"/>
        <v>0.15384615384615385</v>
      </c>
      <c r="H27" s="45">
        <f t="shared" si="5"/>
        <v>0.19230769230769232</v>
      </c>
      <c r="I27" s="46">
        <f t="shared" si="5"/>
        <v>0.23076923076923078</v>
      </c>
      <c r="J27" s="47">
        <f t="shared" si="5"/>
        <v>0.26923076923076922</v>
      </c>
      <c r="K27" s="48">
        <f t="shared" si="5"/>
        <v>0.34615384615384615</v>
      </c>
      <c r="L27" s="49">
        <f t="shared" si="5"/>
        <v>0.46153846153846156</v>
      </c>
      <c r="M27" s="49">
        <f t="shared" si="5"/>
        <v>0.46153846153846156</v>
      </c>
      <c r="N27" s="50">
        <f t="shared" si="5"/>
        <v>0.57692307692307687</v>
      </c>
      <c r="O27" s="51">
        <f t="shared" si="5"/>
        <v>0.61538461538461542</v>
      </c>
      <c r="P27" s="52">
        <f t="shared" si="5"/>
        <v>0.30769230769230771</v>
      </c>
      <c r="Q27" s="53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4"/>
      <c r="B28" s="4"/>
      <c r="C28" s="16">
        <f t="shared" ref="C28:E28" si="6">C12</f>
        <v>3</v>
      </c>
      <c r="D28" s="21" t="str">
        <f t="shared" si="6"/>
        <v>Q3 2021</v>
      </c>
      <c r="E28" s="37">
        <f t="shared" si="6"/>
        <v>29</v>
      </c>
      <c r="F28" s="54">
        <f t="shared" ref="F28:O28" si="7">F12/$E28</f>
        <v>6.8965517241379309E-2</v>
      </c>
      <c r="G28" s="55">
        <f t="shared" si="7"/>
        <v>0.10344827586206896</v>
      </c>
      <c r="H28" s="56">
        <f t="shared" si="7"/>
        <v>0.13793103448275862</v>
      </c>
      <c r="I28" s="57">
        <f t="shared" si="7"/>
        <v>0.17241379310344829</v>
      </c>
      <c r="J28" s="58">
        <f t="shared" si="7"/>
        <v>0.2413793103448276</v>
      </c>
      <c r="K28" s="59">
        <f t="shared" si="7"/>
        <v>0.27586206896551724</v>
      </c>
      <c r="L28" s="48">
        <f t="shared" si="7"/>
        <v>0.34482758620689657</v>
      </c>
      <c r="M28" s="48">
        <f t="shared" si="7"/>
        <v>0.34482758620689657</v>
      </c>
      <c r="N28" s="60">
        <f t="shared" si="7"/>
        <v>0.37931034482758619</v>
      </c>
      <c r="O28" s="61">
        <f t="shared" si="7"/>
        <v>0.41379310344827586</v>
      </c>
      <c r="P28" s="53"/>
      <c r="Q28" s="53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4"/>
      <c r="B29" s="4"/>
      <c r="C29" s="16">
        <f t="shared" ref="C29:E29" si="8">C13</f>
        <v>4</v>
      </c>
      <c r="D29" s="21" t="str">
        <f t="shared" si="8"/>
        <v>Q4 2021</v>
      </c>
      <c r="E29" s="37">
        <f t="shared" si="8"/>
        <v>38</v>
      </c>
      <c r="F29" s="62">
        <f t="shared" ref="F29:N29" si="9">F13/$E29</f>
        <v>5.2631578947368418E-2</v>
      </c>
      <c r="G29" s="63">
        <f t="shared" si="9"/>
        <v>7.8947368421052627E-2</v>
      </c>
      <c r="H29" s="64">
        <f t="shared" si="9"/>
        <v>0.10526315789473684</v>
      </c>
      <c r="I29" s="65">
        <f t="shared" si="9"/>
        <v>0.13157894736842105</v>
      </c>
      <c r="J29" s="66">
        <f t="shared" si="9"/>
        <v>0.18421052631578946</v>
      </c>
      <c r="K29" s="67">
        <f t="shared" si="9"/>
        <v>0.21052631578947367</v>
      </c>
      <c r="L29" s="68">
        <f t="shared" si="9"/>
        <v>0.26315789473684209</v>
      </c>
      <c r="M29" s="68">
        <f t="shared" si="9"/>
        <v>0.26315789473684209</v>
      </c>
      <c r="N29" s="69">
        <f t="shared" si="9"/>
        <v>0.65789473684210531</v>
      </c>
      <c r="O29" s="53"/>
      <c r="P29" s="53"/>
      <c r="Q29" s="53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4"/>
      <c r="B30" s="4"/>
      <c r="C30" s="16">
        <f t="shared" ref="C30:E30" si="10">C14</f>
        <v>5</v>
      </c>
      <c r="D30" s="21" t="str">
        <f t="shared" si="10"/>
        <v>Q1 2022</v>
      </c>
      <c r="E30" s="37">
        <f t="shared" si="10"/>
        <v>46</v>
      </c>
      <c r="F30" s="70">
        <f t="shared" ref="F30:M30" si="11">F14/$E30</f>
        <v>4.3478260869565216E-2</v>
      </c>
      <c r="G30" s="71">
        <f t="shared" si="11"/>
        <v>0.36956521739130432</v>
      </c>
      <c r="H30" s="72">
        <f t="shared" si="11"/>
        <v>0.43478260869565216</v>
      </c>
      <c r="I30" s="73">
        <f t="shared" si="11"/>
        <v>0.47826086956521741</v>
      </c>
      <c r="J30" s="74">
        <f t="shared" si="11"/>
        <v>0.54347826086956519</v>
      </c>
      <c r="K30" s="75">
        <f t="shared" si="11"/>
        <v>0.58695652173913049</v>
      </c>
      <c r="L30" s="76">
        <f t="shared" si="11"/>
        <v>0.60869565217391308</v>
      </c>
      <c r="M30" s="77">
        <f t="shared" si="11"/>
        <v>0.65217391304347827</v>
      </c>
      <c r="N30" s="53"/>
      <c r="O30" s="53"/>
      <c r="P30" s="53"/>
      <c r="Q30" s="53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4"/>
      <c r="B31" s="4"/>
      <c r="C31" s="16">
        <f t="shared" ref="C31:E31" si="12">C15</f>
        <v>6</v>
      </c>
      <c r="D31" s="21" t="str">
        <f t="shared" si="12"/>
        <v>Q2 2022</v>
      </c>
      <c r="E31" s="37">
        <f t="shared" si="12"/>
        <v>41</v>
      </c>
      <c r="F31" s="78">
        <f t="shared" ref="F31:L31" si="13">F15/$E31</f>
        <v>0.12195121951219512</v>
      </c>
      <c r="G31" s="79">
        <f t="shared" si="13"/>
        <v>0.36585365853658536</v>
      </c>
      <c r="H31" s="80">
        <f t="shared" si="13"/>
        <v>0.3902439024390244</v>
      </c>
      <c r="I31" s="81">
        <f t="shared" si="13"/>
        <v>0.53658536585365857</v>
      </c>
      <c r="J31" s="82">
        <f t="shared" si="13"/>
        <v>0.63414634146341464</v>
      </c>
      <c r="K31" s="69">
        <f t="shared" si="13"/>
        <v>0.65853658536585369</v>
      </c>
      <c r="L31" s="83">
        <f t="shared" si="13"/>
        <v>0.73170731707317072</v>
      </c>
      <c r="M31" s="53"/>
      <c r="N31" s="53"/>
      <c r="O31" s="53"/>
      <c r="P31" s="53"/>
      <c r="Q31" s="53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4"/>
      <c r="B32" s="4"/>
      <c r="C32" s="16">
        <f t="shared" ref="C32:E32" si="14">C16</f>
        <v>7</v>
      </c>
      <c r="D32" s="21" t="str">
        <f t="shared" si="14"/>
        <v>Q3 2022</v>
      </c>
      <c r="E32" s="37">
        <f t="shared" si="14"/>
        <v>37</v>
      </c>
      <c r="F32" s="84">
        <f t="shared" ref="F32:K32" si="15">F16/$E32</f>
        <v>5.4054054054054057E-2</v>
      </c>
      <c r="G32" s="85">
        <f t="shared" si="15"/>
        <v>8.1081081081081086E-2</v>
      </c>
      <c r="H32" s="86">
        <f t="shared" si="15"/>
        <v>0.10810810810810811</v>
      </c>
      <c r="I32" s="87">
        <f t="shared" si="15"/>
        <v>0.13513513513513514</v>
      </c>
      <c r="J32" s="88">
        <f t="shared" si="15"/>
        <v>0.1891891891891892</v>
      </c>
      <c r="K32" s="89">
        <f t="shared" si="15"/>
        <v>0.7567567567567568</v>
      </c>
      <c r="L32" s="53"/>
      <c r="M32" s="53"/>
      <c r="N32" s="53"/>
      <c r="O32" s="53"/>
      <c r="P32" s="53"/>
      <c r="Q32" s="53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4"/>
      <c r="B33" s="4"/>
      <c r="C33" s="16">
        <f t="shared" ref="C33:E33" si="16">C17</f>
        <v>8</v>
      </c>
      <c r="D33" s="21" t="str">
        <f t="shared" si="16"/>
        <v>Q4 2022</v>
      </c>
      <c r="E33" s="37">
        <f t="shared" si="16"/>
        <v>39</v>
      </c>
      <c r="F33" s="90">
        <f t="shared" ref="F33:J33" si="17">F17/$E33</f>
        <v>5.128205128205128E-2</v>
      </c>
      <c r="G33" s="91">
        <f t="shared" si="17"/>
        <v>7.6923076923076927E-2</v>
      </c>
      <c r="H33" s="92">
        <f t="shared" si="17"/>
        <v>0.10256410256410256</v>
      </c>
      <c r="I33" s="93">
        <f t="shared" si="17"/>
        <v>0.12820512820512819</v>
      </c>
      <c r="J33" s="94">
        <f t="shared" si="17"/>
        <v>0.82051282051282048</v>
      </c>
      <c r="K33" s="53"/>
      <c r="L33" s="53"/>
      <c r="M33" s="53"/>
      <c r="N33" s="53"/>
      <c r="O33" s="53"/>
      <c r="P33" s="53"/>
      <c r="Q33" s="53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4"/>
      <c r="B34" s="4"/>
      <c r="C34" s="16">
        <f t="shared" ref="C34:E34" si="18">C18</f>
        <v>9</v>
      </c>
      <c r="D34" s="21" t="str">
        <f t="shared" si="18"/>
        <v>Q1 2023</v>
      </c>
      <c r="E34" s="37">
        <f t="shared" si="18"/>
        <v>50</v>
      </c>
      <c r="F34" s="95">
        <f t="shared" ref="F34:I34" si="19">F18/$E34</f>
        <v>0.04</v>
      </c>
      <c r="G34" s="96">
        <f t="shared" si="19"/>
        <v>0.56000000000000005</v>
      </c>
      <c r="H34" s="97">
        <f t="shared" si="19"/>
        <v>0.72</v>
      </c>
      <c r="I34" s="98">
        <f t="shared" si="19"/>
        <v>0.9</v>
      </c>
      <c r="J34" s="53"/>
      <c r="K34" s="53"/>
      <c r="L34" s="53"/>
      <c r="M34" s="53"/>
      <c r="N34" s="53"/>
      <c r="O34" s="53"/>
      <c r="P34" s="53"/>
      <c r="Q34" s="53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4"/>
      <c r="B35" s="4"/>
      <c r="C35" s="16">
        <f t="shared" ref="C35:E35" si="20">C19</f>
        <v>10</v>
      </c>
      <c r="D35" s="21" t="str">
        <f t="shared" si="20"/>
        <v>Q2 2023</v>
      </c>
      <c r="E35" s="37">
        <f t="shared" si="20"/>
        <v>55</v>
      </c>
      <c r="F35" s="99">
        <f t="shared" ref="F35:H35" si="21">F19/$E35</f>
        <v>3.6363636363636362E-2</v>
      </c>
      <c r="G35" s="100">
        <f t="shared" si="21"/>
        <v>0.54545454545454541</v>
      </c>
      <c r="H35" s="101">
        <f t="shared" si="21"/>
        <v>0.69090909090909092</v>
      </c>
      <c r="I35" s="53"/>
      <c r="J35" s="53"/>
      <c r="K35" s="53"/>
      <c r="L35" s="53"/>
      <c r="M35" s="53"/>
      <c r="N35" s="53"/>
      <c r="O35" s="53"/>
      <c r="P35" s="53"/>
      <c r="Q35" s="53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4"/>
      <c r="B36" s="4"/>
      <c r="C36" s="16">
        <f t="shared" ref="C36:E36" si="22">C20</f>
        <v>11</v>
      </c>
      <c r="D36" s="21" t="str">
        <f t="shared" si="22"/>
        <v>Q3 2023</v>
      </c>
      <c r="E36" s="37">
        <f t="shared" si="22"/>
        <v>48</v>
      </c>
      <c r="F36" s="64">
        <f t="shared" ref="F36:G36" si="23">F20/$E36</f>
        <v>0.10416666666666667</v>
      </c>
      <c r="G36" s="102">
        <f t="shared" si="23"/>
        <v>0.75</v>
      </c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4"/>
      <c r="B37" s="4"/>
      <c r="C37" s="103">
        <f t="shared" ref="C37:E37" si="24">C21</f>
        <v>12</v>
      </c>
      <c r="D37" s="21" t="str">
        <f t="shared" si="24"/>
        <v>Q4 2023</v>
      </c>
      <c r="E37" s="104">
        <f t="shared" si="24"/>
        <v>49</v>
      </c>
      <c r="F37" s="105">
        <f>F21/$E37</f>
        <v>0.10204081632653061</v>
      </c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4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4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4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4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4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4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4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4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4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4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4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4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4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4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4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4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4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4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4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4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4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4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4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4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4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4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4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4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4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4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4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4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4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4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4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4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4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4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4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4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4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4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4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4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4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4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4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4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4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4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4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4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4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4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4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4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4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4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4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4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4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4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4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4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4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4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4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4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4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4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4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4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4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4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4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4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4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4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4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4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4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4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4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4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4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4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4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4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4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4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4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4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4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4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4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4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4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4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4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4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4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4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4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4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4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4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4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4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4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4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4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4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4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4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4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4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4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4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4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4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4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4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4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4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4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4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4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4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4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4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4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4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4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4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4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4.4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4.4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4.4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4.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4.4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4.4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4.4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4.4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4.4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4.4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4.4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4.4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4.4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4.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4.4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4.4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4.4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4.4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4.4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4.4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4.4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4.4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4.4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4.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4.4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4.4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4.4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4.4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4.4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4.4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4.4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4.4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4.4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4.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4.4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4.4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4.4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4.4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4.4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4.4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4.4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4.4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4.4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4.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4.4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4.4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4.4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4.4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4.4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4.4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4.4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4.4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4.4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4.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4.4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4.4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4.4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4.4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4.4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4.4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4.4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4.4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4.4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4.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4.4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4.4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4.4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4.4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4.4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4.4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4.4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4.4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4.4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4.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4.4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4.4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4.4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4.4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4.4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4.4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4.4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4.4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4.4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4.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4.4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4.4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4.4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4.4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4.4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4.4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4.4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4.4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4.4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4.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4.4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4.4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4.4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4.4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4.4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4.4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4.4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4.4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4.4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4.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4.4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4.4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4.4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4.4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4.4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4.4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4.4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4.4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4.4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4.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4.4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4.4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4.4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4.4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4.4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4.4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4.4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4.4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4.4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4.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4.4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4.4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4.4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4.4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4.4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4.4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4.4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4.4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4.4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4.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4.4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4.4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4.4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4.4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4.4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4.4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4.4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4.4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4.4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4.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4.4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4.4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4.4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4.4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4.4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4.4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4.4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4.4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4.4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4.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4.4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4.4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4.4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4.4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4.4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4.4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4.4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4.4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4.4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4.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4.4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4.4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4.4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4.4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4.4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4.4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4.4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4.4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4.4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4.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4.4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4.4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4.4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4.4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4.4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4.4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4.4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4.4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4.4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4.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4.4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4.4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4.4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4.4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4.4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4.4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4.4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4.4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4.4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4.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4.4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4.4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4.4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4.4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4.4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4.4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4.4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4.4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4.4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4.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4.4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4.4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4.4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4.4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4.4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4.4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4.4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4.4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4.4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4.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4.4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4.4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4.4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4.4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4.4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4.4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4.4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4.4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4.4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4.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4.4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4.4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4.4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4.4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4.4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4.4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4.4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4.4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4.4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4.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4.4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4.4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4.4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4.4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4.4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4.4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4.4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4.4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4.4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4.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4.4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4.4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4.4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4.4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4.4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4.4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4.4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4.4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4.4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4.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4.4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4.4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4.4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4.4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4.4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4.4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4.4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4.4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4.4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4.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4.4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4.4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4.4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4.4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4.4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4.4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4.4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4.4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4.4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4.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4.4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4.4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4.4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4.4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4.4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4.4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4.4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4.4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4.4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4.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4.4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4.4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4.4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4.4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4.4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4.4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4.4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4.4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4.4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4.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4.4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4.4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4.4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4.4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4.4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4.4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4.4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4.4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4.4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4.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4.4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4.4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4.4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4.4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4.4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4.4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4.4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4.4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4.4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4.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4.4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4.4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4.4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4.4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4.4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4.4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4.4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4.4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4.4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4.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4.4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4.4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4.4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4.4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4.4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4.4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4.4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4.4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4.4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4.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4.4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4.4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4.4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4.4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4.4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4.4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4.4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4.4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4.4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4.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4.4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4.4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4.4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4.4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4.4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4.4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4.4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4.4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4.4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4.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4.4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4.4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4.4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4.4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4.4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4.4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4.4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4.4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4.4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4.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4.4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4.4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4.4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4.4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4.4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4.4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4.4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4.4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4.4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4.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4.4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4.4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4.4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4.4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4.4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4.4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4.4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4.4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4.4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4.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4.4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4.4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4.4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4.4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4.4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4.4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4.4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4.4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4.4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4.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4.4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4.4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4.4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4.4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4.4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4.4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4.4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4.4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4.4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4.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4.4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4.4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4.4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4.4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4.4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4.4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4.4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4.4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4.4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4.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4.4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4.4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4.4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4.4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4.4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4.4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4.4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4.4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4.4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4.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4.4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4.4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4.4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4.4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4.4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4.4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4.4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4.4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4.4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4.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4.4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4.4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4.4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4.4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4.4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4.4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4.4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4.4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4.4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4.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4.4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4.4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4.4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4.4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4.4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4.4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4.4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4.4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4.4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4.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4.4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4.4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4.4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4.4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4.4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4.4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4.4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4.4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4.4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4.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4.4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4.4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4.4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4.4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4.4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4.4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4.4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4.4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4.4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4.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4.4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4.4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4.4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4.4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4.4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4.4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4.4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4.4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4.4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4.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4.4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4.4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4.4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4.4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4.4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4.4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4.4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4.4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4.4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4.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4.4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4.4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4.4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4.4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4.4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4.4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4.4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4.4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4.4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4.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4.4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4.4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4.4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4.4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4.4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4.4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4.4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4.4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4.4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4.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4.4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4.4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4.4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4.4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4.4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4.4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4.4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4.4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4.4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4.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4.4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4.4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4.4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4.4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4.4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4.4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4.4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4.4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4.4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4.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4.4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4.4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4.4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4.4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4.4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4.4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4.4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4.4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4.4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4.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4.4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4.4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4.4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4.4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4.4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4.4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4.4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4.4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4.4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4.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4.4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4.4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4.4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4.4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4.4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4.4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4.4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4.4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4.4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4.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4.4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4.4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4.4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4.4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4.4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4.4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4.4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4.4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4.4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4.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4.4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4.4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4.4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4.4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4.4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4.4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4.4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4.4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4.4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4.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4.4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4.4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4.4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4.4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4.4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4.4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4.4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4.4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4.4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4.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4.4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4.4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4.4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4.4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4.4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4.4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4.4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4.4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4.4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4.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4.4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4.4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4.4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4.4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4.4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4.4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4.4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4.4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4.4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4.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4.4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4.4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4.4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4.4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4.4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4.4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4.4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4.4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4.4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4.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4.4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4.4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4.4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4.4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4.4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4.4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4.4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4.4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4.4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4.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4.4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4.4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4.4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4.4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4.4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4.4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4.4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4.4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4.4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4.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4.4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4.4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4.4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4.4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4.4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4.4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4.4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4.4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4.4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4.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4.4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4.4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4.4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4.4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4.4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4.4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4.4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4.4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4.4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4.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4.4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4.4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4.4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4.4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4.4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4.4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4.4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4.4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4.4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4.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4.4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4.4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4.4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4.4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4.4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4.4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4.4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4.4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4.4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4.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4.4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4.4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4.4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4.4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4.4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4.4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4.4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4.4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4.4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4.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4.4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4.4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4.4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4.4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4.4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4.4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4.4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4.4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4.4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4.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4.4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4.4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4.4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4.4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4.4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4.4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4.4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4.4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4.4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4.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4.4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4.4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4.4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4.4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4.4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4.4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4.4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4.4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4.4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4.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4.4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4.4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4.4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4.4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4.4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4.4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4.4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4.4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4.4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4.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4.4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4.4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4.4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4.4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4.4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4.4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4.4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4.4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4.4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4.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4.4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4.4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4.4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4.4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4.4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4.4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4.4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4.4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4.4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4.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4.4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4.4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4.4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4.4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4.4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4.4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4.4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4.4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4.4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4.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4.4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4.4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4.4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4.4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4.4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4.4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4.4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4.4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4.4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4.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4.4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4.4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4.4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4.4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4.4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4.4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A1:Q1"/>
    <mergeCell ref="A8:Q8"/>
    <mergeCell ref="A24:Q2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showGridLines="0" workbookViewId="0">
      <selection sqref="A1:Q1"/>
    </sheetView>
  </sheetViews>
  <sheetFormatPr defaultColWidth="14.44140625" defaultRowHeight="15" customHeight="1"/>
  <cols>
    <col min="1" max="1" width="1.6640625" customWidth="1"/>
    <col min="2" max="2" width="2.33203125" customWidth="1"/>
    <col min="3" max="3" width="10.88671875" customWidth="1"/>
    <col min="4" max="4" width="16.44140625" customWidth="1"/>
    <col min="5" max="17" width="10.6640625" customWidth="1"/>
    <col min="18" max="26" width="8.6640625" customWidth="1"/>
  </cols>
  <sheetData>
    <row r="1" spans="1:26" ht="20.399999999999999">
      <c r="A1" s="132" t="s">
        <v>91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4"/>
      <c r="R1" s="3"/>
      <c r="S1" s="3"/>
      <c r="T1" s="3"/>
      <c r="U1" s="3"/>
      <c r="V1" s="3"/>
      <c r="W1" s="3"/>
      <c r="X1" s="3"/>
      <c r="Y1" s="3"/>
      <c r="Z1" s="3"/>
    </row>
    <row r="2" spans="1:26" ht="14.4">
      <c r="A2" s="106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4">
      <c r="A4" s="107" t="s">
        <v>3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</row>
    <row r="5" spans="1:26" ht="14.4">
      <c r="A5" s="3"/>
      <c r="B5" s="3" t="s">
        <v>5</v>
      </c>
      <c r="C5" s="3" t="s">
        <v>85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4">
      <c r="A6" s="3"/>
      <c r="B6" s="3" t="s">
        <v>5</v>
      </c>
      <c r="C6" s="3" t="s">
        <v>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4">
      <c r="A7" s="3"/>
      <c r="B7" s="3" t="s">
        <v>5</v>
      </c>
      <c r="C7" s="3" t="s">
        <v>86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4">
      <c r="A8" s="3"/>
      <c r="B8" s="3"/>
      <c r="C8" s="3" t="s">
        <v>87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4">
      <c r="A9" s="3"/>
      <c r="B9" s="3"/>
      <c r="C9" s="3" t="s">
        <v>88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4">
      <c r="A10" s="3"/>
      <c r="B10" s="3"/>
      <c r="C10" s="3" t="s">
        <v>89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4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4">
      <c r="A12" s="138" t="s">
        <v>11</v>
      </c>
      <c r="B12" s="133"/>
      <c r="C12" s="133"/>
      <c r="D12" s="133"/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4"/>
      <c r="R12" s="3"/>
      <c r="S12" s="3"/>
      <c r="T12" s="3"/>
      <c r="U12" s="3"/>
      <c r="V12" s="3"/>
      <c r="W12" s="3"/>
      <c r="X12" s="3"/>
      <c r="Y12" s="3"/>
      <c r="Z12" s="3"/>
    </row>
    <row r="13" spans="1:26" ht="14.4">
      <c r="A13" s="3"/>
      <c r="B13" s="3"/>
      <c r="C13" s="3"/>
      <c r="D13" s="14" t="s">
        <v>90</v>
      </c>
      <c r="E13" s="15">
        <v>0</v>
      </c>
      <c r="F13" s="15">
        <f t="shared" ref="F13:Q13" si="0">E13+1</f>
        <v>1</v>
      </c>
      <c r="G13" s="15">
        <f t="shared" si="0"/>
        <v>2</v>
      </c>
      <c r="H13" s="15">
        <f t="shared" si="0"/>
        <v>3</v>
      </c>
      <c r="I13" s="15">
        <f t="shared" si="0"/>
        <v>4</v>
      </c>
      <c r="J13" s="15">
        <f t="shared" si="0"/>
        <v>5</v>
      </c>
      <c r="K13" s="15">
        <f t="shared" si="0"/>
        <v>6</v>
      </c>
      <c r="L13" s="15">
        <f t="shared" si="0"/>
        <v>7</v>
      </c>
      <c r="M13" s="15">
        <f t="shared" si="0"/>
        <v>8</v>
      </c>
      <c r="N13" s="15">
        <f t="shared" si="0"/>
        <v>9</v>
      </c>
      <c r="O13" s="15">
        <f t="shared" si="0"/>
        <v>10</v>
      </c>
      <c r="P13" s="15">
        <f t="shared" si="0"/>
        <v>11</v>
      </c>
      <c r="Q13" s="15">
        <f t="shared" si="0"/>
        <v>12</v>
      </c>
      <c r="R13" s="3"/>
      <c r="S13" s="3"/>
      <c r="T13" s="3"/>
      <c r="U13" s="3"/>
      <c r="V13" s="3"/>
      <c r="W13" s="3"/>
      <c r="X13" s="3"/>
      <c r="Y13" s="3"/>
    </row>
    <row r="14" spans="1:26" ht="14.4">
      <c r="A14" s="3"/>
      <c r="B14" s="3"/>
      <c r="C14" s="109">
        <v>1</v>
      </c>
      <c r="D14" s="110">
        <v>44927</v>
      </c>
      <c r="E14" s="111">
        <v>24</v>
      </c>
      <c r="F14" s="112">
        <v>2</v>
      </c>
      <c r="G14" s="112">
        <v>3</v>
      </c>
      <c r="H14" s="112">
        <v>3</v>
      </c>
      <c r="I14" s="112">
        <v>3</v>
      </c>
      <c r="J14" s="112">
        <v>4</v>
      </c>
      <c r="K14" s="112">
        <v>4</v>
      </c>
      <c r="L14" s="112">
        <v>5</v>
      </c>
      <c r="M14" s="112">
        <v>5</v>
      </c>
      <c r="N14" s="112">
        <v>5</v>
      </c>
      <c r="O14" s="112">
        <v>6</v>
      </c>
      <c r="P14" s="112">
        <v>6</v>
      </c>
      <c r="Q14" s="112">
        <v>7</v>
      </c>
      <c r="R14" s="113"/>
      <c r="S14" s="3"/>
      <c r="T14" s="3"/>
      <c r="U14" s="3"/>
      <c r="V14" s="3"/>
      <c r="W14" s="3"/>
      <c r="X14" s="3"/>
      <c r="Y14" s="3"/>
      <c r="Z14" s="3"/>
    </row>
    <row r="15" spans="1:26" ht="14.4">
      <c r="A15" s="3"/>
      <c r="B15" s="3"/>
      <c r="C15" s="114">
        <f t="shared" ref="C15:C25" si="1">C14+1</f>
        <v>2</v>
      </c>
      <c r="D15" s="115">
        <f t="shared" ref="D15:D25" si="2">EOMONTH(D14,1)</f>
        <v>44985</v>
      </c>
      <c r="E15" s="116">
        <v>26</v>
      </c>
      <c r="F15" s="117">
        <v>4</v>
      </c>
      <c r="G15" s="117">
        <v>4</v>
      </c>
      <c r="H15" s="117">
        <v>5</v>
      </c>
      <c r="I15" s="117">
        <v>6</v>
      </c>
      <c r="J15" s="117">
        <v>7</v>
      </c>
      <c r="K15" s="117">
        <v>9</v>
      </c>
      <c r="L15" s="117">
        <v>12</v>
      </c>
      <c r="M15" s="117">
        <v>12</v>
      </c>
      <c r="N15" s="117">
        <v>15</v>
      </c>
      <c r="O15" s="117">
        <v>16</v>
      </c>
      <c r="P15" s="117">
        <v>8</v>
      </c>
      <c r="Q15" s="117"/>
      <c r="R15" s="113"/>
      <c r="S15" s="3"/>
      <c r="T15" s="3"/>
      <c r="U15" s="3"/>
      <c r="V15" s="3"/>
      <c r="W15" s="3"/>
      <c r="X15" s="3"/>
      <c r="Y15" s="3"/>
      <c r="Z15" s="3"/>
    </row>
    <row r="16" spans="1:26" ht="14.4">
      <c r="A16" s="3"/>
      <c r="B16" s="3"/>
      <c r="C16" s="114">
        <f t="shared" si="1"/>
        <v>3</v>
      </c>
      <c r="D16" s="115">
        <f t="shared" si="2"/>
        <v>45016</v>
      </c>
      <c r="E16" s="116">
        <v>29</v>
      </c>
      <c r="F16" s="117">
        <v>2</v>
      </c>
      <c r="G16" s="117">
        <v>3</v>
      </c>
      <c r="H16" s="117">
        <v>4</v>
      </c>
      <c r="I16" s="117">
        <v>5</v>
      </c>
      <c r="J16" s="117">
        <v>7</v>
      </c>
      <c r="K16" s="117">
        <v>8</v>
      </c>
      <c r="L16" s="117">
        <v>10</v>
      </c>
      <c r="M16" s="117">
        <v>10</v>
      </c>
      <c r="N16" s="117">
        <v>11</v>
      </c>
      <c r="O16" s="117">
        <v>12</v>
      </c>
      <c r="P16" s="117"/>
      <c r="Q16" s="117"/>
      <c r="R16" s="113"/>
      <c r="S16" s="3"/>
      <c r="T16" s="3"/>
      <c r="U16" s="3"/>
      <c r="V16" s="3"/>
      <c r="W16" s="3"/>
      <c r="X16" s="3"/>
      <c r="Y16" s="3"/>
      <c r="Z16" s="3"/>
    </row>
    <row r="17" spans="1:26" ht="14.4">
      <c r="A17" s="3"/>
      <c r="B17" s="3"/>
      <c r="C17" s="114">
        <f t="shared" si="1"/>
        <v>4</v>
      </c>
      <c r="D17" s="115">
        <f t="shared" si="2"/>
        <v>45046</v>
      </c>
      <c r="E17" s="116">
        <v>38</v>
      </c>
      <c r="F17" s="117">
        <v>2</v>
      </c>
      <c r="G17" s="117">
        <v>3</v>
      </c>
      <c r="H17" s="117">
        <v>4</v>
      </c>
      <c r="I17" s="117">
        <v>5</v>
      </c>
      <c r="J17" s="117">
        <v>7</v>
      </c>
      <c r="K17" s="117">
        <v>8</v>
      </c>
      <c r="L17" s="117">
        <v>10</v>
      </c>
      <c r="M17" s="117">
        <v>10</v>
      </c>
      <c r="N17" s="117">
        <v>25</v>
      </c>
      <c r="O17" s="117"/>
      <c r="P17" s="117"/>
      <c r="Q17" s="117"/>
      <c r="R17" s="113"/>
      <c r="S17" s="3"/>
      <c r="T17" s="3"/>
      <c r="U17" s="3"/>
      <c r="V17" s="3"/>
      <c r="W17" s="3"/>
      <c r="X17" s="3"/>
      <c r="Y17" s="3"/>
      <c r="Z17" s="3"/>
    </row>
    <row r="18" spans="1:26" ht="14.4">
      <c r="A18" s="3"/>
      <c r="B18" s="3"/>
      <c r="C18" s="114">
        <f t="shared" si="1"/>
        <v>5</v>
      </c>
      <c r="D18" s="115">
        <f t="shared" si="2"/>
        <v>45077</v>
      </c>
      <c r="E18" s="116">
        <v>46</v>
      </c>
      <c r="F18" s="117">
        <v>2</v>
      </c>
      <c r="G18" s="117">
        <v>17</v>
      </c>
      <c r="H18" s="117">
        <v>20</v>
      </c>
      <c r="I18" s="117">
        <v>22</v>
      </c>
      <c r="J18" s="117">
        <v>25</v>
      </c>
      <c r="K18" s="117">
        <v>27</v>
      </c>
      <c r="L18" s="117">
        <v>28</v>
      </c>
      <c r="M18" s="117">
        <v>30</v>
      </c>
      <c r="N18" s="117"/>
      <c r="O18" s="117"/>
      <c r="P18" s="117"/>
      <c r="Q18" s="117"/>
      <c r="R18" s="113"/>
      <c r="S18" s="3"/>
      <c r="T18" s="3"/>
      <c r="U18" s="3"/>
      <c r="V18" s="3"/>
      <c r="W18" s="3"/>
      <c r="X18" s="3"/>
      <c r="Y18" s="3"/>
      <c r="Z18" s="3"/>
    </row>
    <row r="19" spans="1:26" ht="14.4">
      <c r="A19" s="3"/>
      <c r="B19" s="3"/>
      <c r="C19" s="114">
        <f t="shared" si="1"/>
        <v>6</v>
      </c>
      <c r="D19" s="115">
        <f t="shared" si="2"/>
        <v>45107</v>
      </c>
      <c r="E19" s="116">
        <v>41</v>
      </c>
      <c r="F19" s="117">
        <v>5</v>
      </c>
      <c r="G19" s="117">
        <v>15</v>
      </c>
      <c r="H19" s="117">
        <v>16</v>
      </c>
      <c r="I19" s="117">
        <v>22</v>
      </c>
      <c r="J19" s="117">
        <v>26</v>
      </c>
      <c r="K19" s="117">
        <v>27</v>
      </c>
      <c r="L19" s="117">
        <v>30</v>
      </c>
      <c r="M19" s="117"/>
      <c r="N19" s="117"/>
      <c r="O19" s="117"/>
      <c r="P19" s="117"/>
      <c r="Q19" s="117"/>
      <c r="R19" s="113"/>
      <c r="S19" s="3"/>
      <c r="T19" s="3"/>
      <c r="U19" s="3"/>
      <c r="V19" s="3"/>
      <c r="W19" s="3"/>
      <c r="X19" s="3"/>
      <c r="Y19" s="3"/>
      <c r="Z19" s="3"/>
    </row>
    <row r="20" spans="1:26" ht="14.4">
      <c r="A20" s="3"/>
      <c r="B20" s="3"/>
      <c r="C20" s="114">
        <f t="shared" si="1"/>
        <v>7</v>
      </c>
      <c r="D20" s="115">
        <f t="shared" si="2"/>
        <v>45138</v>
      </c>
      <c r="E20" s="116">
        <v>37</v>
      </c>
      <c r="F20" s="117">
        <v>2</v>
      </c>
      <c r="G20" s="117">
        <v>3</v>
      </c>
      <c r="H20" s="117">
        <v>4</v>
      </c>
      <c r="I20" s="117">
        <v>5</v>
      </c>
      <c r="J20" s="117">
        <v>7</v>
      </c>
      <c r="K20" s="117">
        <v>28</v>
      </c>
      <c r="L20" s="117"/>
      <c r="M20" s="117"/>
      <c r="N20" s="117"/>
      <c r="O20" s="117"/>
      <c r="P20" s="117"/>
      <c r="Q20" s="117"/>
      <c r="R20" s="11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3"/>
      <c r="B21" s="3"/>
      <c r="C21" s="114">
        <f t="shared" si="1"/>
        <v>8</v>
      </c>
      <c r="D21" s="115">
        <f t="shared" si="2"/>
        <v>45169</v>
      </c>
      <c r="E21" s="116">
        <v>39</v>
      </c>
      <c r="F21" s="117">
        <v>2</v>
      </c>
      <c r="G21" s="117">
        <v>3</v>
      </c>
      <c r="H21" s="117">
        <v>4</v>
      </c>
      <c r="I21" s="117">
        <v>5</v>
      </c>
      <c r="J21" s="117">
        <v>32</v>
      </c>
      <c r="K21" s="117"/>
      <c r="L21" s="117"/>
      <c r="M21" s="117"/>
      <c r="N21" s="117"/>
      <c r="O21" s="117"/>
      <c r="P21" s="117"/>
      <c r="Q21" s="117"/>
      <c r="R21" s="113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3"/>
      <c r="B22" s="3"/>
      <c r="C22" s="114">
        <f t="shared" si="1"/>
        <v>9</v>
      </c>
      <c r="D22" s="115">
        <f t="shared" si="2"/>
        <v>45199</v>
      </c>
      <c r="E22" s="116">
        <v>50</v>
      </c>
      <c r="F22" s="116">
        <v>50</v>
      </c>
      <c r="G22" s="116">
        <v>50</v>
      </c>
      <c r="H22" s="116">
        <v>50</v>
      </c>
      <c r="I22" s="116">
        <v>50</v>
      </c>
      <c r="J22" s="117"/>
      <c r="K22" s="117"/>
      <c r="L22" s="117"/>
      <c r="M22" s="117"/>
      <c r="N22" s="117"/>
      <c r="O22" s="117"/>
      <c r="P22" s="117"/>
      <c r="Q22" s="117"/>
      <c r="R22" s="11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3"/>
      <c r="B23" s="3"/>
      <c r="C23" s="114">
        <f t="shared" si="1"/>
        <v>10</v>
      </c>
      <c r="D23" s="115">
        <f t="shared" si="2"/>
        <v>45230</v>
      </c>
      <c r="E23" s="116">
        <v>55</v>
      </c>
      <c r="F23" s="117">
        <v>2</v>
      </c>
      <c r="G23" s="117">
        <v>30</v>
      </c>
      <c r="H23" s="117">
        <v>38</v>
      </c>
      <c r="I23" s="117"/>
      <c r="J23" s="117"/>
      <c r="K23" s="117"/>
      <c r="L23" s="117"/>
      <c r="M23" s="117"/>
      <c r="N23" s="117"/>
      <c r="O23" s="117"/>
      <c r="P23" s="117"/>
      <c r="Q23" s="117"/>
      <c r="R23" s="11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3"/>
      <c r="B24" s="3"/>
      <c r="C24" s="114">
        <f t="shared" si="1"/>
        <v>11</v>
      </c>
      <c r="D24" s="115">
        <f t="shared" si="2"/>
        <v>45260</v>
      </c>
      <c r="E24" s="116">
        <v>48</v>
      </c>
      <c r="F24" s="117">
        <v>5</v>
      </c>
      <c r="G24" s="117">
        <v>36</v>
      </c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3"/>
      <c r="B25" s="3"/>
      <c r="C25" s="118">
        <f t="shared" si="1"/>
        <v>12</v>
      </c>
      <c r="D25" s="119">
        <f t="shared" si="2"/>
        <v>45291</v>
      </c>
      <c r="E25" s="120">
        <v>49</v>
      </c>
      <c r="F25" s="121">
        <v>5</v>
      </c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13"/>
      <c r="S25" s="3"/>
      <c r="T25" s="3"/>
      <c r="U25" s="3"/>
      <c r="V25" s="3"/>
      <c r="W25" s="3"/>
      <c r="X25" s="3"/>
      <c r="Y25" s="3"/>
      <c r="Z25" s="3"/>
    </row>
    <row r="26" spans="1: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4">
      <c r="A28" s="138" t="s">
        <v>47</v>
      </c>
      <c r="B28" s="133"/>
      <c r="C28" s="133"/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4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3"/>
      <c r="B29" s="3"/>
      <c r="C29" s="3"/>
      <c r="D29" s="3"/>
      <c r="E29" s="15">
        <f t="shared" ref="E29:Q29" si="3">E13</f>
        <v>0</v>
      </c>
      <c r="F29" s="15">
        <f t="shared" si="3"/>
        <v>1</v>
      </c>
      <c r="G29" s="15">
        <f t="shared" si="3"/>
        <v>2</v>
      </c>
      <c r="H29" s="15">
        <f t="shared" si="3"/>
        <v>3</v>
      </c>
      <c r="I29" s="15">
        <f t="shared" si="3"/>
        <v>4</v>
      </c>
      <c r="J29" s="15">
        <f t="shared" si="3"/>
        <v>5</v>
      </c>
      <c r="K29" s="15">
        <f t="shared" si="3"/>
        <v>6</v>
      </c>
      <c r="L29" s="15">
        <f t="shared" si="3"/>
        <v>7</v>
      </c>
      <c r="M29" s="15">
        <f t="shared" si="3"/>
        <v>8</v>
      </c>
      <c r="N29" s="15">
        <f t="shared" si="3"/>
        <v>9</v>
      </c>
      <c r="O29" s="15">
        <f t="shared" si="3"/>
        <v>10</v>
      </c>
      <c r="P29" s="15">
        <f t="shared" si="3"/>
        <v>11</v>
      </c>
      <c r="Q29" s="15">
        <f t="shared" si="3"/>
        <v>12</v>
      </c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3"/>
      <c r="B30" s="3"/>
      <c r="C30" s="109">
        <f t="shared" ref="C30:E30" si="4">C14</f>
        <v>1</v>
      </c>
      <c r="D30" s="21">
        <f t="shared" si="4"/>
        <v>44927</v>
      </c>
      <c r="E30" s="104">
        <f t="shared" si="4"/>
        <v>24</v>
      </c>
      <c r="F30" s="122">
        <f t="shared" ref="F30:Q30" si="5">F14/$E30</f>
        <v>8.3333333333333329E-2</v>
      </c>
      <c r="G30" s="123">
        <f t="shared" si="5"/>
        <v>0.125</v>
      </c>
      <c r="H30" s="123">
        <f t="shared" si="5"/>
        <v>0.125</v>
      </c>
      <c r="I30" s="123">
        <f t="shared" si="5"/>
        <v>0.125</v>
      </c>
      <c r="J30" s="123">
        <f t="shared" si="5"/>
        <v>0.16666666666666666</v>
      </c>
      <c r="K30" s="123">
        <f t="shared" si="5"/>
        <v>0.16666666666666666</v>
      </c>
      <c r="L30" s="123">
        <f t="shared" si="5"/>
        <v>0.20833333333333334</v>
      </c>
      <c r="M30" s="123">
        <f t="shared" si="5"/>
        <v>0.20833333333333334</v>
      </c>
      <c r="N30" s="123">
        <f t="shared" si="5"/>
        <v>0.20833333333333334</v>
      </c>
      <c r="O30" s="123">
        <f t="shared" si="5"/>
        <v>0.25</v>
      </c>
      <c r="P30" s="123">
        <f t="shared" si="5"/>
        <v>0.25</v>
      </c>
      <c r="Q30" s="123">
        <f t="shared" si="5"/>
        <v>0.29166666666666669</v>
      </c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3"/>
      <c r="B31" s="3"/>
      <c r="C31" s="114">
        <f t="shared" ref="C31:E31" si="6">C15</f>
        <v>2</v>
      </c>
      <c r="D31" s="124">
        <f t="shared" si="6"/>
        <v>44985</v>
      </c>
      <c r="E31" s="125">
        <f t="shared" si="6"/>
        <v>26</v>
      </c>
      <c r="F31" s="126">
        <f t="shared" ref="F31:P31" si="7">F15/$E31</f>
        <v>0.15384615384615385</v>
      </c>
      <c r="G31" s="127">
        <f t="shared" si="7"/>
        <v>0.15384615384615385</v>
      </c>
      <c r="H31" s="127">
        <f t="shared" si="7"/>
        <v>0.19230769230769232</v>
      </c>
      <c r="I31" s="127">
        <f t="shared" si="7"/>
        <v>0.23076923076923078</v>
      </c>
      <c r="J31" s="127">
        <f t="shared" si="7"/>
        <v>0.26923076923076922</v>
      </c>
      <c r="K31" s="127">
        <f t="shared" si="7"/>
        <v>0.34615384615384615</v>
      </c>
      <c r="L31" s="127">
        <f t="shared" si="7"/>
        <v>0.46153846153846156</v>
      </c>
      <c r="M31" s="127">
        <f t="shared" si="7"/>
        <v>0.46153846153846156</v>
      </c>
      <c r="N31" s="127">
        <f t="shared" si="7"/>
        <v>0.57692307692307687</v>
      </c>
      <c r="O31" s="127">
        <f t="shared" si="7"/>
        <v>0.61538461538461542</v>
      </c>
      <c r="P31" s="127">
        <f t="shared" si="7"/>
        <v>0.30769230769230771</v>
      </c>
      <c r="Q31" s="127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3"/>
      <c r="B32" s="3"/>
      <c r="C32" s="114">
        <f t="shared" ref="C32:E32" si="8">C16</f>
        <v>3</v>
      </c>
      <c r="D32" s="124">
        <f t="shared" si="8"/>
        <v>45016</v>
      </c>
      <c r="E32" s="125">
        <f t="shared" si="8"/>
        <v>29</v>
      </c>
      <c r="F32" s="126">
        <f t="shared" ref="F32:O32" si="9">F16/$E32</f>
        <v>6.8965517241379309E-2</v>
      </c>
      <c r="G32" s="127">
        <f t="shared" si="9"/>
        <v>0.10344827586206896</v>
      </c>
      <c r="H32" s="127">
        <f t="shared" si="9"/>
        <v>0.13793103448275862</v>
      </c>
      <c r="I32" s="127">
        <f t="shared" si="9"/>
        <v>0.17241379310344829</v>
      </c>
      <c r="J32" s="127">
        <f t="shared" si="9"/>
        <v>0.2413793103448276</v>
      </c>
      <c r="K32" s="127">
        <f t="shared" si="9"/>
        <v>0.27586206896551724</v>
      </c>
      <c r="L32" s="127">
        <f t="shared" si="9"/>
        <v>0.34482758620689657</v>
      </c>
      <c r="M32" s="127">
        <f t="shared" si="9"/>
        <v>0.34482758620689657</v>
      </c>
      <c r="N32" s="127">
        <f t="shared" si="9"/>
        <v>0.37931034482758619</v>
      </c>
      <c r="O32" s="127">
        <f t="shared" si="9"/>
        <v>0.41379310344827586</v>
      </c>
      <c r="P32" s="127"/>
      <c r="Q32" s="127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3"/>
      <c r="B33" s="3"/>
      <c r="C33" s="114">
        <f t="shared" ref="C33:E33" si="10">C17</f>
        <v>4</v>
      </c>
      <c r="D33" s="124">
        <f t="shared" si="10"/>
        <v>45046</v>
      </c>
      <c r="E33" s="125">
        <f t="shared" si="10"/>
        <v>38</v>
      </c>
      <c r="F33" s="126">
        <f t="shared" ref="F33:N33" si="11">F17/$E33</f>
        <v>5.2631578947368418E-2</v>
      </c>
      <c r="G33" s="127">
        <f t="shared" si="11"/>
        <v>7.8947368421052627E-2</v>
      </c>
      <c r="H33" s="127">
        <f t="shared" si="11"/>
        <v>0.10526315789473684</v>
      </c>
      <c r="I33" s="127">
        <f t="shared" si="11"/>
        <v>0.13157894736842105</v>
      </c>
      <c r="J33" s="127">
        <f t="shared" si="11"/>
        <v>0.18421052631578946</v>
      </c>
      <c r="K33" s="127">
        <f t="shared" si="11"/>
        <v>0.21052631578947367</v>
      </c>
      <c r="L33" s="127">
        <f t="shared" si="11"/>
        <v>0.26315789473684209</v>
      </c>
      <c r="M33" s="127">
        <f t="shared" si="11"/>
        <v>0.26315789473684209</v>
      </c>
      <c r="N33" s="127">
        <f t="shared" si="11"/>
        <v>0.65789473684210531</v>
      </c>
      <c r="O33" s="127"/>
      <c r="P33" s="127"/>
      <c r="Q33" s="127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3"/>
      <c r="B34" s="3"/>
      <c r="C34" s="114">
        <f t="shared" ref="C34:E34" si="12">C18</f>
        <v>5</v>
      </c>
      <c r="D34" s="124">
        <f t="shared" si="12"/>
        <v>45077</v>
      </c>
      <c r="E34" s="125">
        <f t="shared" si="12"/>
        <v>46</v>
      </c>
      <c r="F34" s="126">
        <f t="shared" ref="F34:M34" si="13">F18/$E34</f>
        <v>4.3478260869565216E-2</v>
      </c>
      <c r="G34" s="127">
        <f t="shared" si="13"/>
        <v>0.36956521739130432</v>
      </c>
      <c r="H34" s="127">
        <f t="shared" si="13"/>
        <v>0.43478260869565216</v>
      </c>
      <c r="I34" s="127">
        <f t="shared" si="13"/>
        <v>0.47826086956521741</v>
      </c>
      <c r="J34" s="127">
        <f t="shared" si="13"/>
        <v>0.54347826086956519</v>
      </c>
      <c r="K34" s="127">
        <f t="shared" si="13"/>
        <v>0.58695652173913049</v>
      </c>
      <c r="L34" s="127">
        <f t="shared" si="13"/>
        <v>0.60869565217391308</v>
      </c>
      <c r="M34" s="127">
        <f t="shared" si="13"/>
        <v>0.65217391304347827</v>
      </c>
      <c r="N34" s="127"/>
      <c r="O34" s="127"/>
      <c r="P34" s="127"/>
      <c r="Q34" s="127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3"/>
      <c r="B35" s="3"/>
      <c r="C35" s="114">
        <f t="shared" ref="C35:E35" si="14">C19</f>
        <v>6</v>
      </c>
      <c r="D35" s="124">
        <f t="shared" si="14"/>
        <v>45107</v>
      </c>
      <c r="E35" s="125">
        <f t="shared" si="14"/>
        <v>41</v>
      </c>
      <c r="F35" s="126">
        <f t="shared" ref="F35:L35" si="15">F19/$E35</f>
        <v>0.12195121951219512</v>
      </c>
      <c r="G35" s="127">
        <f t="shared" si="15"/>
        <v>0.36585365853658536</v>
      </c>
      <c r="H35" s="127">
        <f t="shared" si="15"/>
        <v>0.3902439024390244</v>
      </c>
      <c r="I35" s="127">
        <f t="shared" si="15"/>
        <v>0.53658536585365857</v>
      </c>
      <c r="J35" s="127">
        <f t="shared" si="15"/>
        <v>0.63414634146341464</v>
      </c>
      <c r="K35" s="127">
        <f t="shared" si="15"/>
        <v>0.65853658536585369</v>
      </c>
      <c r="L35" s="127">
        <f t="shared" si="15"/>
        <v>0.73170731707317072</v>
      </c>
      <c r="M35" s="127"/>
      <c r="N35" s="127"/>
      <c r="O35" s="127"/>
      <c r="P35" s="127"/>
      <c r="Q35" s="127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3"/>
      <c r="B36" s="3"/>
      <c r="C36" s="114">
        <f t="shared" ref="C36:E36" si="16">C20</f>
        <v>7</v>
      </c>
      <c r="D36" s="124">
        <f t="shared" si="16"/>
        <v>45138</v>
      </c>
      <c r="E36" s="125">
        <f t="shared" si="16"/>
        <v>37</v>
      </c>
      <c r="F36" s="126">
        <f t="shared" ref="F36:K36" si="17">F20/$E36</f>
        <v>5.4054054054054057E-2</v>
      </c>
      <c r="G36" s="127">
        <f t="shared" si="17"/>
        <v>8.1081081081081086E-2</v>
      </c>
      <c r="H36" s="127">
        <f t="shared" si="17"/>
        <v>0.10810810810810811</v>
      </c>
      <c r="I36" s="127">
        <f t="shared" si="17"/>
        <v>0.13513513513513514</v>
      </c>
      <c r="J36" s="127">
        <f t="shared" si="17"/>
        <v>0.1891891891891892</v>
      </c>
      <c r="K36" s="127">
        <f t="shared" si="17"/>
        <v>0.7567567567567568</v>
      </c>
      <c r="L36" s="127"/>
      <c r="M36" s="127"/>
      <c r="N36" s="127"/>
      <c r="O36" s="127"/>
      <c r="P36" s="127"/>
      <c r="Q36" s="127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3"/>
      <c r="B37" s="3"/>
      <c r="C37" s="114">
        <f t="shared" ref="C37:E37" si="18">C21</f>
        <v>8</v>
      </c>
      <c r="D37" s="124">
        <f t="shared" si="18"/>
        <v>45169</v>
      </c>
      <c r="E37" s="125">
        <f t="shared" si="18"/>
        <v>39</v>
      </c>
      <c r="F37" s="126">
        <f t="shared" ref="F37:J37" si="19">F21/$E37</f>
        <v>5.128205128205128E-2</v>
      </c>
      <c r="G37" s="127">
        <f t="shared" si="19"/>
        <v>7.6923076923076927E-2</v>
      </c>
      <c r="H37" s="127">
        <f t="shared" si="19"/>
        <v>0.10256410256410256</v>
      </c>
      <c r="I37" s="127">
        <f t="shared" si="19"/>
        <v>0.12820512820512819</v>
      </c>
      <c r="J37" s="127">
        <f t="shared" si="19"/>
        <v>0.82051282051282048</v>
      </c>
      <c r="K37" s="127"/>
      <c r="L37" s="127"/>
      <c r="M37" s="127"/>
      <c r="N37" s="127"/>
      <c r="O37" s="127"/>
      <c r="P37" s="127"/>
      <c r="Q37" s="127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3"/>
      <c r="B38" s="3"/>
      <c r="C38" s="114">
        <f t="shared" ref="C38:E38" si="20">C22</f>
        <v>9</v>
      </c>
      <c r="D38" s="124">
        <f t="shared" si="20"/>
        <v>45199</v>
      </c>
      <c r="E38" s="125">
        <f t="shared" si="20"/>
        <v>50</v>
      </c>
      <c r="F38" s="126">
        <f t="shared" ref="F38:I38" si="21">F22/$E38</f>
        <v>1</v>
      </c>
      <c r="G38" s="127">
        <f t="shared" si="21"/>
        <v>1</v>
      </c>
      <c r="H38" s="127">
        <f t="shared" si="21"/>
        <v>1</v>
      </c>
      <c r="I38" s="127">
        <f t="shared" si="21"/>
        <v>1</v>
      </c>
      <c r="J38" s="127"/>
      <c r="K38" s="127"/>
      <c r="L38" s="127"/>
      <c r="M38" s="127"/>
      <c r="N38" s="127"/>
      <c r="O38" s="127"/>
      <c r="P38" s="127"/>
      <c r="Q38" s="127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3"/>
      <c r="B39" s="3"/>
      <c r="C39" s="114">
        <f t="shared" ref="C39:E39" si="22">C23</f>
        <v>10</v>
      </c>
      <c r="D39" s="124">
        <f t="shared" si="22"/>
        <v>45230</v>
      </c>
      <c r="E39" s="125">
        <f t="shared" si="22"/>
        <v>55</v>
      </c>
      <c r="F39" s="126">
        <f t="shared" ref="F39:H39" si="23">F23/$E39</f>
        <v>3.6363636363636362E-2</v>
      </c>
      <c r="G39" s="127">
        <f t="shared" si="23"/>
        <v>0.54545454545454541</v>
      </c>
      <c r="H39" s="127">
        <f t="shared" si="23"/>
        <v>0.69090909090909092</v>
      </c>
      <c r="I39" s="127"/>
      <c r="J39" s="127"/>
      <c r="K39" s="127"/>
      <c r="L39" s="127"/>
      <c r="M39" s="127"/>
      <c r="N39" s="127"/>
      <c r="O39" s="127"/>
      <c r="P39" s="127"/>
      <c r="Q39" s="127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3"/>
      <c r="B40" s="3"/>
      <c r="C40" s="114">
        <f t="shared" ref="C40:E40" si="24">C24</f>
        <v>11</v>
      </c>
      <c r="D40" s="124">
        <f t="shared" si="24"/>
        <v>45260</v>
      </c>
      <c r="E40" s="125">
        <f t="shared" si="24"/>
        <v>48</v>
      </c>
      <c r="F40" s="126">
        <f t="shared" ref="F40:G40" si="25">F24/$E40</f>
        <v>0.10416666666666667</v>
      </c>
      <c r="G40" s="127">
        <f t="shared" si="25"/>
        <v>0.75</v>
      </c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3"/>
      <c r="B41" s="3"/>
      <c r="C41" s="118">
        <f t="shared" ref="C41:E41" si="26">C25</f>
        <v>12</v>
      </c>
      <c r="D41" s="128">
        <f t="shared" si="26"/>
        <v>45291</v>
      </c>
      <c r="E41" s="129">
        <f t="shared" si="26"/>
        <v>49</v>
      </c>
      <c r="F41" s="130">
        <f>F25/$E41</f>
        <v>0.10204081632653061</v>
      </c>
      <c r="G41" s="131"/>
      <c r="H41" s="131"/>
      <c r="I41" s="131"/>
      <c r="J41" s="131"/>
      <c r="K41" s="131"/>
      <c r="L41" s="131"/>
      <c r="M41" s="131"/>
      <c r="N41" s="131"/>
      <c r="O41" s="131"/>
      <c r="P41" s="131"/>
      <c r="Q41" s="131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3"/>
      <c r="V42" s="3"/>
      <c r="W42" s="3"/>
      <c r="X42" s="3"/>
      <c r="Y42" s="3"/>
      <c r="Z42" s="3"/>
    </row>
    <row r="43" spans="1:26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3"/>
      <c r="V43" s="3"/>
      <c r="W43" s="3"/>
      <c r="X43" s="3"/>
      <c r="Y43" s="3"/>
      <c r="Z43" s="3"/>
    </row>
    <row r="44" spans="1:26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3"/>
      <c r="V44" s="3"/>
      <c r="W44" s="3"/>
      <c r="X44" s="3"/>
      <c r="Y44" s="3"/>
      <c r="Z44" s="3"/>
    </row>
    <row r="45" spans="1:26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3"/>
      <c r="V45" s="3"/>
      <c r="W45" s="3"/>
      <c r="X45" s="3"/>
      <c r="Y45" s="3"/>
      <c r="Z45" s="3"/>
    </row>
    <row r="46" spans="1:2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3"/>
      <c r="V46" s="3"/>
      <c r="W46" s="3"/>
      <c r="X46" s="3"/>
      <c r="Y46" s="3"/>
      <c r="Z46" s="3"/>
    </row>
    <row r="47" spans="1:26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3"/>
      <c r="V47" s="3"/>
      <c r="W47" s="3"/>
      <c r="X47" s="3"/>
      <c r="Y47" s="3"/>
      <c r="Z47" s="3"/>
    </row>
    <row r="48" spans="1:26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3">
    <mergeCell ref="A1:Q1"/>
    <mergeCell ref="A12:Q12"/>
    <mergeCell ref="A28:Q28"/>
  </mergeCells>
  <conditionalFormatting sqref="F30:Q4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percent" val="0"/>
        <cfvo type="percent" val="100"/>
        <color rgb="FFF7CAAC"/>
        <color rgb="FFC5E0B3"/>
      </colorScale>
    </cfRule>
  </conditionalFormatting>
  <pageMargins left="0.7" right="0.7" top="0.75" bottom="0.75" header="0" footer="0"/>
  <pageSetup scale="53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Pre-PMF LIR Option 1</vt:lpstr>
      <vt:lpstr>Pre-PMF LIR Option 2</vt:lpstr>
      <vt:lpstr>Pre-PMF LIR Option 3</vt:lpstr>
      <vt:lpstr>PMF+ LIR (quarter)</vt:lpstr>
      <vt:lpstr>PMF+ LIR (month)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(ELS)</dc:creator>
  <cp:lastModifiedBy>David Patera</cp:lastModifiedBy>
  <dcterms:created xsi:type="dcterms:W3CDTF">2021-06-30T18:09:12Z</dcterms:created>
  <dcterms:modified xsi:type="dcterms:W3CDTF">2026-05-12T16:04:40Z</dcterms:modified>
</cp:coreProperties>
</file>