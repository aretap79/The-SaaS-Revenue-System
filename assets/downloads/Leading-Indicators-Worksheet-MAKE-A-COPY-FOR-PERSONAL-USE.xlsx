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Pre-PMF LIR Option 1" sheetId="2" r:id="rId5"/>
    <sheet state="visible" name="Pre-PMF LIR Option 2" sheetId="3" r:id="rId6"/>
    <sheet state="visible" name="Pre-PMF LIR Option 3" sheetId="4" r:id="rId7"/>
    <sheet state="visible" name="PMF+ LIR (quarter)" sheetId="5" r:id="rId8"/>
    <sheet state="visible" name="PMF+ LIR (month)" sheetId="6" r:id="rId9"/>
  </sheets>
  <definedNames/>
  <calcPr/>
  <extLst>
    <ext uri="GoogleSheetsCustomDataVersion1">
      <go:sheetsCustomData xmlns:go="http://customooxmlschemas.google.com/" r:id="rId10" roundtripDataSignature="AMtx7miWaYHy3n8q62IIQeYUURJoDeCpoA=="/>
    </ext>
  </extLst>
</workbook>
</file>

<file path=xl/sharedStrings.xml><?xml version="1.0" encoding="utf-8"?>
<sst xmlns="http://schemas.openxmlformats.org/spreadsheetml/2006/main" count="256" uniqueCount="92">
  <si>
    <r>
      <rPr/>
      <t xml:space="preserve">For assistance with these templates, </t>
    </r>
    <r>
      <rPr>
        <color rgb="FF1155CC"/>
        <u/>
      </rPr>
      <t>use this article</t>
    </r>
    <r>
      <rPr/>
      <t>.</t>
    </r>
  </si>
  <si>
    <t>Stage 2 Capital - Leading Indicator of Retention Worksheet</t>
  </si>
  <si>
    <t>% of Customers that achieve leading indicator of customer retention by month of tenure</t>
  </si>
  <si>
    <t>Option 1: constant threshold</t>
  </si>
  <si>
    <t>How To Guide:</t>
  </si>
  <si>
    <t>KEY</t>
  </si>
  <si>
    <t>●</t>
  </si>
  <si>
    <t>Replace the blue hardcoded numbers (placeholders) and months in the "Raw Data" section with your own data and fill in each cohort</t>
  </si>
  <si>
    <t>Threshold</t>
  </si>
  <si>
    <t>To add or subtract months or cohorts, drag and copy formulas across or down or delete cells</t>
  </si>
  <si>
    <t>LIR Achieved</t>
  </si>
  <si>
    <t>LIR Not Achieved</t>
  </si>
  <si>
    <t>Raw Data</t>
  </si>
  <si>
    <t>Month Closed</t>
  </si>
  <si>
    <t>ACV</t>
  </si>
  <si>
    <t>ICP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</si>
  <si>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</si>
  <si>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</si>
  <si>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</si>
  <si>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</si>
  <si>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</si>
  <si>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</si>
  <si>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</si>
  <si>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</si>
  <si>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</si>
  <si>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</si>
  <si>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</si>
  <si>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</si>
  <si>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Customer 1</t>
  </si>
  <si>
    <t>Jan '23</t>
  </si>
  <si>
    <t>No</t>
  </si>
  <si>
    <t>&lt;-- Number of actions</t>
  </si>
  <si>
    <t>Customer 2</t>
  </si>
  <si>
    <t>Yes</t>
  </si>
  <si>
    <t>Customer 3</t>
  </si>
  <si>
    <t>Feb '23</t>
  </si>
  <si>
    <t>Customer 4</t>
  </si>
  <si>
    <t>May '23</t>
  </si>
  <si>
    <t>Customer 5</t>
  </si>
  <si>
    <t>Customer 6</t>
  </si>
  <si>
    <t>June '23</t>
  </si>
  <si>
    <t>Customer 7</t>
  </si>
  <si>
    <t>July '23</t>
  </si>
  <si>
    <t>Customer 8</t>
  </si>
  <si>
    <t>Customer 9</t>
  </si>
  <si>
    <t>Aug '23</t>
  </si>
  <si>
    <t>Customer 10</t>
  </si>
  <si>
    <t>Aug '24</t>
  </si>
  <si>
    <t>Output</t>
  </si>
  <si>
    <t>Current LIR</t>
  </si>
  <si>
    <t>% Customers Achieving LIR</t>
  </si>
  <si>
    <t>Goal</t>
  </si>
  <si>
    <t>Option 2: constant % attainment based on customer level target</t>
  </si>
  <si>
    <t>Expected Year 1 Usage</t>
  </si>
  <si>
    <t>Option 3: variable % attainment based on customer level target</t>
  </si>
  <si>
    <t>&lt;--LIR threshold</t>
  </si>
  <si>
    <t>% of Customers that achieve leading indicator of customer retention by quarter of tenure</t>
  </si>
  <si>
    <t>Replace the blue hardcoded numbers (placeholders) and quarters in the "Raw Data" section with your own data and fill in each cohort</t>
  </si>
  <si>
    <t>Quarter</t>
  </si>
  <si>
    <t>Quarter 0</t>
  </si>
  <si>
    <t>Quarter 1</t>
  </si>
  <si>
    <t>Quarter 2</t>
  </si>
  <si>
    <t>Quarter 3</t>
  </si>
  <si>
    <t>Quarter 4</t>
  </si>
  <si>
    <t>Quarter 5</t>
  </si>
  <si>
    <t>Quarter 6</t>
  </si>
  <si>
    <t>Quarter 7</t>
  </si>
  <si>
    <t>Quarter 8</t>
  </si>
  <si>
    <t>Quarter 9</t>
  </si>
  <si>
    <t>Quarter 10</t>
  </si>
  <si>
    <t>Quarter 11</t>
  </si>
  <si>
    <t>Quarter 12</t>
  </si>
  <si>
    <t>Q1 2021</t>
  </si>
  <si>
    <t>&lt;-- Number of customers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</si>
  <si>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</si>
  <si>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</si>
  <si>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</si>
  <si>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</si>
  <si>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</si>
  <si>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</si>
  <si>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</si>
  <si>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</si>
  <si>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</si>
  <si>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</si>
  <si>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</si>
  <si>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&lt;-- % of customers</t>
  </si>
  <si>
    <t>Replace the blue hardcoded numbers and months in the "Raw Data" section with your own data and fill in each cohort</t>
  </si>
  <si>
    <t>Recall, the leading indicator is true of P% of customers achieve E event(s) within T time</t>
  </si>
  <si>
    <t>(P)ercentage = usually &gt;75%</t>
  </si>
  <si>
    <t>(E)vents = (1) objective, (2) instrument-able, (3) aligned with customer success and/or value creation, (4) correlated with your unique value prop, (5) event combinations are ok but keep it simple</t>
  </si>
  <si>
    <t>(T)ime = usually within 30 days - faster for easy to setup products (e.g., PLG) could be months for products with length set up times</t>
  </si>
  <si>
    <t>Month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</si>
</sst>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Month &quot;#;;&quot;Month 0&quot;"/>
    <numFmt numFmtId="165" formatCode="&quot;Cohort &quot;#;;&quot;Cohort 0&quot;"/>
    <numFmt numFmtId="166" formatCode="&quot;$&quot;#,##0"/>
    <numFmt numFmtId="167" formatCode="mmm\ yyyy"/>
    <numFmt numFmtId="168" formatCode="#,##0%_);\(#,##0%\)"/>
  </numFmts>
  <fonts count="19">
    <font>
      <sz val="11.0"/>
      <color theme="1"/>
      <name val="Calibri"/>
      <scheme val="minor"/>
    </font>
    <font>
      <color theme="1"/>
      <name val="Calibri"/>
      <scheme val="minor"/>
    </font>
    <font>
      <u/>
      <color rgb="FF0000FF"/>
    </font>
    <font>
      <b/>
      <sz val="14.0"/>
      <color rgb="FF000000"/>
      <name val="DM Serif Display"/>
    </font>
    <font/>
    <font>
      <color theme="1"/>
      <name val="Inter"/>
    </font>
    <font>
      <sz val="11.0"/>
      <color theme="1"/>
      <name val="Calibri"/>
    </font>
    <font>
      <sz val="11.0"/>
      <color theme="1"/>
      <name val="Inter"/>
    </font>
    <font>
      <i/>
      <sz val="11.0"/>
      <color theme="1"/>
      <name val="Inter"/>
    </font>
    <font>
      <b/>
      <sz val="11.0"/>
      <color rgb="FFFFFFFF"/>
      <name val="Inter"/>
    </font>
    <font>
      <b/>
      <sz val="11.0"/>
      <color rgb="FF0000FF"/>
      <name val="Inter"/>
    </font>
    <font>
      <b/>
      <sz val="11.0"/>
      <color theme="1"/>
      <name val="Inter"/>
    </font>
    <font>
      <sz val="11.0"/>
      <color rgb="FF0000FF"/>
      <name val="Inter"/>
    </font>
    <font>
      <sz val="11.0"/>
      <color rgb="FFFF0845"/>
      <name val="Inter"/>
    </font>
    <font>
      <sz val="11.0"/>
      <color rgb="FF00B050"/>
      <name val="Inter"/>
    </font>
    <font>
      <i/>
      <sz val="11.0"/>
      <color rgb="FF0000FF"/>
      <name val="Inter"/>
    </font>
    <font>
      <b/>
      <color theme="1"/>
      <name val="Inter"/>
    </font>
    <font>
      <sz val="11.0"/>
      <color rgb="FF008D93"/>
      <name val="Inter"/>
    </font>
    <font>
      <color rgb="FF666666"/>
      <name val="Inter"/>
    </font>
  </fonts>
  <fills count="73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1FBFC5"/>
        <bgColor rgb="FF1FBFC5"/>
      </patternFill>
    </fill>
    <fill>
      <patternFill patternType="solid">
        <fgColor rgb="FF000000"/>
        <bgColor rgb="FF000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0845"/>
        <bgColor rgb="FFFF0845"/>
      </patternFill>
    </fill>
    <fill>
      <patternFill patternType="solid">
        <fgColor rgb="FFF98670"/>
        <bgColor rgb="FFF98670"/>
      </patternFill>
    </fill>
    <fill>
      <patternFill patternType="solid">
        <fgColor rgb="FFFAA075"/>
        <bgColor rgb="FFFAA075"/>
      </patternFill>
    </fill>
    <fill>
      <patternFill patternType="solid">
        <fgColor rgb="FFFCB97A"/>
        <bgColor rgb="FFFCB97A"/>
      </patternFill>
    </fill>
    <fill>
      <patternFill patternType="solid">
        <fgColor rgb="FFFDD37F"/>
        <bgColor rgb="FFFDD37F"/>
      </patternFill>
    </fill>
    <fill>
      <patternFill patternType="solid">
        <fgColor rgb="FFFEEB84"/>
        <bgColor rgb="FFFEEB84"/>
      </patternFill>
    </fill>
    <fill>
      <patternFill patternType="solid">
        <fgColor rgb="FFF5E884"/>
        <bgColor rgb="FFF5E884"/>
      </patternFill>
    </fill>
    <fill>
      <patternFill patternType="solid">
        <fgColor rgb="FFFBB179"/>
        <bgColor rgb="FFFBB179"/>
      </patternFill>
    </fill>
    <fill>
      <patternFill patternType="solid">
        <fgColor rgb="FFFDC97D"/>
        <bgColor rgb="FFFDC97D"/>
      </patternFill>
    </fill>
    <fill>
      <patternFill patternType="solid">
        <fgColor rgb="FFFEE182"/>
        <bgColor rgb="FFFEE182"/>
      </patternFill>
    </fill>
    <fill>
      <patternFill patternType="solid">
        <fgColor rgb="FFFAEA84"/>
        <bgColor rgb="FFFAEA84"/>
      </patternFill>
    </fill>
    <fill>
      <patternFill patternType="solid">
        <fgColor rgb="FFE8E583"/>
        <bgColor rgb="FFE8E583"/>
      </patternFill>
    </fill>
    <fill>
      <patternFill patternType="solid">
        <fgColor rgb="FFCCDD82"/>
        <bgColor rgb="FFCCDD82"/>
      </patternFill>
    </fill>
    <fill>
      <patternFill patternType="solid">
        <fgColor rgb="FFB1D580"/>
        <bgColor rgb="FFB1D580"/>
      </patternFill>
    </fill>
    <fill>
      <patternFill patternType="solid">
        <fgColor rgb="FFA7D27F"/>
        <bgColor rgb="FFA7D27F"/>
      </patternFill>
    </fill>
    <fill>
      <patternFill patternType="solid">
        <fgColor rgb="FFF1E784"/>
        <bgColor rgb="FFF1E784"/>
      </patternFill>
    </fill>
    <fill>
      <patternFill patternType="solid">
        <fgColor rgb="FFF97D6E"/>
        <bgColor rgb="FFF97D6E"/>
      </patternFill>
    </fill>
    <fill>
      <patternFill patternType="solid">
        <fgColor rgb="FFFA9273"/>
        <bgColor rgb="FFFA9273"/>
      </patternFill>
    </fill>
    <fill>
      <patternFill patternType="solid">
        <fgColor rgb="FFFBA877"/>
        <bgColor rgb="FFFBA877"/>
      </patternFill>
    </fill>
    <fill>
      <patternFill patternType="solid">
        <fgColor rgb="FFFCBD7B"/>
        <bgColor rgb="FFFCBD7B"/>
      </patternFill>
    </fill>
    <fill>
      <patternFill patternType="solid">
        <fgColor rgb="FFFEE883"/>
        <bgColor rgb="FFFEE883"/>
      </patternFill>
    </fill>
    <fill>
      <patternFill patternType="solid">
        <fgColor rgb="FFF8E984"/>
        <bgColor rgb="FFF8E984"/>
      </patternFill>
    </fill>
    <fill>
      <patternFill patternType="solid">
        <fgColor rgb="FFE0E283"/>
        <bgColor rgb="FFE0E283"/>
      </patternFill>
    </fill>
    <fill>
      <patternFill patternType="solid">
        <fgColor rgb="FFD7E082"/>
        <bgColor rgb="FFD7E082"/>
      </patternFill>
    </fill>
    <fill>
      <patternFill patternType="solid">
        <fgColor rgb="FFF8736C"/>
        <bgColor rgb="FFF8736C"/>
      </patternFill>
    </fill>
    <fill>
      <patternFill patternType="solid">
        <fgColor rgb="FFF98370"/>
        <bgColor rgb="FFF98370"/>
      </patternFill>
    </fill>
    <fill>
      <patternFill patternType="solid">
        <fgColor rgb="FFFA9373"/>
        <bgColor rgb="FFFA9373"/>
      </patternFill>
    </fill>
    <fill>
      <patternFill patternType="solid">
        <fgColor rgb="FFFBA476"/>
        <bgColor rgb="FFFBA476"/>
      </patternFill>
    </fill>
    <fill>
      <patternFill patternType="solid">
        <fgColor rgb="FFFCC47C"/>
        <bgColor rgb="FFFCC47C"/>
      </patternFill>
    </fill>
    <fill>
      <patternFill patternType="solid">
        <fgColor rgb="FFFDD57F"/>
        <bgColor rgb="FFFDD57F"/>
      </patternFill>
    </fill>
    <fill>
      <patternFill patternType="solid">
        <fgColor rgb="FFFBEA84"/>
        <bgColor rgb="FFFBEA84"/>
      </patternFill>
    </fill>
    <fill>
      <patternFill patternType="solid">
        <fgColor rgb="FF9DCF7F"/>
        <bgColor rgb="FF9DCF7F"/>
      </patternFill>
    </fill>
    <fill>
      <patternFill patternType="solid">
        <fgColor rgb="FFF86D6B"/>
        <bgColor rgb="FFF86D6B"/>
      </patternFill>
    </fill>
    <fill>
      <patternFill patternType="solid">
        <fgColor rgb="FFE2E383"/>
        <bgColor rgb="FFE2E383"/>
      </patternFill>
    </fill>
    <fill>
      <patternFill patternType="solid">
        <fgColor rgb="FFD2DE82"/>
        <bgColor rgb="FFD2DE82"/>
      </patternFill>
    </fill>
    <fill>
      <patternFill patternType="solid">
        <fgColor rgb="FFC8DC81"/>
        <bgColor rgb="FFC8DC81"/>
      </patternFill>
    </fill>
    <fill>
      <patternFill patternType="solid">
        <fgColor rgb="FFB9D780"/>
        <bgColor rgb="FFB9D780"/>
      </patternFill>
    </fill>
    <fill>
      <patternFill patternType="solid">
        <fgColor rgb="FFAED480"/>
        <bgColor rgb="FFAED480"/>
      </patternFill>
    </fill>
    <fill>
      <patternFill patternType="solid">
        <fgColor rgb="FFA9D380"/>
        <bgColor rgb="FFA9D380"/>
      </patternFill>
    </fill>
    <fill>
      <patternFill patternType="solid">
        <fgColor rgb="FF9FD07F"/>
        <bgColor rgb="FF9FD07F"/>
      </patternFill>
    </fill>
    <fill>
      <patternFill patternType="solid">
        <fgColor rgb="FFFA9E75"/>
        <bgColor rgb="FFFA9E75"/>
      </patternFill>
    </fill>
    <fill>
      <patternFill patternType="solid">
        <fgColor rgb="FFE3E383"/>
        <bgColor rgb="FFE3E383"/>
      </patternFill>
    </fill>
    <fill>
      <patternFill patternType="solid">
        <fgColor rgb="FFDDE283"/>
        <bgColor rgb="FFDDE283"/>
      </patternFill>
    </fill>
    <fill>
      <patternFill patternType="solid">
        <fgColor rgb="FFBAD780"/>
        <bgColor rgb="FFBAD780"/>
      </patternFill>
    </fill>
    <fill>
      <patternFill patternType="solid">
        <fgColor rgb="FFA3D17F"/>
        <bgColor rgb="FFA3D17F"/>
      </patternFill>
    </fill>
    <fill>
      <patternFill patternType="solid">
        <fgColor rgb="FF8CCA7E"/>
        <bgColor rgb="FF8CCA7E"/>
      </patternFill>
    </fill>
    <fill>
      <patternFill patternType="solid">
        <fgColor rgb="FFF8736D"/>
        <bgColor rgb="FFF8736D"/>
      </patternFill>
    </fill>
    <fill>
      <patternFill patternType="solid">
        <fgColor rgb="FFF98470"/>
        <bgColor rgb="FFF98470"/>
      </patternFill>
    </fill>
    <fill>
      <patternFill patternType="solid">
        <fgColor rgb="FFFA9573"/>
        <bgColor rgb="FFFA9573"/>
      </patternFill>
    </fill>
    <fill>
      <patternFill patternType="solid">
        <fgColor rgb="FFFBA676"/>
        <bgColor rgb="FFFBA676"/>
      </patternFill>
    </fill>
    <fill>
      <patternFill patternType="solid">
        <fgColor rgb="FFFDC77D"/>
        <bgColor rgb="FFFDC77D"/>
      </patternFill>
    </fill>
    <fill>
      <patternFill patternType="solid">
        <fgColor rgb="FF86C87D"/>
        <bgColor rgb="FF86C87D"/>
      </patternFill>
    </fill>
    <fill>
      <patternFill patternType="solid">
        <fgColor rgb="FFF8726C"/>
        <bgColor rgb="FFF8726C"/>
      </patternFill>
    </fill>
    <fill>
      <patternFill patternType="solid">
        <fgColor rgb="FFF9826F"/>
        <bgColor rgb="FFF9826F"/>
      </patternFill>
    </fill>
    <fill>
      <patternFill patternType="solid">
        <fgColor rgb="FFFA9272"/>
        <bgColor rgb="FFFA9272"/>
      </patternFill>
    </fill>
    <fill>
      <patternFill patternType="solid">
        <fgColor rgb="FFFBA275"/>
        <bgColor rgb="FFFBA275"/>
      </patternFill>
    </fill>
    <fill>
      <patternFill patternType="solid">
        <fgColor rgb="FF76C47D"/>
        <bgColor rgb="FF76C47D"/>
      </patternFill>
    </fill>
    <fill>
      <patternFill patternType="solid">
        <fgColor rgb="FFF86B6B"/>
        <bgColor rgb="FFF86B6B"/>
      </patternFill>
    </fill>
    <fill>
      <patternFill patternType="solid">
        <fgColor rgb="FFB5D680"/>
        <bgColor rgb="FFB5D680"/>
      </patternFill>
    </fill>
    <fill>
      <patternFill patternType="solid">
        <fgColor rgb="FF8ECB7E"/>
        <bgColor rgb="FF8ECB7E"/>
      </patternFill>
    </fill>
    <fill>
      <patternFill patternType="solid">
        <fgColor rgb="FF63BE7B"/>
        <bgColor rgb="FF63BE7B"/>
      </patternFill>
    </fill>
    <fill>
      <patternFill patternType="solid">
        <fgColor rgb="FFF8696B"/>
        <bgColor rgb="FFF8696B"/>
      </patternFill>
    </fill>
    <fill>
      <patternFill patternType="solid">
        <fgColor rgb="FFB8D780"/>
        <bgColor rgb="FFB8D780"/>
      </patternFill>
    </fill>
    <fill>
      <patternFill patternType="solid">
        <fgColor rgb="FF95CD7E"/>
        <bgColor rgb="FF95CD7E"/>
      </patternFill>
    </fill>
    <fill>
      <patternFill patternType="solid">
        <fgColor rgb="FF87C97E"/>
        <bgColor rgb="FF87C97E"/>
      </patternFill>
    </fill>
    <fill>
      <patternFill patternType="solid">
        <fgColor rgb="FFFA9172"/>
        <bgColor rgb="FFFA9172"/>
      </patternFill>
    </fill>
  </fills>
  <borders count="15">
    <border/>
    <border>
      <left/>
      <top/>
      <bottom/>
    </border>
    <border>
      <top/>
      <bottom/>
    </border>
    <border>
      <right/>
      <top/>
      <bottom/>
    </border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BFBFBF"/>
      </bottom>
    </border>
    <border>
      <right style="thin">
        <color rgb="FF000000"/>
      </right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top style="thin">
        <color rgb="FFBFBFBF"/>
      </top>
    </border>
    <border>
      <left style="thin">
        <color rgb="FF000000"/>
      </left>
      <top style="thin">
        <color rgb="FF000000"/>
      </top>
      <bottom style="thin">
        <color rgb="FFBFBFBF"/>
      </bottom>
    </border>
    <border>
      <top style="thin">
        <color rgb="FF000000"/>
      </top>
      <bottom style="thin">
        <color rgb="FFBFBFBF"/>
      </bottom>
    </border>
    <border>
      <left style="thin">
        <color rgb="FF000000"/>
      </left>
      <top style="thin">
        <color rgb="FFBFBFBF"/>
      </top>
      <bottom style="thin">
        <color rgb="FFBFBFBF"/>
      </bottom>
    </border>
    <border>
      <left style="thin">
        <color rgb="FF000000"/>
      </left>
      <top style="thin">
        <color rgb="FFBFBFBF"/>
      </top>
    </border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/>
    </xf>
    <xf borderId="2" fillId="0" fontId="4" numFmtId="0" xfId="0" applyBorder="1" applyFont="1"/>
    <xf borderId="3" fillId="0" fontId="4" numFmtId="0" xfId="0" applyBorder="1" applyFont="1"/>
    <xf borderId="0" fillId="0" fontId="5" numFmtId="0" xfId="0" applyFont="1"/>
    <xf borderId="0" fillId="0" fontId="6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4" fillId="0" fontId="6" numFmtId="0" xfId="0" applyAlignment="1" applyBorder="1" applyFont="1">
      <alignment vertical="bottom"/>
    </xf>
    <xf borderId="4" fillId="0" fontId="8" numFmtId="0" xfId="0" applyAlignment="1" applyBorder="1" applyFont="1">
      <alignment shrinkToFit="0" vertical="bottom" wrapText="0"/>
    </xf>
    <xf borderId="5" fillId="0" fontId="6" numFmtId="0" xfId="0" applyAlignment="1" applyBorder="1" applyFont="1">
      <alignment vertical="bottom"/>
    </xf>
    <xf borderId="4" fillId="4" fontId="9" numFmtId="0" xfId="0" applyAlignment="1" applyBorder="1" applyFill="1" applyFont="1">
      <alignment horizontal="center"/>
    </xf>
    <xf borderId="4" fillId="0" fontId="4" numFmtId="0" xfId="0" applyBorder="1" applyFont="1"/>
    <xf borderId="6" fillId="0" fontId="4" numFmtId="0" xfId="0" applyBorder="1" applyFont="1"/>
    <xf borderId="0" fillId="0" fontId="7" numFmtId="0" xfId="0" applyAlignment="1" applyFont="1">
      <alignment vertical="bottom"/>
    </xf>
    <xf borderId="5" fillId="0" fontId="10" numFmtId="0" xfId="0" applyAlignment="1" applyBorder="1" applyFont="1">
      <alignment horizontal="center" vertical="bottom"/>
    </xf>
    <xf borderId="5" fillId="5" fontId="6" numFmtId="0" xfId="0" applyBorder="1" applyFill="1" applyFont="1"/>
    <xf borderId="0" fillId="0" fontId="7" numFmtId="0" xfId="0" applyAlignment="1" applyFont="1">
      <alignment shrinkToFit="0" wrapText="0"/>
    </xf>
    <xf borderId="5" fillId="0" fontId="6" numFmtId="0" xfId="0" applyBorder="1" applyFont="1"/>
    <xf borderId="6" fillId="6" fontId="6" numFmtId="0" xfId="0" applyBorder="1" applyFill="1" applyFont="1"/>
    <xf borderId="4" fillId="0" fontId="7" numFmtId="0" xfId="0" applyAlignment="1" applyBorder="1" applyFont="1">
      <alignment shrinkToFit="0" wrapText="0"/>
    </xf>
    <xf borderId="6" fillId="0" fontId="6" numFmtId="0" xfId="0" applyBorder="1" applyFont="1"/>
    <xf borderId="1" fillId="3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shrinkToFit="0" vertical="bottom" wrapText="0"/>
    </xf>
    <xf borderId="4" fillId="0" fontId="11" numFmtId="0" xfId="0" applyAlignment="1" applyBorder="1" applyFont="1">
      <alignment horizontal="center" vertical="bottom"/>
    </xf>
    <xf borderId="4" fillId="0" fontId="11" numFmtId="16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shrinkToFit="0" vertical="bottom" wrapText="0"/>
    </xf>
    <xf borderId="7" fillId="0" fontId="12" numFmtId="0" xfId="0" applyAlignment="1" applyBorder="1" applyFont="1">
      <alignment horizontal="center" vertical="bottom"/>
    </xf>
    <xf borderId="7" fillId="0" fontId="12" numFmtId="166" xfId="0" applyAlignment="1" applyBorder="1" applyFont="1" applyNumberFormat="1">
      <alignment horizontal="center" vertical="bottom"/>
    </xf>
    <xf borderId="7" fillId="0" fontId="12" numFmtId="0" xfId="0" applyAlignment="1" applyBorder="1" applyFont="1">
      <alignment horizontal="right" vertical="bottom"/>
    </xf>
    <xf borderId="7" fillId="0" fontId="6" numFmtId="0" xfId="0" applyAlignment="1" applyBorder="1" applyFont="1">
      <alignment vertical="bottom"/>
    </xf>
    <xf borderId="1" fillId="3" fontId="11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center" shrinkToFit="0" vertical="bottom" wrapText="0"/>
    </xf>
    <xf borderId="7" fillId="0" fontId="7" numFmtId="167" xfId="0" applyAlignment="1" applyBorder="1" applyFont="1" applyNumberFormat="1">
      <alignment horizontal="center" vertical="bottom"/>
    </xf>
    <xf borderId="7" fillId="0" fontId="7" numFmtId="166" xfId="0" applyAlignment="1" applyBorder="1" applyFont="1" applyNumberFormat="1">
      <alignment horizontal="center" vertical="bottom"/>
    </xf>
    <xf borderId="8" fillId="0" fontId="7" numFmtId="167" xfId="0" applyAlignment="1" applyBorder="1" applyFont="1" applyNumberFormat="1">
      <alignment horizontal="center" vertical="bottom"/>
    </xf>
    <xf borderId="7" fillId="7" fontId="13" numFmtId="0" xfId="0" applyAlignment="1" applyBorder="1" applyFill="1" applyFont="1">
      <alignment horizontal="right" vertical="bottom"/>
    </xf>
    <xf borderId="7" fillId="5" fontId="14" numFmtId="0" xfId="0" applyAlignment="1" applyBorder="1" applyFont="1">
      <alignment horizontal="right" vertical="bottom"/>
    </xf>
    <xf borderId="7" fillId="0" fontId="7" numFmtId="0" xfId="0" applyAlignment="1" applyBorder="1" applyFont="1">
      <alignment horizontal="center" vertical="bottom"/>
    </xf>
    <xf borderId="5" fillId="0" fontId="11" numFmtId="0" xfId="0" applyAlignment="1" applyBorder="1" applyFont="1">
      <alignment shrinkToFit="0" vertical="bottom" wrapText="0"/>
    </xf>
    <xf borderId="6" fillId="0" fontId="11" numFmtId="9" xfId="0" applyAlignment="1" applyBorder="1" applyFont="1" applyNumberFormat="1">
      <alignment horizontal="center" vertical="bottom"/>
    </xf>
    <xf borderId="0" fillId="0" fontId="11" numFmtId="0" xfId="0" applyAlignment="1" applyFont="1">
      <alignment horizontal="right" vertical="bottom"/>
    </xf>
    <xf borderId="0" fillId="0" fontId="11" numFmtId="9" xfId="0" applyAlignment="1" applyFont="1" applyNumberFormat="1">
      <alignment horizontal="right" vertical="bottom"/>
    </xf>
    <xf borderId="5" fillId="0" fontId="10" numFmtId="9" xfId="0" applyAlignment="1" applyBorder="1" applyFont="1" applyNumberFormat="1">
      <alignment horizontal="center" vertical="bottom"/>
    </xf>
    <xf borderId="4" fillId="0" fontId="11" numFmtId="0" xfId="0" applyAlignment="1" applyBorder="1" applyFont="1">
      <alignment horizontal="center" shrinkToFit="0" vertical="bottom" wrapText="1"/>
    </xf>
    <xf borderId="7" fillId="0" fontId="7" numFmtId="1" xfId="0" applyAlignment="1" applyBorder="1" applyFont="1" applyNumberFormat="1">
      <alignment horizontal="center" vertical="bottom"/>
    </xf>
    <xf borderId="0" fillId="4" fontId="9" numFmtId="0" xfId="0" applyAlignment="1" applyFont="1">
      <alignment horizontal="center"/>
    </xf>
    <xf borderId="5" fillId="0" fontId="4" numFmtId="0" xfId="0" applyBorder="1" applyFont="1"/>
    <xf borderId="7" fillId="0" fontId="15" numFmtId="9" xfId="0" applyAlignment="1" applyBorder="1" applyFont="1" applyNumberFormat="1">
      <alignment horizontal="right" vertical="bottom"/>
    </xf>
    <xf borderId="7" fillId="0" fontId="7" numFmtId="9" xfId="0" applyAlignment="1" applyBorder="1" applyFont="1" applyNumberFormat="1">
      <alignment horizontal="center" vertical="bottom"/>
    </xf>
    <xf borderId="7" fillId="0" fontId="7" numFmtId="0" xfId="0" applyAlignment="1" applyBorder="1" applyFont="1">
      <alignment shrinkToFit="0" vertical="bottom" wrapText="0"/>
    </xf>
    <xf borderId="7" fillId="0" fontId="7" numFmtId="165" xfId="0" applyAlignment="1" applyBorder="1" applyFont="1" applyNumberFormat="1">
      <alignment horizontal="center" vertical="bottom"/>
    </xf>
    <xf borderId="8" fillId="0" fontId="7" numFmtId="0" xfId="0" applyAlignment="1" applyBorder="1" applyFont="1">
      <alignment horizontal="right" vertical="bottom"/>
    </xf>
    <xf borderId="7" fillId="8" fontId="7" numFmtId="168" xfId="0" applyAlignment="1" applyBorder="1" applyFill="1" applyFont="1" applyNumberFormat="1">
      <alignment horizontal="right" vertical="bottom"/>
    </xf>
    <xf borderId="7" fillId="9" fontId="7" numFmtId="168" xfId="0" applyAlignment="1" applyBorder="1" applyFill="1" applyFont="1" applyNumberFormat="1">
      <alignment horizontal="right" vertical="bottom"/>
    </xf>
    <xf borderId="7" fillId="10" fontId="7" numFmtId="168" xfId="0" applyAlignment="1" applyBorder="1" applyFill="1" applyFont="1" applyNumberFormat="1">
      <alignment horizontal="right" vertical="bottom"/>
    </xf>
    <xf borderId="7" fillId="11" fontId="7" numFmtId="168" xfId="0" applyAlignment="1" applyBorder="1" applyFill="1" applyFont="1" applyNumberFormat="1">
      <alignment horizontal="right" vertical="bottom"/>
    </xf>
    <xf borderId="7" fillId="12" fontId="7" numFmtId="168" xfId="0" applyAlignment="1" applyBorder="1" applyFill="1" applyFont="1" applyNumberFormat="1">
      <alignment horizontal="right" vertical="bottom"/>
    </xf>
    <xf borderId="7" fillId="13" fontId="7" numFmtId="168" xfId="0" applyAlignment="1" applyBorder="1" applyFill="1" applyFont="1" applyNumberFormat="1">
      <alignment horizontal="right" vertical="bottom"/>
    </xf>
    <xf borderId="7" fillId="14" fontId="7" numFmtId="168" xfId="0" applyAlignment="1" applyBorder="1" applyFill="1" applyFont="1" applyNumberFormat="1">
      <alignment horizontal="right" vertical="bottom"/>
    </xf>
    <xf borderId="7" fillId="15" fontId="7" numFmtId="168" xfId="0" applyAlignment="1" applyBorder="1" applyFill="1" applyFont="1" applyNumberFormat="1">
      <alignment horizontal="right" vertical="bottom"/>
    </xf>
    <xf borderId="7" fillId="16" fontId="7" numFmtId="168" xfId="0" applyAlignment="1" applyBorder="1" applyFill="1" applyFont="1" applyNumberFormat="1">
      <alignment horizontal="right" vertical="bottom"/>
    </xf>
    <xf borderId="7" fillId="17" fontId="7" numFmtId="168" xfId="0" applyAlignment="1" applyBorder="1" applyFill="1" applyFont="1" applyNumberFormat="1">
      <alignment horizontal="right" vertical="bottom"/>
    </xf>
    <xf borderId="7" fillId="18" fontId="7" numFmtId="168" xfId="0" applyAlignment="1" applyBorder="1" applyFill="1" applyFont="1" applyNumberFormat="1">
      <alignment horizontal="right" vertical="bottom"/>
    </xf>
    <xf borderId="7" fillId="19" fontId="7" numFmtId="168" xfId="0" applyAlignment="1" applyBorder="1" applyFill="1" applyFont="1" applyNumberFormat="1">
      <alignment horizontal="right" vertical="bottom"/>
    </xf>
    <xf borderId="7" fillId="20" fontId="7" numFmtId="168" xfId="0" applyAlignment="1" applyBorder="1" applyFill="1" applyFont="1" applyNumberFormat="1">
      <alignment horizontal="right" vertical="bottom"/>
    </xf>
    <xf borderId="7" fillId="21" fontId="7" numFmtId="168" xfId="0" applyAlignment="1" applyBorder="1" applyFill="1" applyFont="1" applyNumberFormat="1">
      <alignment horizontal="right" vertical="bottom"/>
    </xf>
    <xf borderId="7" fillId="22" fontId="7" numFmtId="168" xfId="0" applyAlignment="1" applyBorder="1" applyFill="1" applyFont="1" applyNumberFormat="1">
      <alignment horizontal="right" vertical="bottom"/>
    </xf>
    <xf borderId="7" fillId="0" fontId="6" numFmtId="168" xfId="0" applyAlignment="1" applyBorder="1" applyFont="1" applyNumberFormat="1">
      <alignment vertical="bottom"/>
    </xf>
    <xf borderId="7" fillId="23" fontId="7" numFmtId="168" xfId="0" applyAlignment="1" applyBorder="1" applyFill="1" applyFont="1" applyNumberFormat="1">
      <alignment horizontal="right" vertical="bottom"/>
    </xf>
    <xf borderId="7" fillId="24" fontId="7" numFmtId="168" xfId="0" applyAlignment="1" applyBorder="1" applyFill="1" applyFont="1" applyNumberFormat="1">
      <alignment horizontal="right" vertical="bottom"/>
    </xf>
    <xf borderId="7" fillId="25" fontId="7" numFmtId="168" xfId="0" applyAlignment="1" applyBorder="1" applyFill="1" applyFont="1" applyNumberFormat="1">
      <alignment horizontal="right" vertical="bottom"/>
    </xf>
    <xf borderId="7" fillId="26" fontId="7" numFmtId="168" xfId="0" applyAlignment="1" applyBorder="1" applyFill="1" applyFont="1" applyNumberFormat="1">
      <alignment horizontal="right" vertical="bottom"/>
    </xf>
    <xf borderId="7" fillId="27" fontId="7" numFmtId="168" xfId="0" applyAlignment="1" applyBorder="1" applyFill="1" applyFont="1" applyNumberFormat="1">
      <alignment horizontal="right" vertical="bottom"/>
    </xf>
    <xf borderId="7" fillId="28" fontId="7" numFmtId="168" xfId="0" applyAlignment="1" applyBorder="1" applyFill="1" applyFont="1" applyNumberFormat="1">
      <alignment horizontal="right" vertical="bottom"/>
    </xf>
    <xf borderId="7" fillId="29" fontId="7" numFmtId="168" xfId="0" applyAlignment="1" applyBorder="1" applyFill="1" applyFont="1" applyNumberFormat="1">
      <alignment horizontal="right" vertical="bottom"/>
    </xf>
    <xf borderId="7" fillId="30" fontId="7" numFmtId="168" xfId="0" applyAlignment="1" applyBorder="1" applyFill="1" applyFont="1" applyNumberFormat="1">
      <alignment horizontal="right" vertical="bottom"/>
    </xf>
    <xf borderId="7" fillId="31" fontId="7" numFmtId="168" xfId="0" applyAlignment="1" applyBorder="1" applyFill="1" applyFont="1" applyNumberFormat="1">
      <alignment horizontal="right" vertical="bottom"/>
    </xf>
    <xf borderId="7" fillId="32" fontId="7" numFmtId="168" xfId="0" applyAlignment="1" applyBorder="1" applyFill="1" applyFont="1" applyNumberFormat="1">
      <alignment horizontal="right" vertical="bottom"/>
    </xf>
    <xf borderId="7" fillId="33" fontId="7" numFmtId="168" xfId="0" applyAlignment="1" applyBorder="1" applyFill="1" applyFont="1" applyNumberFormat="1">
      <alignment horizontal="right" vertical="bottom"/>
    </xf>
    <xf borderId="7" fillId="34" fontId="7" numFmtId="168" xfId="0" applyAlignment="1" applyBorder="1" applyFill="1" applyFont="1" applyNumberFormat="1">
      <alignment horizontal="right" vertical="bottom"/>
    </xf>
    <xf borderId="7" fillId="35" fontId="7" numFmtId="168" xfId="0" applyAlignment="1" applyBorder="1" applyFill="1" applyFont="1" applyNumberFormat="1">
      <alignment horizontal="right" vertical="bottom"/>
    </xf>
    <xf borderId="7" fillId="36" fontId="7" numFmtId="168" xfId="0" applyAlignment="1" applyBorder="1" applyFill="1" applyFont="1" applyNumberFormat="1">
      <alignment horizontal="right" vertical="bottom"/>
    </xf>
    <xf borderId="7" fillId="37" fontId="7" numFmtId="168" xfId="0" applyAlignment="1" applyBorder="1" applyFill="1" applyFont="1" applyNumberFormat="1">
      <alignment horizontal="right" vertical="bottom"/>
    </xf>
    <xf borderId="7" fillId="38" fontId="7" numFmtId="168" xfId="0" applyAlignment="1" applyBorder="1" applyFill="1" applyFont="1" applyNumberFormat="1">
      <alignment horizontal="right" vertical="bottom"/>
    </xf>
    <xf borderId="7" fillId="39" fontId="7" numFmtId="168" xfId="0" applyAlignment="1" applyBorder="1" applyFill="1" applyFont="1" applyNumberFormat="1">
      <alignment horizontal="right" vertical="bottom"/>
    </xf>
    <xf borderId="7" fillId="40" fontId="7" numFmtId="168" xfId="0" applyAlignment="1" applyBorder="1" applyFill="1" applyFont="1" applyNumberFormat="1">
      <alignment horizontal="right" vertical="bottom"/>
    </xf>
    <xf borderId="7" fillId="41" fontId="7" numFmtId="168" xfId="0" applyAlignment="1" applyBorder="1" applyFill="1" applyFont="1" applyNumberFormat="1">
      <alignment horizontal="right" vertical="bottom"/>
    </xf>
    <xf borderId="7" fillId="42" fontId="7" numFmtId="168" xfId="0" applyAlignment="1" applyBorder="1" applyFill="1" applyFont="1" applyNumberFormat="1">
      <alignment horizontal="right" vertical="bottom"/>
    </xf>
    <xf borderId="7" fillId="43" fontId="7" numFmtId="168" xfId="0" applyAlignment="1" applyBorder="1" applyFill="1" applyFont="1" applyNumberFormat="1">
      <alignment horizontal="right" vertical="bottom"/>
    </xf>
    <xf borderId="7" fillId="44" fontId="7" numFmtId="168" xfId="0" applyAlignment="1" applyBorder="1" applyFill="1" applyFont="1" applyNumberFormat="1">
      <alignment horizontal="right" vertical="bottom"/>
    </xf>
    <xf borderId="7" fillId="45" fontId="7" numFmtId="168" xfId="0" applyAlignment="1" applyBorder="1" applyFill="1" applyFont="1" applyNumberFormat="1">
      <alignment horizontal="right" vertical="bottom"/>
    </xf>
    <xf borderId="7" fillId="46" fontId="7" numFmtId="168" xfId="0" applyAlignment="1" applyBorder="1" applyFill="1" applyFont="1" applyNumberFormat="1">
      <alignment horizontal="right" vertical="bottom"/>
    </xf>
    <xf borderId="7" fillId="47" fontId="7" numFmtId="168" xfId="0" applyAlignment="1" applyBorder="1" applyFill="1" applyFont="1" applyNumberFormat="1">
      <alignment horizontal="right" vertical="bottom"/>
    </xf>
    <xf borderId="7" fillId="48" fontId="7" numFmtId="168" xfId="0" applyAlignment="1" applyBorder="1" applyFill="1" applyFont="1" applyNumberFormat="1">
      <alignment horizontal="right" vertical="bottom"/>
    </xf>
    <xf borderId="7" fillId="49" fontId="7" numFmtId="168" xfId="0" applyAlignment="1" applyBorder="1" applyFill="1" applyFont="1" applyNumberFormat="1">
      <alignment horizontal="right" vertical="bottom"/>
    </xf>
    <xf borderId="7" fillId="50" fontId="7" numFmtId="168" xfId="0" applyAlignment="1" applyBorder="1" applyFill="1" applyFont="1" applyNumberFormat="1">
      <alignment horizontal="right" vertical="bottom"/>
    </xf>
    <xf borderId="7" fillId="51" fontId="7" numFmtId="168" xfId="0" applyAlignment="1" applyBorder="1" applyFill="1" applyFont="1" applyNumberFormat="1">
      <alignment horizontal="right" vertical="bottom"/>
    </xf>
    <xf borderId="7" fillId="52" fontId="7" numFmtId="168" xfId="0" applyAlignment="1" applyBorder="1" applyFill="1" applyFont="1" applyNumberFormat="1">
      <alignment horizontal="right" vertical="bottom"/>
    </xf>
    <xf borderId="7" fillId="53" fontId="7" numFmtId="168" xfId="0" applyAlignment="1" applyBorder="1" applyFill="1" applyFont="1" applyNumberFormat="1">
      <alignment horizontal="right" vertical="bottom"/>
    </xf>
    <xf borderId="7" fillId="54" fontId="7" numFmtId="168" xfId="0" applyAlignment="1" applyBorder="1" applyFill="1" applyFont="1" applyNumberFormat="1">
      <alignment horizontal="right" vertical="bottom"/>
    </xf>
    <xf borderId="7" fillId="55" fontId="7" numFmtId="168" xfId="0" applyAlignment="1" applyBorder="1" applyFill="1" applyFont="1" applyNumberFormat="1">
      <alignment horizontal="right" vertical="bottom"/>
    </xf>
    <xf borderId="7" fillId="56" fontId="7" numFmtId="168" xfId="0" applyAlignment="1" applyBorder="1" applyFill="1" applyFont="1" applyNumberFormat="1">
      <alignment horizontal="right" vertical="bottom"/>
    </xf>
    <xf borderId="7" fillId="57" fontId="7" numFmtId="168" xfId="0" applyAlignment="1" applyBorder="1" applyFill="1" applyFont="1" applyNumberFormat="1">
      <alignment horizontal="right" vertical="bottom"/>
    </xf>
    <xf borderId="7" fillId="58" fontId="7" numFmtId="168" xfId="0" applyAlignment="1" applyBorder="1" applyFill="1" applyFont="1" applyNumberFormat="1">
      <alignment horizontal="right" vertical="bottom"/>
    </xf>
    <xf borderId="7" fillId="59" fontId="7" numFmtId="168" xfId="0" applyAlignment="1" applyBorder="1" applyFill="1" applyFont="1" applyNumberFormat="1">
      <alignment horizontal="right" vertical="bottom"/>
    </xf>
    <xf borderId="7" fillId="60" fontId="7" numFmtId="168" xfId="0" applyAlignment="1" applyBorder="1" applyFill="1" applyFont="1" applyNumberFormat="1">
      <alignment horizontal="right" vertical="bottom"/>
    </xf>
    <xf borderId="7" fillId="61" fontId="7" numFmtId="168" xfId="0" applyAlignment="1" applyBorder="1" applyFill="1" applyFont="1" applyNumberFormat="1">
      <alignment horizontal="right" vertical="bottom"/>
    </xf>
    <xf borderId="7" fillId="62" fontId="7" numFmtId="168" xfId="0" applyAlignment="1" applyBorder="1" applyFill="1" applyFont="1" applyNumberFormat="1">
      <alignment horizontal="right" vertical="bottom"/>
    </xf>
    <xf borderId="7" fillId="63" fontId="7" numFmtId="168" xfId="0" applyAlignment="1" applyBorder="1" applyFill="1" applyFont="1" applyNumberFormat="1">
      <alignment horizontal="right" vertical="bottom"/>
    </xf>
    <xf borderId="7" fillId="64" fontId="7" numFmtId="168" xfId="0" applyAlignment="1" applyBorder="1" applyFill="1" applyFont="1" applyNumberFormat="1">
      <alignment horizontal="right" vertical="bottom"/>
    </xf>
    <xf borderId="7" fillId="65" fontId="7" numFmtId="168" xfId="0" applyAlignment="1" applyBorder="1" applyFill="1" applyFont="1" applyNumberFormat="1">
      <alignment horizontal="right" vertical="bottom"/>
    </xf>
    <xf borderId="7" fillId="66" fontId="7" numFmtId="168" xfId="0" applyAlignment="1" applyBorder="1" applyFill="1" applyFont="1" applyNumberFormat="1">
      <alignment horizontal="right" vertical="bottom"/>
    </xf>
    <xf borderId="7" fillId="67" fontId="7" numFmtId="168" xfId="0" applyAlignment="1" applyBorder="1" applyFill="1" applyFont="1" applyNumberFormat="1">
      <alignment horizontal="right" vertical="bottom"/>
    </xf>
    <xf borderId="7" fillId="68" fontId="7" numFmtId="168" xfId="0" applyAlignment="1" applyBorder="1" applyFill="1" applyFont="1" applyNumberFormat="1">
      <alignment horizontal="right" vertical="bottom"/>
    </xf>
    <xf borderId="7" fillId="69" fontId="7" numFmtId="168" xfId="0" applyAlignment="1" applyBorder="1" applyFill="1" applyFont="1" applyNumberFormat="1">
      <alignment horizontal="right" vertical="bottom"/>
    </xf>
    <xf borderId="7" fillId="70" fontId="7" numFmtId="168" xfId="0" applyAlignment="1" applyBorder="1" applyFill="1" applyFont="1" applyNumberFormat="1">
      <alignment horizontal="right" vertical="bottom"/>
    </xf>
    <xf borderId="7" fillId="71" fontId="7" numFmtId="168" xfId="0" applyAlignment="1" applyBorder="1" applyFill="1" applyFont="1" applyNumberFormat="1">
      <alignment horizontal="right" vertical="bottom"/>
    </xf>
    <xf borderId="0" fillId="0" fontId="7" numFmtId="165" xfId="0" applyAlignment="1" applyFont="1" applyNumberFormat="1">
      <alignment horizontal="center" vertical="bottom"/>
    </xf>
    <xf borderId="7" fillId="0" fontId="7" numFmtId="0" xfId="0" applyAlignment="1" applyBorder="1" applyFont="1">
      <alignment horizontal="right" vertical="bottom"/>
    </xf>
    <xf borderId="7" fillId="72" fontId="7" numFmtId="168" xfId="0" applyAlignment="1" applyBorder="1" applyFill="1" applyFont="1" applyNumberFormat="1">
      <alignment horizontal="right" vertical="bottom"/>
    </xf>
    <xf borderId="0" fillId="0" fontId="8" numFmtId="0" xfId="0" applyFont="1"/>
    <xf borderId="4" fillId="0" fontId="11" numFmtId="0" xfId="0" applyBorder="1" applyFont="1"/>
    <xf borderId="0" fillId="0" fontId="16" numFmtId="0" xfId="0" applyFont="1"/>
    <xf borderId="4" fillId="0" fontId="11" numFmtId="0" xfId="0" applyAlignment="1" applyBorder="1" applyFont="1">
      <alignment horizontal="center"/>
    </xf>
    <xf borderId="4" fillId="0" fontId="11" numFmtId="164" xfId="0" applyAlignment="1" applyBorder="1" applyFont="1" applyNumberFormat="1">
      <alignment horizontal="center"/>
    </xf>
    <xf borderId="7" fillId="0" fontId="11" numFmtId="165" xfId="0" applyAlignment="1" applyBorder="1" applyFont="1" applyNumberFormat="1">
      <alignment horizontal="center"/>
    </xf>
    <xf borderId="7" fillId="0" fontId="17" numFmtId="167" xfId="0" applyAlignment="1" applyBorder="1" applyFont="1" applyNumberFormat="1">
      <alignment horizontal="center" readingOrder="0"/>
    </xf>
    <xf borderId="7" fillId="0" fontId="17" numFmtId="0" xfId="0" applyAlignment="1" applyBorder="1" applyFont="1">
      <alignment horizontal="right"/>
    </xf>
    <xf borderId="7" fillId="0" fontId="17" numFmtId="0" xfId="0" applyBorder="1" applyFont="1"/>
    <xf borderId="0" fillId="0" fontId="18" numFmtId="0" xfId="0" applyFont="1"/>
    <xf borderId="9" fillId="0" fontId="11" numFmtId="165" xfId="0" applyAlignment="1" applyBorder="1" applyFont="1" applyNumberFormat="1">
      <alignment horizontal="center"/>
    </xf>
    <xf borderId="9" fillId="0" fontId="17" numFmtId="167" xfId="0" applyAlignment="1" applyBorder="1" applyFont="1" applyNumberFormat="1">
      <alignment horizontal="center"/>
    </xf>
    <xf borderId="9" fillId="0" fontId="17" numFmtId="0" xfId="0" applyAlignment="1" applyBorder="1" applyFont="1">
      <alignment horizontal="right"/>
    </xf>
    <xf borderId="9" fillId="0" fontId="17" numFmtId="0" xfId="0" applyBorder="1" applyFont="1"/>
    <xf borderId="10" fillId="0" fontId="11" numFmtId="165" xfId="0" applyAlignment="1" applyBorder="1" applyFont="1" applyNumberFormat="1">
      <alignment horizontal="center"/>
    </xf>
    <xf borderId="10" fillId="0" fontId="17" numFmtId="167" xfId="0" applyAlignment="1" applyBorder="1" applyFont="1" applyNumberFormat="1">
      <alignment horizontal="center"/>
    </xf>
    <xf borderId="10" fillId="0" fontId="17" numFmtId="0" xfId="0" applyAlignment="1" applyBorder="1" applyFont="1">
      <alignment horizontal="right"/>
    </xf>
    <xf borderId="10" fillId="0" fontId="17" numFmtId="0" xfId="0" applyBorder="1" applyFont="1"/>
    <xf borderId="7" fillId="0" fontId="7" numFmtId="167" xfId="0" applyAlignment="1" applyBorder="1" applyFont="1" applyNumberFormat="1">
      <alignment horizontal="center"/>
    </xf>
    <xf borderId="7" fillId="0" fontId="7" numFmtId="0" xfId="0" applyAlignment="1" applyBorder="1" applyFont="1">
      <alignment horizontal="right"/>
    </xf>
    <xf borderId="11" fillId="0" fontId="7" numFmtId="168" xfId="0" applyBorder="1" applyFont="1" applyNumberFormat="1"/>
    <xf borderId="12" fillId="0" fontId="7" numFmtId="168" xfId="0" applyBorder="1" applyFont="1" applyNumberFormat="1"/>
    <xf borderId="9" fillId="0" fontId="7" numFmtId="167" xfId="0" applyAlignment="1" applyBorder="1" applyFont="1" applyNumberFormat="1">
      <alignment horizontal="center"/>
    </xf>
    <xf borderId="9" fillId="0" fontId="7" numFmtId="0" xfId="0" applyAlignment="1" applyBorder="1" applyFont="1">
      <alignment horizontal="right"/>
    </xf>
    <xf borderId="13" fillId="0" fontId="7" numFmtId="168" xfId="0" applyBorder="1" applyFont="1" applyNumberFormat="1"/>
    <xf borderId="9" fillId="0" fontId="7" numFmtId="168" xfId="0" applyBorder="1" applyFont="1" applyNumberFormat="1"/>
    <xf borderId="10" fillId="0" fontId="7" numFmtId="167" xfId="0" applyAlignment="1" applyBorder="1" applyFont="1" applyNumberFormat="1">
      <alignment horizontal="center"/>
    </xf>
    <xf borderId="10" fillId="0" fontId="7" numFmtId="0" xfId="0" applyAlignment="1" applyBorder="1" applyFont="1">
      <alignment horizontal="right"/>
    </xf>
    <xf borderId="14" fillId="0" fontId="7" numFmtId="168" xfId="0" applyBorder="1" applyFont="1" applyNumberFormat="1"/>
    <xf borderId="10" fillId="0" fontId="7" numFmtId="168" xfId="0" applyBorder="1" applyFont="1" applyNumberFormat="1"/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age2.capital/blog/from-customer-level-to-cohorts-the-lir-journey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" t="s">
        <v>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:id="rId1" ref="B29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6.86"/>
    <col customWidth="1" min="2" max="2" width="6.43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6"/>
      <c r="S1" s="6"/>
      <c r="T1" s="6"/>
      <c r="U1" s="6"/>
      <c r="V1" s="6"/>
      <c r="W1" s="6"/>
      <c r="X1" s="6"/>
      <c r="Y1" s="6"/>
      <c r="Z1" s="6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8" t="s">
        <v>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>
      <c r="A3" s="8" t="s">
        <v>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9"/>
      <c r="P4" s="9"/>
      <c r="Q4" s="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>
      <c r="A5" s="10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7"/>
      <c r="N5" s="11"/>
      <c r="O5" s="12" t="s">
        <v>5</v>
      </c>
      <c r="P5" s="13"/>
      <c r="Q5" s="1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>
      <c r="A6" s="7"/>
      <c r="B6" s="15" t="s">
        <v>6</v>
      </c>
      <c r="C6" s="8" t="s">
        <v>7</v>
      </c>
      <c r="D6" s="7"/>
      <c r="E6" s="7"/>
      <c r="F6" s="7"/>
      <c r="G6" s="7"/>
      <c r="H6" s="7"/>
      <c r="I6" s="7"/>
      <c r="J6" s="7"/>
      <c r="K6" s="7"/>
      <c r="L6" s="7"/>
      <c r="M6" s="7"/>
      <c r="N6" s="11"/>
      <c r="O6" s="16">
        <v>5.0</v>
      </c>
      <c r="P6" s="15" t="s">
        <v>8</v>
      </c>
      <c r="Q6" s="11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>
      <c r="A7" s="7"/>
      <c r="B7" s="15" t="s">
        <v>6</v>
      </c>
      <c r="C7" s="8" t="s">
        <v>9</v>
      </c>
      <c r="D7" s="7"/>
      <c r="E7" s="7"/>
      <c r="F7" s="7"/>
      <c r="G7" s="7"/>
      <c r="H7" s="7"/>
      <c r="I7" s="7"/>
      <c r="J7" s="7"/>
      <c r="K7" s="7"/>
      <c r="L7" s="7"/>
      <c r="M7" s="7"/>
      <c r="N7" s="11"/>
      <c r="O7" s="17"/>
      <c r="P7" s="18" t="s">
        <v>10</v>
      </c>
      <c r="Q7" s="19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11"/>
      <c r="O8" s="20"/>
      <c r="P8" s="21" t="s">
        <v>11</v>
      </c>
      <c r="Q8" s="22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>
      <c r="A10" s="23" t="s">
        <v>12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6"/>
      <c r="S10" s="6"/>
      <c r="T10" s="6"/>
      <c r="U10" s="6"/>
      <c r="V10" s="6"/>
      <c r="W10" s="6"/>
      <c r="X10" s="6"/>
      <c r="Y10" s="6"/>
      <c r="Z10" s="6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>
      <c r="A11" s="7"/>
      <c r="B11" s="7"/>
      <c r="C11" s="7"/>
      <c r="D11" s="24" t="s">
        <v>13</v>
      </c>
      <c r="E11" s="25" t="s">
        <v>14</v>
      </c>
      <c r="F11" s="25" t="s">
        <v>15</v>
      </c>
      <c r="G11" s="26" t="s">
        <v>16</v>
      </c>
      <c r="H11" s="26" t="s">
        <v>17</v>
      </c>
      <c r="I11" s="26" t="s">
        <v>18</v>
      </c>
      <c r="J11" s="26" t="s">
        <v>19</v>
      </c>
      <c r="K11" s="26" t="s">
        <v>20</v>
      </c>
      <c r="L11" s="26" t="s">
        <v>21</v>
      </c>
      <c r="M11" s="26" t="s">
        <v>22</v>
      </c>
      <c r="N11" s="26" t="s">
        <v>23</v>
      </c>
      <c r="O11" s="26" t="s">
        <v>24</v>
      </c>
      <c r="P11" s="26" t="s">
        <v>25</v>
      </c>
      <c r="Q11" s="26" t="s">
        <v>26</v>
      </c>
      <c r="R11" s="26" t="s">
        <v>27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>
      <c r="A12" s="7"/>
      <c r="B12" s="7"/>
      <c r="C12" s="27" t="s">
        <v>28</v>
      </c>
      <c r="D12" s="28" t="s">
        <v>29</v>
      </c>
      <c r="E12" s="29">
        <v>9000.0</v>
      </c>
      <c r="F12" s="28" t="s">
        <v>30</v>
      </c>
      <c r="G12" s="30">
        <v>0.0</v>
      </c>
      <c r="H12" s="30">
        <v>0.0</v>
      </c>
      <c r="I12" s="30">
        <v>2.0</v>
      </c>
      <c r="J12" s="30">
        <v>4.0</v>
      </c>
      <c r="K12" s="30">
        <v>5.0</v>
      </c>
      <c r="L12" s="30">
        <v>5.0</v>
      </c>
      <c r="M12" s="30">
        <v>4.0</v>
      </c>
      <c r="N12" s="30">
        <v>6.0</v>
      </c>
      <c r="O12" s="30">
        <v>6.0</v>
      </c>
      <c r="P12" s="30">
        <v>7.0</v>
      </c>
      <c r="Q12" s="31"/>
      <c r="R12" s="31"/>
      <c r="S12" s="8" t="s">
        <v>31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>
      <c r="A13" s="7"/>
      <c r="B13" s="7"/>
      <c r="C13" s="27" t="s">
        <v>32</v>
      </c>
      <c r="D13" s="28" t="s">
        <v>29</v>
      </c>
      <c r="E13" s="29">
        <v>10000.0</v>
      </c>
      <c r="F13" s="28" t="s">
        <v>33</v>
      </c>
      <c r="G13" s="30">
        <v>2.0</v>
      </c>
      <c r="H13" s="30">
        <v>4.0</v>
      </c>
      <c r="I13" s="30">
        <v>5.0</v>
      </c>
      <c r="J13" s="30">
        <v>6.0</v>
      </c>
      <c r="K13" s="30">
        <v>7.0</v>
      </c>
      <c r="L13" s="30">
        <v>10.0</v>
      </c>
      <c r="M13" s="30">
        <v>15.0</v>
      </c>
      <c r="N13" s="30">
        <v>15.0</v>
      </c>
      <c r="O13" s="30">
        <v>20.0</v>
      </c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>
      <c r="A14" s="7"/>
      <c r="B14" s="7"/>
      <c r="C14" s="27" t="s">
        <v>34</v>
      </c>
      <c r="D14" s="28" t="s">
        <v>35</v>
      </c>
      <c r="E14" s="29">
        <v>40000.0</v>
      </c>
      <c r="F14" s="28" t="s">
        <v>33</v>
      </c>
      <c r="G14" s="30">
        <v>0.0</v>
      </c>
      <c r="H14" s="30">
        <v>3.0</v>
      </c>
      <c r="I14" s="30">
        <v>6.0</v>
      </c>
      <c r="J14" s="30">
        <v>3.0</v>
      </c>
      <c r="K14" s="30">
        <v>12.0</v>
      </c>
      <c r="L14" s="30">
        <v>14.0</v>
      </c>
      <c r="M14" s="30">
        <v>14.0</v>
      </c>
      <c r="N14" s="30">
        <v>15.0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>
      <c r="A15" s="7"/>
      <c r="B15" s="7"/>
      <c r="C15" s="27" t="s">
        <v>36</v>
      </c>
      <c r="D15" s="28" t="s">
        <v>37</v>
      </c>
      <c r="E15" s="29">
        <v>50000.0</v>
      </c>
      <c r="F15" s="28" t="s">
        <v>33</v>
      </c>
      <c r="G15" s="30">
        <v>6.0</v>
      </c>
      <c r="H15" s="30">
        <v>15.0</v>
      </c>
      <c r="I15" s="30">
        <v>19.0</v>
      </c>
      <c r="J15" s="30">
        <v>41.0</v>
      </c>
      <c r="K15" s="30">
        <v>43.0</v>
      </c>
      <c r="L15" s="30">
        <v>56.0</v>
      </c>
      <c r="M15" s="31"/>
      <c r="N15" s="31"/>
      <c r="O15" s="31"/>
      <c r="P15" s="31"/>
      <c r="Q15" s="31"/>
      <c r="R15" s="31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>
      <c r="A16" s="7"/>
      <c r="B16" s="7"/>
      <c r="C16" s="27" t="s">
        <v>38</v>
      </c>
      <c r="D16" s="28" t="s">
        <v>37</v>
      </c>
      <c r="E16" s="29">
        <v>25000.0</v>
      </c>
      <c r="F16" s="28" t="s">
        <v>33</v>
      </c>
      <c r="G16" s="30">
        <v>3.0</v>
      </c>
      <c r="H16" s="30">
        <v>3.0</v>
      </c>
      <c r="I16" s="30">
        <v>5.0</v>
      </c>
      <c r="J16" s="30">
        <v>16.0</v>
      </c>
      <c r="K16" s="30">
        <v>18.0</v>
      </c>
      <c r="L16" s="30">
        <v>20.0</v>
      </c>
      <c r="M16" s="31"/>
      <c r="N16" s="31"/>
      <c r="O16" s="31"/>
      <c r="P16" s="31"/>
      <c r="Q16" s="31"/>
      <c r="R16" s="31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>
      <c r="A17" s="7"/>
      <c r="B17" s="7"/>
      <c r="C17" s="27" t="s">
        <v>39</v>
      </c>
      <c r="D17" s="28" t="s">
        <v>40</v>
      </c>
      <c r="E17" s="29">
        <v>12000.0</v>
      </c>
      <c r="F17" s="28" t="s">
        <v>30</v>
      </c>
      <c r="G17" s="30">
        <v>0.0</v>
      </c>
      <c r="H17" s="30">
        <v>0.0</v>
      </c>
      <c r="I17" s="30">
        <v>0.0</v>
      </c>
      <c r="J17" s="30">
        <v>1.0</v>
      </c>
      <c r="K17" s="30">
        <v>2.0</v>
      </c>
      <c r="L17" s="31"/>
      <c r="M17" s="31"/>
      <c r="N17" s="31"/>
      <c r="O17" s="31"/>
      <c r="P17" s="31"/>
      <c r="Q17" s="31"/>
      <c r="R17" s="31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>
      <c r="A18" s="7"/>
      <c r="B18" s="7"/>
      <c r="C18" s="27" t="s">
        <v>41</v>
      </c>
      <c r="D18" s="28" t="s">
        <v>42</v>
      </c>
      <c r="E18" s="29">
        <v>76000.0</v>
      </c>
      <c r="F18" s="28" t="s">
        <v>33</v>
      </c>
      <c r="G18" s="30">
        <v>0.0</v>
      </c>
      <c r="H18" s="30">
        <v>4.0</v>
      </c>
      <c r="I18" s="30">
        <v>6.0</v>
      </c>
      <c r="J18" s="30">
        <v>10.0</v>
      </c>
      <c r="K18" s="31"/>
      <c r="L18" s="31"/>
      <c r="M18" s="31"/>
      <c r="N18" s="31"/>
      <c r="O18" s="31"/>
      <c r="P18" s="31"/>
      <c r="Q18" s="31"/>
      <c r="R18" s="31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>
      <c r="A19" s="7"/>
      <c r="B19" s="7"/>
      <c r="C19" s="27" t="s">
        <v>43</v>
      </c>
      <c r="D19" s="28" t="s">
        <v>42</v>
      </c>
      <c r="E19" s="29">
        <v>90000.0</v>
      </c>
      <c r="F19" s="28" t="s">
        <v>33</v>
      </c>
      <c r="G19" s="30">
        <v>5.0</v>
      </c>
      <c r="H19" s="30">
        <v>6.0</v>
      </c>
      <c r="I19" s="30">
        <v>7.0</v>
      </c>
      <c r="J19" s="30">
        <v>14.0</v>
      </c>
      <c r="K19" s="31"/>
      <c r="L19" s="31"/>
      <c r="M19" s="31"/>
      <c r="N19" s="31"/>
      <c r="O19" s="31"/>
      <c r="P19" s="31"/>
      <c r="Q19" s="31"/>
      <c r="R19" s="31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>
      <c r="A20" s="7"/>
      <c r="B20" s="7"/>
      <c r="C20" s="27" t="s">
        <v>44</v>
      </c>
      <c r="D20" s="28" t="s">
        <v>45</v>
      </c>
      <c r="E20" s="29">
        <v>45000.0</v>
      </c>
      <c r="F20" s="28" t="s">
        <v>33</v>
      </c>
      <c r="G20" s="30">
        <v>0.0</v>
      </c>
      <c r="H20" s="30">
        <v>5.0</v>
      </c>
      <c r="I20" s="30">
        <v>12.0</v>
      </c>
      <c r="J20" s="31"/>
      <c r="K20" s="31"/>
      <c r="L20" s="31"/>
      <c r="M20" s="31"/>
      <c r="N20" s="31"/>
      <c r="O20" s="31"/>
      <c r="P20" s="31"/>
      <c r="Q20" s="31"/>
      <c r="R20" s="31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>
      <c r="A21" s="7"/>
      <c r="B21" s="7"/>
      <c r="C21" s="27" t="s">
        <v>46</v>
      </c>
      <c r="D21" s="28" t="s">
        <v>47</v>
      </c>
      <c r="E21" s="29">
        <v>55000.0</v>
      </c>
      <c r="F21" s="28" t="s">
        <v>33</v>
      </c>
      <c r="G21" s="30">
        <v>4.0</v>
      </c>
      <c r="H21" s="30">
        <v>4.0</v>
      </c>
      <c r="I21" s="30">
        <v>4.0</v>
      </c>
      <c r="J21" s="31"/>
      <c r="K21" s="31"/>
      <c r="L21" s="31"/>
      <c r="M21" s="31"/>
      <c r="N21" s="31"/>
      <c r="O21" s="31"/>
      <c r="P21" s="31"/>
      <c r="Q21" s="31"/>
      <c r="R21" s="31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>
      <c r="A24" s="32" t="s">
        <v>48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5"/>
      <c r="R24" s="6"/>
      <c r="S24" s="6"/>
      <c r="T24" s="6"/>
      <c r="U24" s="6"/>
      <c r="V24" s="6"/>
      <c r="W24" s="6"/>
      <c r="X24" s="6"/>
      <c r="Y24" s="6"/>
      <c r="Z24" s="6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>
      <c r="A25" s="7"/>
      <c r="B25" s="7"/>
      <c r="C25" s="7"/>
      <c r="D25" s="24" t="s">
        <v>13</v>
      </c>
      <c r="E25" s="25" t="s">
        <v>14</v>
      </c>
      <c r="F25" s="25" t="s">
        <v>15</v>
      </c>
      <c r="G25" s="26" t="str">
        <f t="shared" ref="G25:R25" si="1">G11</f>
        <v>Month 1</v>
      </c>
      <c r="H25" s="26" t="str">
        <f t="shared" si="1"/>
        <v>Month 2</v>
      </c>
      <c r="I25" s="26" t="str">
        <f t="shared" si="1"/>
        <v>Month 3</v>
      </c>
      <c r="J25" s="26" t="str">
        <f t="shared" si="1"/>
        <v>Month 4</v>
      </c>
      <c r="K25" s="26" t="str">
        <f t="shared" si="1"/>
        <v>Month 5</v>
      </c>
      <c r="L25" s="26" t="str">
        <f t="shared" si="1"/>
        <v>Month 6</v>
      </c>
      <c r="M25" s="26" t="str">
        <f t="shared" si="1"/>
        <v>Month 7</v>
      </c>
      <c r="N25" s="26" t="str">
        <f t="shared" si="1"/>
        <v>Month 8</v>
      </c>
      <c r="O25" s="26" t="str">
        <f t="shared" si="1"/>
        <v>Month 9</v>
      </c>
      <c r="P25" s="26" t="str">
        <f t="shared" si="1"/>
        <v>Month 10</v>
      </c>
      <c r="Q25" s="26" t="str">
        <f t="shared" si="1"/>
        <v>Month 11</v>
      </c>
      <c r="R25" s="26" t="str">
        <f t="shared" si="1"/>
        <v>Month 12</v>
      </c>
      <c r="S25" s="33" t="s">
        <v>49</v>
      </c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>
      <c r="A26" s="7"/>
      <c r="B26" s="7"/>
      <c r="C26" s="27" t="str">
        <f t="shared" ref="C26:F26" si="2">C12</f>
        <v>Customer 1</v>
      </c>
      <c r="D26" s="34" t="str">
        <f t="shared" si="2"/>
        <v>Jan '23</v>
      </c>
      <c r="E26" s="35">
        <f t="shared" si="2"/>
        <v>9000</v>
      </c>
      <c r="F26" s="36" t="str">
        <f t="shared" si="2"/>
        <v>No</v>
      </c>
      <c r="G26" s="37">
        <f t="shared" ref="G26:R26" si="3">IF(ISBLANK(G12),"", (IF(G12&lt;$O$6, 0, 1)))</f>
        <v>0</v>
      </c>
      <c r="H26" s="37">
        <f t="shared" si="3"/>
        <v>0</v>
      </c>
      <c r="I26" s="37">
        <f t="shared" si="3"/>
        <v>0</v>
      </c>
      <c r="J26" s="37">
        <f t="shared" si="3"/>
        <v>0</v>
      </c>
      <c r="K26" s="38">
        <f t="shared" si="3"/>
        <v>1</v>
      </c>
      <c r="L26" s="38">
        <f t="shared" si="3"/>
        <v>1</v>
      </c>
      <c r="M26" s="37">
        <f t="shared" si="3"/>
        <v>0</v>
      </c>
      <c r="N26" s="38">
        <f t="shared" si="3"/>
        <v>1</v>
      </c>
      <c r="O26" s="38">
        <f t="shared" si="3"/>
        <v>1</v>
      </c>
      <c r="P26" s="38">
        <f t="shared" si="3"/>
        <v>1</v>
      </c>
      <c r="Q26" s="31" t="str">
        <f t="shared" si="3"/>
        <v/>
      </c>
      <c r="R26" s="31" t="str">
        <f t="shared" si="3"/>
        <v/>
      </c>
      <c r="S26" s="38">
        <f t="array" ref="S26">LOOKUP(2,1/(G26:R26&lt;&gt;""),G26:R26)</f>
        <v>1</v>
      </c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>
      <c r="A27" s="7"/>
      <c r="B27" s="7"/>
      <c r="C27" s="27" t="str">
        <f t="shared" ref="C27:F27" si="4">C13</f>
        <v>Customer 2</v>
      </c>
      <c r="D27" s="34" t="str">
        <f t="shared" si="4"/>
        <v>Jan '23</v>
      </c>
      <c r="E27" s="35">
        <f t="shared" si="4"/>
        <v>10000</v>
      </c>
      <c r="F27" s="36" t="str">
        <f t="shared" si="4"/>
        <v>Yes</v>
      </c>
      <c r="G27" s="37">
        <f t="shared" ref="G27:R27" si="5">IF(ISBLANK(G13),"", (IF(G13&lt;$O$6, 0, 1)))</f>
        <v>0</v>
      </c>
      <c r="H27" s="37">
        <f t="shared" si="5"/>
        <v>0</v>
      </c>
      <c r="I27" s="38">
        <f t="shared" si="5"/>
        <v>1</v>
      </c>
      <c r="J27" s="38">
        <f t="shared" si="5"/>
        <v>1</v>
      </c>
      <c r="K27" s="38">
        <f t="shared" si="5"/>
        <v>1</v>
      </c>
      <c r="L27" s="38">
        <f t="shared" si="5"/>
        <v>1</v>
      </c>
      <c r="M27" s="38">
        <f t="shared" si="5"/>
        <v>1</v>
      </c>
      <c r="N27" s="38">
        <f t="shared" si="5"/>
        <v>1</v>
      </c>
      <c r="O27" s="38">
        <f t="shared" si="5"/>
        <v>1</v>
      </c>
      <c r="P27" s="31" t="str">
        <f t="shared" si="5"/>
        <v/>
      </c>
      <c r="Q27" s="31" t="str">
        <f t="shared" si="5"/>
        <v/>
      </c>
      <c r="R27" s="31" t="str">
        <f t="shared" si="5"/>
        <v/>
      </c>
      <c r="S27" s="39" t="str">
        <f t="shared" ref="S27:S35" si="8">LOOKUP(2,1/(G27:R27&lt;&gt;""),G27:R27)</f>
        <v>#N/A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</row>
    <row r="28">
      <c r="A28" s="7"/>
      <c r="B28" s="7"/>
      <c r="C28" s="27" t="str">
        <f t="shared" ref="C28:F28" si="6">C14</f>
        <v>Customer 3</v>
      </c>
      <c r="D28" s="34" t="str">
        <f t="shared" si="6"/>
        <v>Feb '23</v>
      </c>
      <c r="E28" s="35">
        <f t="shared" si="6"/>
        <v>40000</v>
      </c>
      <c r="F28" s="36" t="str">
        <f t="shared" si="6"/>
        <v>Yes</v>
      </c>
      <c r="G28" s="37">
        <f t="shared" ref="G28:R28" si="7">IF(ISBLANK(G14),"", (IF(G14&lt;$O$6, 0, 1)))</f>
        <v>0</v>
      </c>
      <c r="H28" s="37">
        <f t="shared" si="7"/>
        <v>0</v>
      </c>
      <c r="I28" s="38">
        <f t="shared" si="7"/>
        <v>1</v>
      </c>
      <c r="J28" s="37">
        <f t="shared" si="7"/>
        <v>0</v>
      </c>
      <c r="K28" s="38">
        <f t="shared" si="7"/>
        <v>1</v>
      </c>
      <c r="L28" s="38">
        <f t="shared" si="7"/>
        <v>1</v>
      </c>
      <c r="M28" s="38">
        <f t="shared" si="7"/>
        <v>1</v>
      </c>
      <c r="N28" s="38">
        <f t="shared" si="7"/>
        <v>1</v>
      </c>
      <c r="O28" s="31" t="str">
        <f t="shared" si="7"/>
        <v/>
      </c>
      <c r="P28" s="31" t="str">
        <f t="shared" si="7"/>
        <v/>
      </c>
      <c r="Q28" s="31" t="str">
        <f t="shared" si="7"/>
        <v/>
      </c>
      <c r="R28" s="31" t="str">
        <f t="shared" si="7"/>
        <v/>
      </c>
      <c r="S28" s="39" t="str">
        <f t="shared" si="8"/>
        <v>#N/A</v>
      </c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</row>
    <row r="29">
      <c r="A29" s="7"/>
      <c r="B29" s="7"/>
      <c r="C29" s="27" t="str">
        <f t="shared" ref="C29:F29" si="9">C15</f>
        <v>Customer 4</v>
      </c>
      <c r="D29" s="34" t="str">
        <f t="shared" si="9"/>
        <v>May '23</v>
      </c>
      <c r="E29" s="35">
        <f t="shared" si="9"/>
        <v>50000</v>
      </c>
      <c r="F29" s="36" t="str">
        <f t="shared" si="9"/>
        <v>Yes</v>
      </c>
      <c r="G29" s="38">
        <f t="shared" ref="G29:R29" si="10">IF(ISBLANK(G15),"", (IF(G15&lt;$O$6, 0, 1)))</f>
        <v>1</v>
      </c>
      <c r="H29" s="38">
        <f t="shared" si="10"/>
        <v>1</v>
      </c>
      <c r="I29" s="38">
        <f t="shared" si="10"/>
        <v>1</v>
      </c>
      <c r="J29" s="38">
        <f t="shared" si="10"/>
        <v>1</v>
      </c>
      <c r="K29" s="38">
        <f t="shared" si="10"/>
        <v>1</v>
      </c>
      <c r="L29" s="38">
        <f t="shared" si="10"/>
        <v>1</v>
      </c>
      <c r="M29" s="31" t="str">
        <f t="shared" si="10"/>
        <v/>
      </c>
      <c r="N29" s="31" t="str">
        <f t="shared" si="10"/>
        <v/>
      </c>
      <c r="O29" s="31" t="str">
        <f t="shared" si="10"/>
        <v/>
      </c>
      <c r="P29" s="31" t="str">
        <f t="shared" si="10"/>
        <v/>
      </c>
      <c r="Q29" s="31" t="str">
        <f t="shared" si="10"/>
        <v/>
      </c>
      <c r="R29" s="31" t="str">
        <f t="shared" si="10"/>
        <v/>
      </c>
      <c r="S29" s="39" t="str">
        <f t="shared" si="8"/>
        <v>#N/A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</row>
    <row r="30">
      <c r="A30" s="7"/>
      <c r="B30" s="7"/>
      <c r="C30" s="27" t="str">
        <f t="shared" ref="C30:F30" si="11">C16</f>
        <v>Customer 5</v>
      </c>
      <c r="D30" s="34" t="str">
        <f t="shared" si="11"/>
        <v>May '23</v>
      </c>
      <c r="E30" s="35">
        <f t="shared" si="11"/>
        <v>25000</v>
      </c>
      <c r="F30" s="36" t="str">
        <f t="shared" si="11"/>
        <v>Yes</v>
      </c>
      <c r="G30" s="37">
        <f t="shared" ref="G30:R30" si="12">IF(ISBLANK(G16),"", (IF(G16&lt;$O$6, 0, 1)))</f>
        <v>0</v>
      </c>
      <c r="H30" s="37">
        <f t="shared" si="12"/>
        <v>0</v>
      </c>
      <c r="I30" s="38">
        <f t="shared" si="12"/>
        <v>1</v>
      </c>
      <c r="J30" s="38">
        <f t="shared" si="12"/>
        <v>1</v>
      </c>
      <c r="K30" s="38">
        <f t="shared" si="12"/>
        <v>1</v>
      </c>
      <c r="L30" s="38">
        <f t="shared" si="12"/>
        <v>1</v>
      </c>
      <c r="M30" s="31" t="str">
        <f t="shared" si="12"/>
        <v/>
      </c>
      <c r="N30" s="31" t="str">
        <f t="shared" si="12"/>
        <v/>
      </c>
      <c r="O30" s="31" t="str">
        <f t="shared" si="12"/>
        <v/>
      </c>
      <c r="P30" s="31" t="str">
        <f t="shared" si="12"/>
        <v/>
      </c>
      <c r="Q30" s="31" t="str">
        <f t="shared" si="12"/>
        <v/>
      </c>
      <c r="R30" s="31" t="str">
        <f t="shared" si="12"/>
        <v/>
      </c>
      <c r="S30" s="39" t="str">
        <f t="shared" si="8"/>
        <v>#N/A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</row>
    <row r="31">
      <c r="A31" s="7"/>
      <c r="B31" s="7"/>
      <c r="C31" s="27" t="str">
        <f t="shared" ref="C31:F31" si="13">C17</f>
        <v>Customer 6</v>
      </c>
      <c r="D31" s="34" t="str">
        <f t="shared" si="13"/>
        <v>June '23</v>
      </c>
      <c r="E31" s="35">
        <f t="shared" si="13"/>
        <v>12000</v>
      </c>
      <c r="F31" s="36" t="str">
        <f t="shared" si="13"/>
        <v>No</v>
      </c>
      <c r="G31" s="37">
        <f t="shared" ref="G31:R31" si="14">IF(ISBLANK(G17),"", (IF(G17&lt;$O$6, 0, 1)))</f>
        <v>0</v>
      </c>
      <c r="H31" s="37">
        <f t="shared" si="14"/>
        <v>0</v>
      </c>
      <c r="I31" s="37">
        <f t="shared" si="14"/>
        <v>0</v>
      </c>
      <c r="J31" s="37">
        <f t="shared" si="14"/>
        <v>0</v>
      </c>
      <c r="K31" s="37">
        <f t="shared" si="14"/>
        <v>0</v>
      </c>
      <c r="L31" s="31" t="str">
        <f t="shared" si="14"/>
        <v/>
      </c>
      <c r="M31" s="31" t="str">
        <f t="shared" si="14"/>
        <v/>
      </c>
      <c r="N31" s="31" t="str">
        <f t="shared" si="14"/>
        <v/>
      </c>
      <c r="O31" s="31" t="str">
        <f t="shared" si="14"/>
        <v/>
      </c>
      <c r="P31" s="31" t="str">
        <f t="shared" si="14"/>
        <v/>
      </c>
      <c r="Q31" s="31" t="str">
        <f t="shared" si="14"/>
        <v/>
      </c>
      <c r="R31" s="31" t="str">
        <f t="shared" si="14"/>
        <v/>
      </c>
      <c r="S31" s="39" t="str">
        <f t="shared" si="8"/>
        <v>#N/A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</row>
    <row r="32">
      <c r="A32" s="7"/>
      <c r="B32" s="7"/>
      <c r="C32" s="27" t="str">
        <f t="shared" ref="C32:F32" si="15">C18</f>
        <v>Customer 7</v>
      </c>
      <c r="D32" s="34" t="str">
        <f t="shared" si="15"/>
        <v>July '23</v>
      </c>
      <c r="E32" s="35">
        <f t="shared" si="15"/>
        <v>76000</v>
      </c>
      <c r="F32" s="36" t="str">
        <f t="shared" si="15"/>
        <v>Yes</v>
      </c>
      <c r="G32" s="37">
        <f t="shared" ref="G32:R32" si="16">IF(ISBLANK(G18),"", (IF(G18&lt;$O$6, 0, 1)))</f>
        <v>0</v>
      </c>
      <c r="H32" s="37">
        <f t="shared" si="16"/>
        <v>0</v>
      </c>
      <c r="I32" s="38">
        <f t="shared" si="16"/>
        <v>1</v>
      </c>
      <c r="J32" s="38">
        <f t="shared" si="16"/>
        <v>1</v>
      </c>
      <c r="K32" s="31" t="str">
        <f t="shared" si="16"/>
        <v/>
      </c>
      <c r="L32" s="31" t="str">
        <f t="shared" si="16"/>
        <v/>
      </c>
      <c r="M32" s="31" t="str">
        <f t="shared" si="16"/>
        <v/>
      </c>
      <c r="N32" s="31" t="str">
        <f t="shared" si="16"/>
        <v/>
      </c>
      <c r="O32" s="31" t="str">
        <f t="shared" si="16"/>
        <v/>
      </c>
      <c r="P32" s="31" t="str">
        <f t="shared" si="16"/>
        <v/>
      </c>
      <c r="Q32" s="31" t="str">
        <f t="shared" si="16"/>
        <v/>
      </c>
      <c r="R32" s="31" t="str">
        <f t="shared" si="16"/>
        <v/>
      </c>
      <c r="S32" s="39" t="str">
        <f t="shared" si="8"/>
        <v>#N/A</v>
      </c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</row>
    <row r="33">
      <c r="A33" s="7"/>
      <c r="B33" s="7"/>
      <c r="C33" s="27" t="str">
        <f t="shared" ref="C33:F33" si="17">C19</f>
        <v>Customer 8</v>
      </c>
      <c r="D33" s="34" t="str">
        <f t="shared" si="17"/>
        <v>July '23</v>
      </c>
      <c r="E33" s="35">
        <f t="shared" si="17"/>
        <v>90000</v>
      </c>
      <c r="F33" s="36" t="str">
        <f t="shared" si="17"/>
        <v>Yes</v>
      </c>
      <c r="G33" s="38">
        <f t="shared" ref="G33:R33" si="18">IF(ISBLANK(G19),"", (IF(G19&lt;$O$6, 0, 1)))</f>
        <v>1</v>
      </c>
      <c r="H33" s="38">
        <f t="shared" si="18"/>
        <v>1</v>
      </c>
      <c r="I33" s="38">
        <f t="shared" si="18"/>
        <v>1</v>
      </c>
      <c r="J33" s="38">
        <f t="shared" si="18"/>
        <v>1</v>
      </c>
      <c r="K33" s="31" t="str">
        <f t="shared" si="18"/>
        <v/>
      </c>
      <c r="L33" s="31" t="str">
        <f t="shared" si="18"/>
        <v/>
      </c>
      <c r="M33" s="31" t="str">
        <f t="shared" si="18"/>
        <v/>
      </c>
      <c r="N33" s="31" t="str">
        <f t="shared" si="18"/>
        <v/>
      </c>
      <c r="O33" s="31" t="str">
        <f t="shared" si="18"/>
        <v/>
      </c>
      <c r="P33" s="31" t="str">
        <f t="shared" si="18"/>
        <v/>
      </c>
      <c r="Q33" s="31" t="str">
        <f t="shared" si="18"/>
        <v/>
      </c>
      <c r="R33" s="31" t="str">
        <f t="shared" si="18"/>
        <v/>
      </c>
      <c r="S33" s="39" t="str">
        <f t="shared" si="8"/>
        <v>#N/A</v>
      </c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</row>
    <row r="34">
      <c r="A34" s="7"/>
      <c r="B34" s="7"/>
      <c r="C34" s="27" t="str">
        <f t="shared" ref="C34:F34" si="19">C20</f>
        <v>Customer 9</v>
      </c>
      <c r="D34" s="34" t="str">
        <f t="shared" si="19"/>
        <v>Aug '23</v>
      </c>
      <c r="E34" s="35">
        <f t="shared" si="19"/>
        <v>45000</v>
      </c>
      <c r="F34" s="36" t="str">
        <f t="shared" si="19"/>
        <v>Yes</v>
      </c>
      <c r="G34" s="37">
        <f t="shared" ref="G34:R34" si="20">IF(ISBLANK(G20),"", (IF(G20&lt;$O$6, 0, 1)))</f>
        <v>0</v>
      </c>
      <c r="H34" s="38">
        <f t="shared" si="20"/>
        <v>1</v>
      </c>
      <c r="I34" s="38">
        <f t="shared" si="20"/>
        <v>1</v>
      </c>
      <c r="J34" s="31" t="str">
        <f t="shared" si="20"/>
        <v/>
      </c>
      <c r="K34" s="31" t="str">
        <f t="shared" si="20"/>
        <v/>
      </c>
      <c r="L34" s="31" t="str">
        <f t="shared" si="20"/>
        <v/>
      </c>
      <c r="M34" s="31" t="str">
        <f t="shared" si="20"/>
        <v/>
      </c>
      <c r="N34" s="31" t="str">
        <f t="shared" si="20"/>
        <v/>
      </c>
      <c r="O34" s="31" t="str">
        <f t="shared" si="20"/>
        <v/>
      </c>
      <c r="P34" s="31" t="str">
        <f t="shared" si="20"/>
        <v/>
      </c>
      <c r="Q34" s="31" t="str">
        <f t="shared" si="20"/>
        <v/>
      </c>
      <c r="R34" s="31" t="str">
        <f t="shared" si="20"/>
        <v/>
      </c>
      <c r="S34" s="39" t="str">
        <f t="shared" si="8"/>
        <v>#N/A</v>
      </c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</row>
    <row r="35">
      <c r="A35" s="7"/>
      <c r="B35" s="7"/>
      <c r="C35" s="27" t="str">
        <f t="shared" ref="C35:F35" si="21">C21</f>
        <v>Customer 10</v>
      </c>
      <c r="D35" s="34" t="str">
        <f t="shared" si="21"/>
        <v>Aug '24</v>
      </c>
      <c r="E35" s="35">
        <f t="shared" si="21"/>
        <v>55000</v>
      </c>
      <c r="F35" s="36" t="str">
        <f t="shared" si="21"/>
        <v>Yes</v>
      </c>
      <c r="G35" s="37">
        <f t="shared" ref="G35:R35" si="22">IF(ISBLANK(G21),"", (IF(G21&lt;$O$6, 0, 1)))</f>
        <v>0</v>
      </c>
      <c r="H35" s="37">
        <f t="shared" si="22"/>
        <v>0</v>
      </c>
      <c r="I35" s="37">
        <f t="shared" si="22"/>
        <v>0</v>
      </c>
      <c r="J35" s="31" t="str">
        <f t="shared" si="22"/>
        <v/>
      </c>
      <c r="K35" s="31" t="str">
        <f t="shared" si="22"/>
        <v/>
      </c>
      <c r="L35" s="31" t="str">
        <f t="shared" si="22"/>
        <v/>
      </c>
      <c r="M35" s="31" t="str">
        <f t="shared" si="22"/>
        <v/>
      </c>
      <c r="N35" s="31" t="str">
        <f t="shared" si="22"/>
        <v/>
      </c>
      <c r="O35" s="31" t="str">
        <f t="shared" si="22"/>
        <v/>
      </c>
      <c r="P35" s="31" t="str">
        <f t="shared" si="22"/>
        <v/>
      </c>
      <c r="Q35" s="31" t="str">
        <f t="shared" si="22"/>
        <v/>
      </c>
      <c r="R35" s="31" t="str">
        <f t="shared" si="22"/>
        <v/>
      </c>
      <c r="S35" s="39" t="str">
        <f t="shared" si="8"/>
        <v>#N/A</v>
      </c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9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40" t="s">
        <v>50</v>
      </c>
      <c r="S37" s="41" t="str">
        <f>SUM(S26:S35)/COUNT(S26:S35)</f>
        <v>#N/A</v>
      </c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42" t="s">
        <v>51</v>
      </c>
      <c r="S38" s="43">
        <v>0.7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</row>
  </sheetData>
  <mergeCells count="4">
    <mergeCell ref="A1:Q1"/>
    <mergeCell ref="O5:Q5"/>
    <mergeCell ref="A10:Q10"/>
    <mergeCell ref="A24:Q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7.29"/>
    <col customWidth="1" min="2" max="2" width="6.86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6"/>
      <c r="S1" s="6"/>
      <c r="T1" s="6"/>
      <c r="U1" s="6"/>
      <c r="V1" s="6"/>
      <c r="W1" s="6"/>
      <c r="X1" s="6"/>
      <c r="Y1" s="6"/>
      <c r="Z1" s="6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>
      <c r="A2" s="8" t="s">
        <v>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>
      <c r="A3" s="8" t="s">
        <v>52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9"/>
      <c r="Q4" s="9"/>
      <c r="R4" s="9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>
      <c r="A5" s="10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7"/>
      <c r="O5" s="11"/>
      <c r="P5" s="12" t="s">
        <v>5</v>
      </c>
      <c r="Q5" s="13"/>
      <c r="R5" s="14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>
      <c r="A6" s="7"/>
      <c r="B6" s="15" t="s">
        <v>6</v>
      </c>
      <c r="C6" s="8" t="s">
        <v>7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1"/>
      <c r="P6" s="44">
        <v>0.25</v>
      </c>
      <c r="Q6" s="15" t="s">
        <v>8</v>
      </c>
      <c r="R6" s="11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>
      <c r="A7" s="7"/>
      <c r="B7" s="15" t="s">
        <v>6</v>
      </c>
      <c r="C7" s="8" t="s">
        <v>9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11"/>
      <c r="P7" s="17"/>
      <c r="Q7" s="18" t="s">
        <v>10</v>
      </c>
      <c r="R7" s="19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1"/>
      <c r="P8" s="20"/>
      <c r="Q8" s="21" t="s">
        <v>11</v>
      </c>
      <c r="R8" s="22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s="23" t="s">
        <v>12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6"/>
      <c r="S10" s="6"/>
      <c r="T10" s="6"/>
      <c r="U10" s="6"/>
      <c r="V10" s="6"/>
      <c r="W10" s="6"/>
      <c r="X10" s="6"/>
      <c r="Y10" s="6"/>
      <c r="Z10" s="6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</row>
    <row r="11">
      <c r="A11" s="7"/>
      <c r="B11" s="7"/>
      <c r="C11" s="7"/>
      <c r="D11" s="24" t="s">
        <v>13</v>
      </c>
      <c r="E11" s="25" t="s">
        <v>14</v>
      </c>
      <c r="F11" s="25" t="s">
        <v>15</v>
      </c>
      <c r="G11" s="45" t="s">
        <v>53</v>
      </c>
      <c r="H11" s="26" t="s">
        <v>16</v>
      </c>
      <c r="I11" s="26" t="s">
        <v>17</v>
      </c>
      <c r="J11" s="26" t="s">
        <v>18</v>
      </c>
      <c r="K11" s="26" t="s">
        <v>19</v>
      </c>
      <c r="L11" s="26" t="s">
        <v>20</v>
      </c>
      <c r="M11" s="26" t="s">
        <v>21</v>
      </c>
      <c r="N11" s="26" t="s">
        <v>22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27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</row>
    <row r="12">
      <c r="A12" s="7"/>
      <c r="B12" s="7"/>
      <c r="C12" s="27" t="s">
        <v>28</v>
      </c>
      <c r="D12" s="28" t="s">
        <v>29</v>
      </c>
      <c r="E12" s="29">
        <v>9000.0</v>
      </c>
      <c r="F12" s="28" t="s">
        <v>30</v>
      </c>
      <c r="G12" s="28">
        <v>10.0</v>
      </c>
      <c r="H12" s="30">
        <v>0.0</v>
      </c>
      <c r="I12" s="30">
        <v>0.0</v>
      </c>
      <c r="J12" s="30">
        <v>2.0</v>
      </c>
      <c r="K12" s="30">
        <v>4.0</v>
      </c>
      <c r="L12" s="30">
        <v>5.0</v>
      </c>
      <c r="M12" s="30">
        <v>5.0</v>
      </c>
      <c r="N12" s="30">
        <v>4.0</v>
      </c>
      <c r="O12" s="30">
        <v>6.0</v>
      </c>
      <c r="P12" s="30">
        <v>6.0</v>
      </c>
      <c r="Q12" s="30">
        <v>7.0</v>
      </c>
      <c r="R12" s="31"/>
      <c r="S12" s="31"/>
      <c r="T12" s="8" t="s">
        <v>31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</row>
    <row r="13">
      <c r="A13" s="7"/>
      <c r="B13" s="7"/>
      <c r="C13" s="27" t="s">
        <v>32</v>
      </c>
      <c r="D13" s="28" t="s">
        <v>29</v>
      </c>
      <c r="E13" s="29">
        <v>10000.0</v>
      </c>
      <c r="F13" s="28" t="s">
        <v>33</v>
      </c>
      <c r="G13" s="28">
        <v>20.0</v>
      </c>
      <c r="H13" s="30">
        <v>2.0</v>
      </c>
      <c r="I13" s="30">
        <v>4.0</v>
      </c>
      <c r="J13" s="30">
        <v>5.0</v>
      </c>
      <c r="K13" s="30">
        <v>6.0</v>
      </c>
      <c r="L13" s="30">
        <v>7.0</v>
      </c>
      <c r="M13" s="30">
        <v>10.0</v>
      </c>
      <c r="N13" s="30">
        <v>15.0</v>
      </c>
      <c r="O13" s="30">
        <v>15.0</v>
      </c>
      <c r="P13" s="30">
        <v>20.0</v>
      </c>
      <c r="Q13" s="31"/>
      <c r="R13" s="31"/>
      <c r="S13" s="31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</row>
    <row r="14">
      <c r="A14" s="7"/>
      <c r="B14" s="7"/>
      <c r="C14" s="27" t="s">
        <v>34</v>
      </c>
      <c r="D14" s="28" t="s">
        <v>35</v>
      </c>
      <c r="E14" s="29">
        <v>40000.0</v>
      </c>
      <c r="F14" s="28" t="s">
        <v>33</v>
      </c>
      <c r="G14" s="28">
        <v>20.0</v>
      </c>
      <c r="H14" s="30">
        <v>0.0</v>
      </c>
      <c r="I14" s="30">
        <v>3.0</v>
      </c>
      <c r="J14" s="30">
        <v>6.0</v>
      </c>
      <c r="K14" s="30">
        <v>3.0</v>
      </c>
      <c r="L14" s="30">
        <v>12.0</v>
      </c>
      <c r="M14" s="30">
        <v>14.0</v>
      </c>
      <c r="N14" s="30">
        <v>14.0</v>
      </c>
      <c r="O14" s="30">
        <v>15.0</v>
      </c>
      <c r="P14" s="31"/>
      <c r="Q14" s="31"/>
      <c r="R14" s="31"/>
      <c r="S14" s="31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</row>
    <row r="15">
      <c r="A15" s="7"/>
      <c r="B15" s="7"/>
      <c r="C15" s="27" t="s">
        <v>36</v>
      </c>
      <c r="D15" s="28" t="s">
        <v>37</v>
      </c>
      <c r="E15" s="29">
        <v>50000.0</v>
      </c>
      <c r="F15" s="28" t="s">
        <v>33</v>
      </c>
      <c r="G15" s="28">
        <v>100.0</v>
      </c>
      <c r="H15" s="30">
        <v>6.0</v>
      </c>
      <c r="I15" s="30">
        <v>15.0</v>
      </c>
      <c r="J15" s="30">
        <v>19.0</v>
      </c>
      <c r="K15" s="30">
        <v>41.0</v>
      </c>
      <c r="L15" s="30">
        <v>43.0</v>
      </c>
      <c r="M15" s="30">
        <v>56.0</v>
      </c>
      <c r="N15" s="31"/>
      <c r="O15" s="31"/>
      <c r="P15" s="31"/>
      <c r="Q15" s="31"/>
      <c r="R15" s="31"/>
      <c r="S15" s="31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</row>
    <row r="16">
      <c r="A16" s="7"/>
      <c r="B16" s="7"/>
      <c r="C16" s="27" t="s">
        <v>38</v>
      </c>
      <c r="D16" s="28" t="s">
        <v>37</v>
      </c>
      <c r="E16" s="29">
        <v>25000.0</v>
      </c>
      <c r="F16" s="28" t="s">
        <v>33</v>
      </c>
      <c r="G16" s="28">
        <v>40.0</v>
      </c>
      <c r="H16" s="30">
        <v>3.0</v>
      </c>
      <c r="I16" s="30">
        <v>3.0</v>
      </c>
      <c r="J16" s="30">
        <v>5.0</v>
      </c>
      <c r="K16" s="30">
        <v>16.0</v>
      </c>
      <c r="L16" s="30">
        <v>18.0</v>
      </c>
      <c r="M16" s="30">
        <v>20.0</v>
      </c>
      <c r="N16" s="31"/>
      <c r="O16" s="31"/>
      <c r="P16" s="31"/>
      <c r="Q16" s="31"/>
      <c r="R16" s="31"/>
      <c r="S16" s="31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>
      <c r="A17" s="7"/>
      <c r="B17" s="7"/>
      <c r="C17" s="27" t="s">
        <v>39</v>
      </c>
      <c r="D17" s="28" t="s">
        <v>40</v>
      </c>
      <c r="E17" s="29">
        <v>12000.0</v>
      </c>
      <c r="F17" s="28" t="s">
        <v>30</v>
      </c>
      <c r="G17" s="28">
        <v>50.0</v>
      </c>
      <c r="H17" s="30">
        <v>0.0</v>
      </c>
      <c r="I17" s="30">
        <v>0.0</v>
      </c>
      <c r="J17" s="30">
        <v>0.0</v>
      </c>
      <c r="K17" s="30">
        <v>1.0</v>
      </c>
      <c r="L17" s="30">
        <v>2.0</v>
      </c>
      <c r="M17" s="31"/>
      <c r="N17" s="31"/>
      <c r="O17" s="31"/>
      <c r="P17" s="31"/>
      <c r="Q17" s="31"/>
      <c r="R17" s="31"/>
      <c r="S17" s="31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</row>
    <row r="18">
      <c r="A18" s="7"/>
      <c r="B18" s="7"/>
      <c r="C18" s="27" t="s">
        <v>41</v>
      </c>
      <c r="D18" s="28" t="s">
        <v>42</v>
      </c>
      <c r="E18" s="29">
        <v>76000.0</v>
      </c>
      <c r="F18" s="28" t="s">
        <v>33</v>
      </c>
      <c r="G18" s="28">
        <v>50.0</v>
      </c>
      <c r="H18" s="30">
        <v>0.0</v>
      </c>
      <c r="I18" s="30">
        <v>4.0</v>
      </c>
      <c r="J18" s="30">
        <v>6.0</v>
      </c>
      <c r="K18" s="30">
        <v>10.0</v>
      </c>
      <c r="L18" s="31"/>
      <c r="M18" s="31"/>
      <c r="N18" s="31"/>
      <c r="O18" s="31"/>
      <c r="P18" s="31"/>
      <c r="Q18" s="31"/>
      <c r="R18" s="31"/>
      <c r="S18" s="31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</row>
    <row r="19">
      <c r="A19" s="7"/>
      <c r="B19" s="7"/>
      <c r="C19" s="27" t="s">
        <v>43</v>
      </c>
      <c r="D19" s="28" t="s">
        <v>42</v>
      </c>
      <c r="E19" s="29">
        <v>90000.0</v>
      </c>
      <c r="F19" s="28" t="s">
        <v>33</v>
      </c>
      <c r="G19" s="28">
        <v>40.0</v>
      </c>
      <c r="H19" s="30">
        <v>5.0</v>
      </c>
      <c r="I19" s="30">
        <v>6.0</v>
      </c>
      <c r="J19" s="30">
        <v>7.0</v>
      </c>
      <c r="K19" s="30">
        <v>14.0</v>
      </c>
      <c r="L19" s="31"/>
      <c r="M19" s="31"/>
      <c r="N19" s="31"/>
      <c r="O19" s="31"/>
      <c r="P19" s="31"/>
      <c r="Q19" s="31"/>
      <c r="R19" s="31"/>
      <c r="S19" s="31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</row>
    <row r="20">
      <c r="A20" s="7"/>
      <c r="B20" s="7"/>
      <c r="C20" s="27" t="s">
        <v>44</v>
      </c>
      <c r="D20" s="28" t="s">
        <v>45</v>
      </c>
      <c r="E20" s="29">
        <v>45000.0</v>
      </c>
      <c r="F20" s="28" t="s">
        <v>33</v>
      </c>
      <c r="G20" s="28">
        <v>60.0</v>
      </c>
      <c r="H20" s="30">
        <v>0.0</v>
      </c>
      <c r="I20" s="30">
        <v>5.0</v>
      </c>
      <c r="J20" s="30">
        <v>12.0</v>
      </c>
      <c r="K20" s="31"/>
      <c r="L20" s="31"/>
      <c r="M20" s="31"/>
      <c r="N20" s="31"/>
      <c r="O20" s="31"/>
      <c r="P20" s="31"/>
      <c r="Q20" s="31"/>
      <c r="R20" s="31"/>
      <c r="S20" s="31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>
      <c r="A21" s="7"/>
      <c r="B21" s="7"/>
      <c r="C21" s="27" t="s">
        <v>46</v>
      </c>
      <c r="D21" s="28" t="s">
        <v>47</v>
      </c>
      <c r="E21" s="29">
        <v>55000.0</v>
      </c>
      <c r="F21" s="28" t="s">
        <v>33</v>
      </c>
      <c r="G21" s="28">
        <v>75.0</v>
      </c>
      <c r="H21" s="30">
        <v>4.0</v>
      </c>
      <c r="I21" s="30">
        <v>4.0</v>
      </c>
      <c r="J21" s="30">
        <v>4.0</v>
      </c>
      <c r="K21" s="31"/>
      <c r="L21" s="31"/>
      <c r="M21" s="31"/>
      <c r="N21" s="31"/>
      <c r="O21" s="31"/>
      <c r="P21" s="31"/>
      <c r="Q21" s="31"/>
      <c r="R21" s="31"/>
      <c r="S21" s="31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s="32" t="s">
        <v>48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5"/>
      <c r="R24" s="6"/>
      <c r="S24" s="6"/>
      <c r="T24" s="6"/>
      <c r="U24" s="6"/>
      <c r="V24" s="6"/>
      <c r="W24" s="6"/>
      <c r="X24" s="6"/>
      <c r="Y24" s="6"/>
      <c r="Z24" s="6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</row>
    <row r="25">
      <c r="A25" s="7"/>
      <c r="B25" s="7"/>
      <c r="C25" s="7"/>
      <c r="D25" s="24" t="s">
        <v>13</v>
      </c>
      <c r="E25" s="25" t="s">
        <v>14</v>
      </c>
      <c r="F25" s="25" t="s">
        <v>15</v>
      </c>
      <c r="G25" s="45" t="s">
        <v>53</v>
      </c>
      <c r="H25" s="26" t="str">
        <f t="shared" ref="H25:S25" si="1">H11</f>
        <v>Month 1</v>
      </c>
      <c r="I25" s="26" t="str">
        <f t="shared" si="1"/>
        <v>Month 2</v>
      </c>
      <c r="J25" s="26" t="str">
        <f t="shared" si="1"/>
        <v>Month 3</v>
      </c>
      <c r="K25" s="26" t="str">
        <f t="shared" si="1"/>
        <v>Month 4</v>
      </c>
      <c r="L25" s="26" t="str">
        <f t="shared" si="1"/>
        <v>Month 5</v>
      </c>
      <c r="M25" s="26" t="str">
        <f t="shared" si="1"/>
        <v>Month 6</v>
      </c>
      <c r="N25" s="26" t="str">
        <f t="shared" si="1"/>
        <v>Month 7</v>
      </c>
      <c r="O25" s="26" t="str">
        <f t="shared" si="1"/>
        <v>Month 8</v>
      </c>
      <c r="P25" s="26" t="str">
        <f t="shared" si="1"/>
        <v>Month 9</v>
      </c>
      <c r="Q25" s="26" t="str">
        <f t="shared" si="1"/>
        <v>Month 10</v>
      </c>
      <c r="R25" s="26" t="str">
        <f t="shared" si="1"/>
        <v>Month 11</v>
      </c>
      <c r="S25" s="26" t="str">
        <f t="shared" si="1"/>
        <v>Month 12</v>
      </c>
      <c r="T25" s="33" t="s">
        <v>49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>
      <c r="A26" s="7"/>
      <c r="B26" s="7"/>
      <c r="C26" s="27" t="str">
        <f t="shared" ref="C26:G26" si="2">C12</f>
        <v>Customer 1</v>
      </c>
      <c r="D26" s="34" t="str">
        <f t="shared" si="2"/>
        <v>Jan '23</v>
      </c>
      <c r="E26" s="35">
        <f t="shared" si="2"/>
        <v>9000</v>
      </c>
      <c r="F26" s="35" t="str">
        <f t="shared" si="2"/>
        <v>No</v>
      </c>
      <c r="G26" s="46">
        <f t="shared" si="2"/>
        <v>10</v>
      </c>
      <c r="H26" s="37">
        <f t="shared" ref="H26:S26" si="3">IF(ISBLANK(H12),"", (IF((H12/$G26)&lt;$P$6, 0, 1)))</f>
        <v>0</v>
      </c>
      <c r="I26" s="37">
        <f t="shared" si="3"/>
        <v>0</v>
      </c>
      <c r="J26" s="37">
        <f t="shared" si="3"/>
        <v>0</v>
      </c>
      <c r="K26" s="38">
        <f t="shared" si="3"/>
        <v>1</v>
      </c>
      <c r="L26" s="38">
        <f t="shared" si="3"/>
        <v>1</v>
      </c>
      <c r="M26" s="38">
        <f t="shared" si="3"/>
        <v>1</v>
      </c>
      <c r="N26" s="38">
        <f t="shared" si="3"/>
        <v>1</v>
      </c>
      <c r="O26" s="38">
        <f t="shared" si="3"/>
        <v>1</v>
      </c>
      <c r="P26" s="38">
        <f t="shared" si="3"/>
        <v>1</v>
      </c>
      <c r="Q26" s="38">
        <f t="shared" si="3"/>
        <v>1</v>
      </c>
      <c r="R26" s="31" t="str">
        <f t="shared" si="3"/>
        <v/>
      </c>
      <c r="S26" s="31" t="str">
        <f t="shared" si="3"/>
        <v/>
      </c>
      <c r="T26" s="39" t="str">
        <f t="shared" ref="T26:T35" si="6">LOOKUP(2,1/(H26:S26&lt;&gt;""),H26:S26)</f>
        <v>#N/A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>
      <c r="A27" s="7"/>
      <c r="B27" s="7"/>
      <c r="C27" s="27" t="str">
        <f t="shared" ref="C27:G27" si="4">C13</f>
        <v>Customer 2</v>
      </c>
      <c r="D27" s="34" t="str">
        <f t="shared" si="4"/>
        <v>Jan '23</v>
      </c>
      <c r="E27" s="35">
        <f t="shared" si="4"/>
        <v>10000</v>
      </c>
      <c r="F27" s="35" t="str">
        <f t="shared" si="4"/>
        <v>Yes</v>
      </c>
      <c r="G27" s="46">
        <f t="shared" si="4"/>
        <v>20</v>
      </c>
      <c r="H27" s="37">
        <f t="shared" ref="H27:S27" si="5">IF(ISBLANK(H13),"", (IF((H13/$G27)&lt;$P$6, 0, 1)))</f>
        <v>0</v>
      </c>
      <c r="I27" s="37">
        <f t="shared" si="5"/>
        <v>0</v>
      </c>
      <c r="J27" s="38">
        <f t="shared" si="5"/>
        <v>1</v>
      </c>
      <c r="K27" s="38">
        <f t="shared" si="5"/>
        <v>1</v>
      </c>
      <c r="L27" s="38">
        <f t="shared" si="5"/>
        <v>1</v>
      </c>
      <c r="M27" s="38">
        <f t="shared" si="5"/>
        <v>1</v>
      </c>
      <c r="N27" s="38">
        <f t="shared" si="5"/>
        <v>1</v>
      </c>
      <c r="O27" s="38">
        <f t="shared" si="5"/>
        <v>1</v>
      </c>
      <c r="P27" s="38">
        <f t="shared" si="5"/>
        <v>1</v>
      </c>
      <c r="Q27" s="31" t="str">
        <f t="shared" si="5"/>
        <v/>
      </c>
      <c r="R27" s="31" t="str">
        <f t="shared" si="5"/>
        <v/>
      </c>
      <c r="S27" s="31" t="str">
        <f t="shared" si="5"/>
        <v/>
      </c>
      <c r="T27" s="39" t="str">
        <f t="shared" si="6"/>
        <v>#N/A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</row>
    <row r="28">
      <c r="A28" s="7"/>
      <c r="B28" s="7"/>
      <c r="C28" s="27" t="str">
        <f t="shared" ref="C28:G28" si="7">C14</f>
        <v>Customer 3</v>
      </c>
      <c r="D28" s="34" t="str">
        <f t="shared" si="7"/>
        <v>Feb '23</v>
      </c>
      <c r="E28" s="35">
        <f t="shared" si="7"/>
        <v>40000</v>
      </c>
      <c r="F28" s="35" t="str">
        <f t="shared" si="7"/>
        <v>Yes</v>
      </c>
      <c r="G28" s="46">
        <f t="shared" si="7"/>
        <v>20</v>
      </c>
      <c r="H28" s="37">
        <f t="shared" ref="H28:S28" si="8">IF(ISBLANK(H14),"", (IF((H14/$G28)&lt;$P$6, 0, 1)))</f>
        <v>0</v>
      </c>
      <c r="I28" s="37">
        <f t="shared" si="8"/>
        <v>0</v>
      </c>
      <c r="J28" s="38">
        <f t="shared" si="8"/>
        <v>1</v>
      </c>
      <c r="K28" s="37">
        <f t="shared" si="8"/>
        <v>0</v>
      </c>
      <c r="L28" s="38">
        <f t="shared" si="8"/>
        <v>1</v>
      </c>
      <c r="M28" s="38">
        <f t="shared" si="8"/>
        <v>1</v>
      </c>
      <c r="N28" s="38">
        <f t="shared" si="8"/>
        <v>1</v>
      </c>
      <c r="O28" s="38">
        <f t="shared" si="8"/>
        <v>1</v>
      </c>
      <c r="P28" s="31" t="str">
        <f t="shared" si="8"/>
        <v/>
      </c>
      <c r="Q28" s="31" t="str">
        <f t="shared" si="8"/>
        <v/>
      </c>
      <c r="R28" s="31" t="str">
        <f t="shared" si="8"/>
        <v/>
      </c>
      <c r="S28" s="31" t="str">
        <f t="shared" si="8"/>
        <v/>
      </c>
      <c r="T28" s="39" t="str">
        <f t="shared" si="6"/>
        <v>#N/A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</row>
    <row r="29">
      <c r="A29" s="7"/>
      <c r="B29" s="7"/>
      <c r="C29" s="27" t="str">
        <f t="shared" ref="C29:G29" si="9">C15</f>
        <v>Customer 4</v>
      </c>
      <c r="D29" s="34" t="str">
        <f t="shared" si="9"/>
        <v>May '23</v>
      </c>
      <c r="E29" s="35">
        <f t="shared" si="9"/>
        <v>50000</v>
      </c>
      <c r="F29" s="35" t="str">
        <f t="shared" si="9"/>
        <v>Yes</v>
      </c>
      <c r="G29" s="46">
        <f t="shared" si="9"/>
        <v>100</v>
      </c>
      <c r="H29" s="37">
        <f t="shared" ref="H29:S29" si="10">IF(ISBLANK(H15),"", (IF((H15/$G29)&lt;$P$6, 0, 1)))</f>
        <v>0</v>
      </c>
      <c r="I29" s="37">
        <f t="shared" si="10"/>
        <v>0</v>
      </c>
      <c r="J29" s="37">
        <f t="shared" si="10"/>
        <v>0</v>
      </c>
      <c r="K29" s="38">
        <f t="shared" si="10"/>
        <v>1</v>
      </c>
      <c r="L29" s="38">
        <f t="shared" si="10"/>
        <v>1</v>
      </c>
      <c r="M29" s="38">
        <f t="shared" si="10"/>
        <v>1</v>
      </c>
      <c r="N29" s="31" t="str">
        <f t="shared" si="10"/>
        <v/>
      </c>
      <c r="O29" s="31" t="str">
        <f t="shared" si="10"/>
        <v/>
      </c>
      <c r="P29" s="31" t="str">
        <f t="shared" si="10"/>
        <v/>
      </c>
      <c r="Q29" s="31" t="str">
        <f t="shared" si="10"/>
        <v/>
      </c>
      <c r="R29" s="31" t="str">
        <f t="shared" si="10"/>
        <v/>
      </c>
      <c r="S29" s="31" t="str">
        <f t="shared" si="10"/>
        <v/>
      </c>
      <c r="T29" s="39" t="str">
        <f t="shared" si="6"/>
        <v>#N/A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</row>
    <row r="30">
      <c r="A30" s="7"/>
      <c r="B30" s="7"/>
      <c r="C30" s="27" t="str">
        <f t="shared" ref="C30:G30" si="11">C16</f>
        <v>Customer 5</v>
      </c>
      <c r="D30" s="34" t="str">
        <f t="shared" si="11"/>
        <v>May '23</v>
      </c>
      <c r="E30" s="35">
        <f t="shared" si="11"/>
        <v>25000</v>
      </c>
      <c r="F30" s="35" t="str">
        <f t="shared" si="11"/>
        <v>Yes</v>
      </c>
      <c r="G30" s="46">
        <f t="shared" si="11"/>
        <v>40</v>
      </c>
      <c r="H30" s="37">
        <f t="shared" ref="H30:S30" si="12">IF(ISBLANK(H16),"", (IF((H16/$G30)&lt;$P$6, 0, 1)))</f>
        <v>0</v>
      </c>
      <c r="I30" s="37">
        <f t="shared" si="12"/>
        <v>0</v>
      </c>
      <c r="J30" s="37">
        <f t="shared" si="12"/>
        <v>0</v>
      </c>
      <c r="K30" s="38">
        <f t="shared" si="12"/>
        <v>1</v>
      </c>
      <c r="L30" s="38">
        <f t="shared" si="12"/>
        <v>1</v>
      </c>
      <c r="M30" s="38">
        <f t="shared" si="12"/>
        <v>1</v>
      </c>
      <c r="N30" s="31" t="str">
        <f t="shared" si="12"/>
        <v/>
      </c>
      <c r="O30" s="31" t="str">
        <f t="shared" si="12"/>
        <v/>
      </c>
      <c r="P30" s="31" t="str">
        <f t="shared" si="12"/>
        <v/>
      </c>
      <c r="Q30" s="31" t="str">
        <f t="shared" si="12"/>
        <v/>
      </c>
      <c r="R30" s="31" t="str">
        <f t="shared" si="12"/>
        <v/>
      </c>
      <c r="S30" s="31" t="str">
        <f t="shared" si="12"/>
        <v/>
      </c>
      <c r="T30" s="39" t="str">
        <f t="shared" si="6"/>
        <v>#N/A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</row>
    <row r="31">
      <c r="A31" s="7"/>
      <c r="B31" s="7"/>
      <c r="C31" s="27" t="str">
        <f t="shared" ref="C31:G31" si="13">C17</f>
        <v>Customer 6</v>
      </c>
      <c r="D31" s="34" t="str">
        <f t="shared" si="13"/>
        <v>June '23</v>
      </c>
      <c r="E31" s="35">
        <f t="shared" si="13"/>
        <v>12000</v>
      </c>
      <c r="F31" s="35" t="str">
        <f t="shared" si="13"/>
        <v>No</v>
      </c>
      <c r="G31" s="46">
        <f t="shared" si="13"/>
        <v>50</v>
      </c>
      <c r="H31" s="37">
        <f t="shared" ref="H31:S31" si="14">IF(ISBLANK(H17),"", (IF((H17/$G31)&lt;$P$6, 0, 1)))</f>
        <v>0</v>
      </c>
      <c r="I31" s="37">
        <f t="shared" si="14"/>
        <v>0</v>
      </c>
      <c r="J31" s="37">
        <f t="shared" si="14"/>
        <v>0</v>
      </c>
      <c r="K31" s="37">
        <f t="shared" si="14"/>
        <v>0</v>
      </c>
      <c r="L31" s="37">
        <f t="shared" si="14"/>
        <v>0</v>
      </c>
      <c r="M31" s="31" t="str">
        <f t="shared" si="14"/>
        <v/>
      </c>
      <c r="N31" s="31" t="str">
        <f t="shared" si="14"/>
        <v/>
      </c>
      <c r="O31" s="31" t="str">
        <f t="shared" si="14"/>
        <v/>
      </c>
      <c r="P31" s="31" t="str">
        <f t="shared" si="14"/>
        <v/>
      </c>
      <c r="Q31" s="31" t="str">
        <f t="shared" si="14"/>
        <v/>
      </c>
      <c r="R31" s="31" t="str">
        <f t="shared" si="14"/>
        <v/>
      </c>
      <c r="S31" s="31" t="str">
        <f t="shared" si="14"/>
        <v/>
      </c>
      <c r="T31" s="39" t="str">
        <f t="shared" si="6"/>
        <v>#N/A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</row>
    <row r="32">
      <c r="A32" s="7"/>
      <c r="B32" s="7"/>
      <c r="C32" s="27" t="str">
        <f t="shared" ref="C32:G32" si="15">C18</f>
        <v>Customer 7</v>
      </c>
      <c r="D32" s="34" t="str">
        <f t="shared" si="15"/>
        <v>July '23</v>
      </c>
      <c r="E32" s="35">
        <f t="shared" si="15"/>
        <v>76000</v>
      </c>
      <c r="F32" s="35" t="str">
        <f t="shared" si="15"/>
        <v>Yes</v>
      </c>
      <c r="G32" s="46">
        <f t="shared" si="15"/>
        <v>50</v>
      </c>
      <c r="H32" s="37">
        <f t="shared" ref="H32:S32" si="16">IF(ISBLANK(H18),"", (IF((H18/$G32)&lt;$P$6, 0, 1)))</f>
        <v>0</v>
      </c>
      <c r="I32" s="37">
        <f t="shared" si="16"/>
        <v>0</v>
      </c>
      <c r="J32" s="37">
        <f t="shared" si="16"/>
        <v>0</v>
      </c>
      <c r="K32" s="37">
        <f t="shared" si="16"/>
        <v>0</v>
      </c>
      <c r="L32" s="31" t="str">
        <f t="shared" si="16"/>
        <v/>
      </c>
      <c r="M32" s="31" t="str">
        <f t="shared" si="16"/>
        <v/>
      </c>
      <c r="N32" s="31" t="str">
        <f t="shared" si="16"/>
        <v/>
      </c>
      <c r="O32" s="31" t="str">
        <f t="shared" si="16"/>
        <v/>
      </c>
      <c r="P32" s="31" t="str">
        <f t="shared" si="16"/>
        <v/>
      </c>
      <c r="Q32" s="31" t="str">
        <f t="shared" si="16"/>
        <v/>
      </c>
      <c r="R32" s="31" t="str">
        <f t="shared" si="16"/>
        <v/>
      </c>
      <c r="S32" s="31" t="str">
        <f t="shared" si="16"/>
        <v/>
      </c>
      <c r="T32" s="39" t="str">
        <f t="shared" si="6"/>
        <v>#N/A</v>
      </c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>
      <c r="A33" s="7"/>
      <c r="B33" s="7"/>
      <c r="C33" s="27" t="str">
        <f t="shared" ref="C33:G33" si="17">C19</f>
        <v>Customer 8</v>
      </c>
      <c r="D33" s="34" t="str">
        <f t="shared" si="17"/>
        <v>July '23</v>
      </c>
      <c r="E33" s="35">
        <f t="shared" si="17"/>
        <v>90000</v>
      </c>
      <c r="F33" s="35" t="str">
        <f t="shared" si="17"/>
        <v>Yes</v>
      </c>
      <c r="G33" s="46">
        <f t="shared" si="17"/>
        <v>40</v>
      </c>
      <c r="H33" s="37">
        <f t="shared" ref="H33:S33" si="18">IF(ISBLANK(H19),"", (IF((H19/$G33)&lt;$P$6, 0, 1)))</f>
        <v>0</v>
      </c>
      <c r="I33" s="37">
        <f t="shared" si="18"/>
        <v>0</v>
      </c>
      <c r="J33" s="37">
        <f t="shared" si="18"/>
        <v>0</v>
      </c>
      <c r="K33" s="38">
        <f t="shared" si="18"/>
        <v>1</v>
      </c>
      <c r="L33" s="31" t="str">
        <f t="shared" si="18"/>
        <v/>
      </c>
      <c r="M33" s="31" t="str">
        <f t="shared" si="18"/>
        <v/>
      </c>
      <c r="N33" s="31" t="str">
        <f t="shared" si="18"/>
        <v/>
      </c>
      <c r="O33" s="31" t="str">
        <f t="shared" si="18"/>
        <v/>
      </c>
      <c r="P33" s="31" t="str">
        <f t="shared" si="18"/>
        <v/>
      </c>
      <c r="Q33" s="31" t="str">
        <f t="shared" si="18"/>
        <v/>
      </c>
      <c r="R33" s="31" t="str">
        <f t="shared" si="18"/>
        <v/>
      </c>
      <c r="S33" s="31" t="str">
        <f t="shared" si="18"/>
        <v/>
      </c>
      <c r="T33" s="39" t="str">
        <f t="shared" si="6"/>
        <v>#N/A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</row>
    <row r="34">
      <c r="A34" s="7"/>
      <c r="B34" s="7"/>
      <c r="C34" s="27" t="str">
        <f t="shared" ref="C34:G34" si="19">C20</f>
        <v>Customer 9</v>
      </c>
      <c r="D34" s="34" t="str">
        <f t="shared" si="19"/>
        <v>Aug '23</v>
      </c>
      <c r="E34" s="35">
        <f t="shared" si="19"/>
        <v>45000</v>
      </c>
      <c r="F34" s="35" t="str">
        <f t="shared" si="19"/>
        <v>Yes</v>
      </c>
      <c r="G34" s="46">
        <f t="shared" si="19"/>
        <v>60</v>
      </c>
      <c r="H34" s="37">
        <f t="shared" ref="H34:S34" si="20">IF(ISBLANK(H20),"", (IF((H20/$G34)&lt;$P$6, 0, 1)))</f>
        <v>0</v>
      </c>
      <c r="I34" s="37">
        <f t="shared" si="20"/>
        <v>0</v>
      </c>
      <c r="J34" s="37">
        <f t="shared" si="20"/>
        <v>0</v>
      </c>
      <c r="K34" s="31" t="str">
        <f t="shared" si="20"/>
        <v/>
      </c>
      <c r="L34" s="31" t="str">
        <f t="shared" si="20"/>
        <v/>
      </c>
      <c r="M34" s="31" t="str">
        <f t="shared" si="20"/>
        <v/>
      </c>
      <c r="N34" s="31" t="str">
        <f t="shared" si="20"/>
        <v/>
      </c>
      <c r="O34" s="31" t="str">
        <f t="shared" si="20"/>
        <v/>
      </c>
      <c r="P34" s="31" t="str">
        <f t="shared" si="20"/>
        <v/>
      </c>
      <c r="Q34" s="31" t="str">
        <f t="shared" si="20"/>
        <v/>
      </c>
      <c r="R34" s="31" t="str">
        <f t="shared" si="20"/>
        <v/>
      </c>
      <c r="S34" s="31" t="str">
        <f t="shared" si="20"/>
        <v/>
      </c>
      <c r="T34" s="39" t="str">
        <f t="shared" si="6"/>
        <v>#N/A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</row>
    <row r="35">
      <c r="A35" s="7"/>
      <c r="B35" s="7"/>
      <c r="C35" s="27" t="str">
        <f t="shared" ref="C35:G35" si="21">C21</f>
        <v>Customer 10</v>
      </c>
      <c r="D35" s="34" t="str">
        <f t="shared" si="21"/>
        <v>Aug '24</v>
      </c>
      <c r="E35" s="35">
        <f t="shared" si="21"/>
        <v>55000</v>
      </c>
      <c r="F35" s="35" t="str">
        <f t="shared" si="21"/>
        <v>Yes</v>
      </c>
      <c r="G35" s="46">
        <f t="shared" si="21"/>
        <v>75</v>
      </c>
      <c r="H35" s="37">
        <f t="shared" ref="H35:S35" si="22">IF(ISBLANK(H21),"", (IF((H21/$G35)&lt;$P$6, 0, 1)))</f>
        <v>0</v>
      </c>
      <c r="I35" s="37">
        <f t="shared" si="22"/>
        <v>0</v>
      </c>
      <c r="J35" s="37">
        <f t="shared" si="22"/>
        <v>0</v>
      </c>
      <c r="K35" s="31" t="str">
        <f t="shared" si="22"/>
        <v/>
      </c>
      <c r="L35" s="31" t="str">
        <f t="shared" si="22"/>
        <v/>
      </c>
      <c r="M35" s="31" t="str">
        <f t="shared" si="22"/>
        <v/>
      </c>
      <c r="N35" s="31" t="str">
        <f t="shared" si="22"/>
        <v/>
      </c>
      <c r="O35" s="31" t="str">
        <f t="shared" si="22"/>
        <v/>
      </c>
      <c r="P35" s="31" t="str">
        <f t="shared" si="22"/>
        <v/>
      </c>
      <c r="Q35" s="31" t="str">
        <f t="shared" si="22"/>
        <v/>
      </c>
      <c r="R35" s="31" t="str">
        <f t="shared" si="22"/>
        <v/>
      </c>
      <c r="S35" s="31" t="str">
        <f t="shared" si="22"/>
        <v/>
      </c>
      <c r="T35" s="39" t="str">
        <f t="shared" si="6"/>
        <v>#N/A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9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40" t="s">
        <v>50</v>
      </c>
      <c r="T37" s="41" t="str">
        <f>SUM(T26:T35)/COUNT(T26:T35)</f>
        <v>#N/A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42" t="s">
        <v>51</v>
      </c>
      <c r="T38" s="43">
        <v>0.7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</row>
  </sheetData>
  <mergeCells count="4">
    <mergeCell ref="A1:Q1"/>
    <mergeCell ref="P5:R5"/>
    <mergeCell ref="A10:Q10"/>
    <mergeCell ref="A24:Q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6.29"/>
    <col customWidth="1" min="2" max="2" width="5.86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6"/>
      <c r="S1" s="6"/>
      <c r="T1" s="6"/>
      <c r="U1" s="6"/>
      <c r="V1" s="6"/>
      <c r="W1" s="6"/>
      <c r="X1" s="6"/>
      <c r="Y1" s="6"/>
      <c r="Z1" s="6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>
      <c r="A2" s="8" t="s">
        <v>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>
      <c r="A3" s="8" t="s">
        <v>54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>
      <c r="A5" s="10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7"/>
      <c r="O5" s="7"/>
      <c r="P5" s="9"/>
      <c r="Q5" s="9"/>
      <c r="R5" s="9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>
      <c r="A6" s="7"/>
      <c r="B6" s="15" t="s">
        <v>6</v>
      </c>
      <c r="C6" s="8" t="s">
        <v>7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1"/>
      <c r="P6" s="47" t="s">
        <v>5</v>
      </c>
      <c r="R6" s="48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>
      <c r="A7" s="7"/>
      <c r="B7" s="15" t="s">
        <v>6</v>
      </c>
      <c r="C7" s="8" t="s">
        <v>9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11"/>
      <c r="P7" s="17"/>
      <c r="Q7" s="18" t="s">
        <v>10</v>
      </c>
      <c r="R7" s="19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1"/>
      <c r="P8" s="20"/>
      <c r="Q8" s="21" t="s">
        <v>11</v>
      </c>
      <c r="R8" s="22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s="23" t="s">
        <v>12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6"/>
      <c r="S10" s="6"/>
      <c r="T10" s="6"/>
      <c r="U10" s="6"/>
      <c r="V10" s="6"/>
      <c r="W10" s="6"/>
      <c r="X10" s="6"/>
      <c r="Y10" s="6"/>
      <c r="Z10" s="6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</row>
    <row r="11">
      <c r="A11" s="7"/>
      <c r="B11" s="7"/>
      <c r="C11" s="7"/>
      <c r="D11" s="24" t="s">
        <v>13</v>
      </c>
      <c r="E11" s="25" t="s">
        <v>14</v>
      </c>
      <c r="F11" s="25" t="s">
        <v>15</v>
      </c>
      <c r="G11" s="45" t="s">
        <v>53</v>
      </c>
      <c r="H11" s="26" t="s">
        <v>16</v>
      </c>
      <c r="I11" s="26" t="s">
        <v>17</v>
      </c>
      <c r="J11" s="26" t="s">
        <v>18</v>
      </c>
      <c r="K11" s="26" t="s">
        <v>19</v>
      </c>
      <c r="L11" s="26" t="s">
        <v>20</v>
      </c>
      <c r="M11" s="26" t="s">
        <v>21</v>
      </c>
      <c r="N11" s="26" t="s">
        <v>22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27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</row>
    <row r="12">
      <c r="A12" s="7"/>
      <c r="B12" s="7"/>
      <c r="C12" s="7"/>
      <c r="D12" s="31"/>
      <c r="E12" s="31"/>
      <c r="F12" s="31"/>
      <c r="G12" s="31"/>
      <c r="H12" s="49">
        <v>0.1</v>
      </c>
      <c r="I12" s="49">
        <v>0.15</v>
      </c>
      <c r="J12" s="49">
        <v>0.2</v>
      </c>
      <c r="K12" s="49">
        <v>0.25</v>
      </c>
      <c r="L12" s="49">
        <v>0.4</v>
      </c>
      <c r="M12" s="49">
        <v>0.5</v>
      </c>
      <c r="N12" s="49">
        <v>0.6</v>
      </c>
      <c r="O12" s="49">
        <v>0.7</v>
      </c>
      <c r="P12" s="49">
        <v>0.8</v>
      </c>
      <c r="Q12" s="49">
        <v>0.9</v>
      </c>
      <c r="R12" s="49">
        <v>1.0</v>
      </c>
      <c r="S12" s="49">
        <v>1.0</v>
      </c>
      <c r="T12" s="8" t="s">
        <v>55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</row>
    <row r="13">
      <c r="A13" s="7"/>
      <c r="B13" s="7"/>
      <c r="C13" s="27" t="s">
        <v>28</v>
      </c>
      <c r="D13" s="28" t="s">
        <v>29</v>
      </c>
      <c r="E13" s="29">
        <v>9000.0</v>
      </c>
      <c r="F13" s="28" t="s">
        <v>30</v>
      </c>
      <c r="G13" s="28">
        <v>10.0</v>
      </c>
      <c r="H13" s="30">
        <v>0.0</v>
      </c>
      <c r="I13" s="30">
        <v>0.0</v>
      </c>
      <c r="J13" s="30">
        <v>2.0</v>
      </c>
      <c r="K13" s="30">
        <v>4.0</v>
      </c>
      <c r="L13" s="30">
        <v>5.0</v>
      </c>
      <c r="M13" s="30">
        <v>5.0</v>
      </c>
      <c r="N13" s="30">
        <v>4.0</v>
      </c>
      <c r="O13" s="30">
        <v>6.0</v>
      </c>
      <c r="P13" s="30">
        <v>6.0</v>
      </c>
      <c r="Q13" s="30">
        <v>7.0</v>
      </c>
      <c r="R13" s="31"/>
      <c r="S13" s="31"/>
      <c r="T13" s="8" t="s">
        <v>31</v>
      </c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</row>
    <row r="14">
      <c r="A14" s="7"/>
      <c r="B14" s="7"/>
      <c r="C14" s="27" t="s">
        <v>32</v>
      </c>
      <c r="D14" s="28" t="s">
        <v>29</v>
      </c>
      <c r="E14" s="29">
        <v>10000.0</v>
      </c>
      <c r="F14" s="28" t="s">
        <v>33</v>
      </c>
      <c r="G14" s="28">
        <v>20.0</v>
      </c>
      <c r="H14" s="30">
        <v>2.0</v>
      </c>
      <c r="I14" s="30">
        <v>4.0</v>
      </c>
      <c r="J14" s="30">
        <v>5.0</v>
      </c>
      <c r="K14" s="30">
        <v>6.0</v>
      </c>
      <c r="L14" s="30">
        <v>7.0</v>
      </c>
      <c r="M14" s="30">
        <v>10.0</v>
      </c>
      <c r="N14" s="30">
        <v>15.0</v>
      </c>
      <c r="O14" s="30">
        <v>15.0</v>
      </c>
      <c r="P14" s="30">
        <v>20.0</v>
      </c>
      <c r="Q14" s="31"/>
      <c r="R14" s="31"/>
      <c r="S14" s="31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</row>
    <row r="15">
      <c r="A15" s="7"/>
      <c r="B15" s="7"/>
      <c r="C15" s="27" t="s">
        <v>34</v>
      </c>
      <c r="D15" s="28" t="s">
        <v>35</v>
      </c>
      <c r="E15" s="29">
        <v>40000.0</v>
      </c>
      <c r="F15" s="28" t="s">
        <v>33</v>
      </c>
      <c r="G15" s="28">
        <v>20.0</v>
      </c>
      <c r="H15" s="30">
        <v>0.0</v>
      </c>
      <c r="I15" s="30">
        <v>3.0</v>
      </c>
      <c r="J15" s="30">
        <v>6.0</v>
      </c>
      <c r="K15" s="30">
        <v>3.0</v>
      </c>
      <c r="L15" s="30">
        <v>12.0</v>
      </c>
      <c r="M15" s="30">
        <v>14.0</v>
      </c>
      <c r="N15" s="30">
        <v>14.0</v>
      </c>
      <c r="O15" s="30">
        <v>15.0</v>
      </c>
      <c r="P15" s="31"/>
      <c r="Q15" s="31"/>
      <c r="R15" s="31"/>
      <c r="S15" s="31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</row>
    <row r="16">
      <c r="A16" s="7"/>
      <c r="B16" s="7"/>
      <c r="C16" s="27" t="s">
        <v>36</v>
      </c>
      <c r="D16" s="28" t="s">
        <v>37</v>
      </c>
      <c r="E16" s="29">
        <v>50000.0</v>
      </c>
      <c r="F16" s="28" t="s">
        <v>33</v>
      </c>
      <c r="G16" s="28">
        <v>100.0</v>
      </c>
      <c r="H16" s="30">
        <v>6.0</v>
      </c>
      <c r="I16" s="30">
        <v>15.0</v>
      </c>
      <c r="J16" s="30">
        <v>19.0</v>
      </c>
      <c r="K16" s="30">
        <v>41.0</v>
      </c>
      <c r="L16" s="30">
        <v>43.0</v>
      </c>
      <c r="M16" s="30">
        <v>56.0</v>
      </c>
      <c r="N16" s="31"/>
      <c r="O16" s="31"/>
      <c r="P16" s="31"/>
      <c r="Q16" s="31"/>
      <c r="R16" s="31"/>
      <c r="S16" s="31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>
      <c r="A17" s="7"/>
      <c r="B17" s="7"/>
      <c r="C17" s="27" t="s">
        <v>38</v>
      </c>
      <c r="D17" s="28" t="s">
        <v>37</v>
      </c>
      <c r="E17" s="29">
        <v>25000.0</v>
      </c>
      <c r="F17" s="28" t="s">
        <v>33</v>
      </c>
      <c r="G17" s="28">
        <v>40.0</v>
      </c>
      <c r="H17" s="30">
        <v>3.0</v>
      </c>
      <c r="I17" s="30">
        <v>3.0</v>
      </c>
      <c r="J17" s="30">
        <v>5.0</v>
      </c>
      <c r="K17" s="30">
        <v>16.0</v>
      </c>
      <c r="L17" s="30">
        <v>18.0</v>
      </c>
      <c r="M17" s="30">
        <v>20.0</v>
      </c>
      <c r="N17" s="31"/>
      <c r="O17" s="31"/>
      <c r="P17" s="31"/>
      <c r="Q17" s="31"/>
      <c r="R17" s="31"/>
      <c r="S17" s="31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</row>
    <row r="18">
      <c r="A18" s="7"/>
      <c r="B18" s="7"/>
      <c r="C18" s="27" t="s">
        <v>39</v>
      </c>
      <c r="D18" s="28" t="s">
        <v>40</v>
      </c>
      <c r="E18" s="29">
        <v>12000.0</v>
      </c>
      <c r="F18" s="28" t="s">
        <v>30</v>
      </c>
      <c r="G18" s="28">
        <v>50.0</v>
      </c>
      <c r="H18" s="30">
        <v>0.0</v>
      </c>
      <c r="I18" s="30">
        <v>0.0</v>
      </c>
      <c r="J18" s="30">
        <v>0.0</v>
      </c>
      <c r="K18" s="30">
        <v>1.0</v>
      </c>
      <c r="L18" s="30">
        <v>2.0</v>
      </c>
      <c r="M18" s="31"/>
      <c r="N18" s="31"/>
      <c r="O18" s="31"/>
      <c r="P18" s="31"/>
      <c r="Q18" s="31"/>
      <c r="R18" s="31"/>
      <c r="S18" s="31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</row>
    <row r="19">
      <c r="A19" s="7"/>
      <c r="B19" s="7"/>
      <c r="C19" s="27" t="s">
        <v>41</v>
      </c>
      <c r="D19" s="28" t="s">
        <v>42</v>
      </c>
      <c r="E19" s="29">
        <v>76000.0</v>
      </c>
      <c r="F19" s="28" t="s">
        <v>33</v>
      </c>
      <c r="G19" s="28">
        <v>50.0</v>
      </c>
      <c r="H19" s="30">
        <v>0.0</v>
      </c>
      <c r="I19" s="30">
        <v>4.0</v>
      </c>
      <c r="J19" s="30">
        <v>6.0</v>
      </c>
      <c r="K19" s="30">
        <v>10.0</v>
      </c>
      <c r="L19" s="31"/>
      <c r="M19" s="31"/>
      <c r="N19" s="31"/>
      <c r="O19" s="31"/>
      <c r="P19" s="31"/>
      <c r="Q19" s="31"/>
      <c r="R19" s="31"/>
      <c r="S19" s="31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</row>
    <row r="20">
      <c r="A20" s="7"/>
      <c r="B20" s="7"/>
      <c r="C20" s="27" t="s">
        <v>43</v>
      </c>
      <c r="D20" s="28" t="s">
        <v>42</v>
      </c>
      <c r="E20" s="29">
        <v>90000.0</v>
      </c>
      <c r="F20" s="28" t="s">
        <v>33</v>
      </c>
      <c r="G20" s="28">
        <v>40.0</v>
      </c>
      <c r="H20" s="30">
        <v>5.0</v>
      </c>
      <c r="I20" s="30">
        <v>6.0</v>
      </c>
      <c r="J20" s="30">
        <v>7.0</v>
      </c>
      <c r="K20" s="30">
        <v>14.0</v>
      </c>
      <c r="L20" s="31"/>
      <c r="M20" s="31"/>
      <c r="N20" s="31"/>
      <c r="O20" s="31"/>
      <c r="P20" s="31"/>
      <c r="Q20" s="31"/>
      <c r="R20" s="31"/>
      <c r="S20" s="31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>
      <c r="A21" s="7"/>
      <c r="B21" s="7"/>
      <c r="C21" s="27" t="s">
        <v>44</v>
      </c>
      <c r="D21" s="28" t="s">
        <v>45</v>
      </c>
      <c r="E21" s="29">
        <v>45000.0</v>
      </c>
      <c r="F21" s="28" t="s">
        <v>33</v>
      </c>
      <c r="G21" s="28">
        <v>60.0</v>
      </c>
      <c r="H21" s="30">
        <v>0.0</v>
      </c>
      <c r="I21" s="30">
        <v>5.0</v>
      </c>
      <c r="J21" s="30">
        <v>12.0</v>
      </c>
      <c r="K21" s="31"/>
      <c r="L21" s="31"/>
      <c r="M21" s="31"/>
      <c r="N21" s="31"/>
      <c r="O21" s="31"/>
      <c r="P21" s="31"/>
      <c r="Q21" s="31"/>
      <c r="R21" s="31"/>
      <c r="S21" s="31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</row>
    <row r="22">
      <c r="A22" s="7"/>
      <c r="B22" s="7"/>
      <c r="C22" s="27" t="s">
        <v>46</v>
      </c>
      <c r="D22" s="28" t="s">
        <v>47</v>
      </c>
      <c r="E22" s="29">
        <v>55000.0</v>
      </c>
      <c r="F22" s="28" t="s">
        <v>33</v>
      </c>
      <c r="G22" s="28">
        <v>75.0</v>
      </c>
      <c r="H22" s="30">
        <v>4.0</v>
      </c>
      <c r="I22" s="30">
        <v>4.0</v>
      </c>
      <c r="J22" s="30">
        <v>4.0</v>
      </c>
      <c r="K22" s="31"/>
      <c r="L22" s="31"/>
      <c r="M22" s="31"/>
      <c r="N22" s="31"/>
      <c r="O22" s="31"/>
      <c r="P22" s="31"/>
      <c r="Q22" s="31"/>
      <c r="R22" s="31"/>
      <c r="S22" s="31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</row>
    <row r="25">
      <c r="A25" s="32" t="s">
        <v>48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5"/>
      <c r="R25" s="6"/>
      <c r="S25" s="6"/>
      <c r="T25" s="6"/>
      <c r="U25" s="6"/>
      <c r="V25" s="6"/>
      <c r="W25" s="6"/>
      <c r="X25" s="6"/>
      <c r="Y25" s="6"/>
      <c r="Z25" s="6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>
      <c r="A26" s="7"/>
      <c r="B26" s="7"/>
      <c r="C26" s="7"/>
      <c r="D26" s="24" t="s">
        <v>13</v>
      </c>
      <c r="E26" s="25" t="s">
        <v>14</v>
      </c>
      <c r="F26" s="25" t="s">
        <v>15</v>
      </c>
      <c r="G26" s="45" t="s">
        <v>53</v>
      </c>
      <c r="H26" s="26" t="str">
        <f t="shared" ref="H26:S26" si="1">H11</f>
        <v>Month 1</v>
      </c>
      <c r="I26" s="26" t="str">
        <f t="shared" si="1"/>
        <v>Month 2</v>
      </c>
      <c r="J26" s="26" t="str">
        <f t="shared" si="1"/>
        <v>Month 3</v>
      </c>
      <c r="K26" s="26" t="str">
        <f t="shared" si="1"/>
        <v>Month 4</v>
      </c>
      <c r="L26" s="26" t="str">
        <f t="shared" si="1"/>
        <v>Month 5</v>
      </c>
      <c r="M26" s="26" t="str">
        <f t="shared" si="1"/>
        <v>Month 6</v>
      </c>
      <c r="N26" s="26" t="str">
        <f t="shared" si="1"/>
        <v>Month 7</v>
      </c>
      <c r="O26" s="26" t="str">
        <f t="shared" si="1"/>
        <v>Month 8</v>
      </c>
      <c r="P26" s="26" t="str">
        <f t="shared" si="1"/>
        <v>Month 9</v>
      </c>
      <c r="Q26" s="26" t="str">
        <f t="shared" si="1"/>
        <v>Month 10</v>
      </c>
      <c r="R26" s="26" t="str">
        <f t="shared" si="1"/>
        <v>Month 11</v>
      </c>
      <c r="S26" s="26" t="str">
        <f t="shared" si="1"/>
        <v>Month 12</v>
      </c>
      <c r="T26" s="33" t="s">
        <v>49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>
      <c r="A27" s="7"/>
      <c r="B27" s="7"/>
      <c r="C27" s="7"/>
      <c r="D27" s="7"/>
      <c r="E27" s="7"/>
      <c r="F27" s="7"/>
      <c r="G27" s="7"/>
      <c r="H27" s="50">
        <f t="shared" ref="H27:S27" si="2">H12</f>
        <v>0.1</v>
      </c>
      <c r="I27" s="50">
        <f t="shared" si="2"/>
        <v>0.15</v>
      </c>
      <c r="J27" s="50">
        <f t="shared" si="2"/>
        <v>0.2</v>
      </c>
      <c r="K27" s="50">
        <f t="shared" si="2"/>
        <v>0.25</v>
      </c>
      <c r="L27" s="50">
        <f t="shared" si="2"/>
        <v>0.4</v>
      </c>
      <c r="M27" s="50">
        <f t="shared" si="2"/>
        <v>0.5</v>
      </c>
      <c r="N27" s="50">
        <f t="shared" si="2"/>
        <v>0.6</v>
      </c>
      <c r="O27" s="50">
        <f t="shared" si="2"/>
        <v>0.7</v>
      </c>
      <c r="P27" s="50">
        <f t="shared" si="2"/>
        <v>0.8</v>
      </c>
      <c r="Q27" s="50">
        <f t="shared" si="2"/>
        <v>0.9</v>
      </c>
      <c r="R27" s="50">
        <f t="shared" si="2"/>
        <v>1</v>
      </c>
      <c r="S27" s="50">
        <f t="shared" si="2"/>
        <v>1</v>
      </c>
      <c r="T27" s="51" t="s">
        <v>55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</row>
    <row r="28">
      <c r="A28" s="7"/>
      <c r="B28" s="7"/>
      <c r="C28" s="27" t="str">
        <f t="shared" ref="C28:G28" si="3">C13</f>
        <v>Customer 1</v>
      </c>
      <c r="D28" s="34" t="str">
        <f t="shared" si="3"/>
        <v>Jan '23</v>
      </c>
      <c r="E28" s="35">
        <f t="shared" si="3"/>
        <v>9000</v>
      </c>
      <c r="F28" s="35" t="str">
        <f t="shared" si="3"/>
        <v>No</v>
      </c>
      <c r="G28" s="46">
        <f t="shared" si="3"/>
        <v>10</v>
      </c>
      <c r="H28" s="37">
        <f t="shared" ref="H28:S28" si="4">IF(ISBLANK(H13),"", (IF((H13/$G28)&lt;H$12, 0, 1)))</f>
        <v>0</v>
      </c>
      <c r="I28" s="37">
        <f t="shared" si="4"/>
        <v>0</v>
      </c>
      <c r="J28" s="38">
        <f t="shared" si="4"/>
        <v>1</v>
      </c>
      <c r="K28" s="38">
        <f t="shared" si="4"/>
        <v>1</v>
      </c>
      <c r="L28" s="38">
        <f t="shared" si="4"/>
        <v>1</v>
      </c>
      <c r="M28" s="38">
        <f t="shared" si="4"/>
        <v>1</v>
      </c>
      <c r="N28" s="37">
        <f t="shared" si="4"/>
        <v>0</v>
      </c>
      <c r="O28" s="37">
        <f t="shared" si="4"/>
        <v>0</v>
      </c>
      <c r="P28" s="37">
        <f t="shared" si="4"/>
        <v>0</v>
      </c>
      <c r="Q28" s="37">
        <f t="shared" si="4"/>
        <v>0</v>
      </c>
      <c r="R28" s="31" t="str">
        <f t="shared" si="4"/>
        <v/>
      </c>
      <c r="S28" s="31" t="str">
        <f t="shared" si="4"/>
        <v/>
      </c>
      <c r="T28" s="39" t="str">
        <f t="shared" ref="T28:T37" si="7">LOOKUP(2,1/(H28:S28&lt;&gt;""),H28:S28)</f>
        <v>#N/A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</row>
    <row r="29">
      <c r="A29" s="7"/>
      <c r="B29" s="7"/>
      <c r="C29" s="27" t="str">
        <f t="shared" ref="C29:G29" si="5">C14</f>
        <v>Customer 2</v>
      </c>
      <c r="D29" s="34" t="str">
        <f t="shared" si="5"/>
        <v>Jan '23</v>
      </c>
      <c r="E29" s="35">
        <f t="shared" si="5"/>
        <v>10000</v>
      </c>
      <c r="F29" s="35" t="str">
        <f t="shared" si="5"/>
        <v>Yes</v>
      </c>
      <c r="G29" s="46">
        <f t="shared" si="5"/>
        <v>20</v>
      </c>
      <c r="H29" s="38">
        <f t="shared" ref="H29:S29" si="6">IF(ISBLANK(H14),"", (IF((H14/$G29)&lt;H$12, 0, 1)))</f>
        <v>1</v>
      </c>
      <c r="I29" s="38">
        <f t="shared" si="6"/>
        <v>1</v>
      </c>
      <c r="J29" s="38">
        <f t="shared" si="6"/>
        <v>1</v>
      </c>
      <c r="K29" s="38">
        <f t="shared" si="6"/>
        <v>1</v>
      </c>
      <c r="L29" s="37">
        <f t="shared" si="6"/>
        <v>0</v>
      </c>
      <c r="M29" s="38">
        <f t="shared" si="6"/>
        <v>1</v>
      </c>
      <c r="N29" s="38">
        <f t="shared" si="6"/>
        <v>1</v>
      </c>
      <c r="O29" s="38">
        <f t="shared" si="6"/>
        <v>1</v>
      </c>
      <c r="P29" s="38">
        <f t="shared" si="6"/>
        <v>1</v>
      </c>
      <c r="Q29" s="31" t="str">
        <f t="shared" si="6"/>
        <v/>
      </c>
      <c r="R29" s="31" t="str">
        <f t="shared" si="6"/>
        <v/>
      </c>
      <c r="S29" s="31" t="str">
        <f t="shared" si="6"/>
        <v/>
      </c>
      <c r="T29" s="39" t="str">
        <f t="shared" si="7"/>
        <v>#N/A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</row>
    <row r="30">
      <c r="A30" s="7"/>
      <c r="B30" s="7"/>
      <c r="C30" s="27" t="str">
        <f t="shared" ref="C30:G30" si="8">C15</f>
        <v>Customer 3</v>
      </c>
      <c r="D30" s="34" t="str">
        <f t="shared" si="8"/>
        <v>Feb '23</v>
      </c>
      <c r="E30" s="35">
        <f t="shared" si="8"/>
        <v>40000</v>
      </c>
      <c r="F30" s="35" t="str">
        <f t="shared" si="8"/>
        <v>Yes</v>
      </c>
      <c r="G30" s="46">
        <f t="shared" si="8"/>
        <v>20</v>
      </c>
      <c r="H30" s="37">
        <f t="shared" ref="H30:S30" si="9">IF(ISBLANK(H15),"", (IF((H15/$G30)&lt;H$12, 0, 1)))</f>
        <v>0</v>
      </c>
      <c r="I30" s="38">
        <f t="shared" si="9"/>
        <v>1</v>
      </c>
      <c r="J30" s="38">
        <f t="shared" si="9"/>
        <v>1</v>
      </c>
      <c r="K30" s="37">
        <f t="shared" si="9"/>
        <v>0</v>
      </c>
      <c r="L30" s="38">
        <f t="shared" si="9"/>
        <v>1</v>
      </c>
      <c r="M30" s="38">
        <f t="shared" si="9"/>
        <v>1</v>
      </c>
      <c r="N30" s="38">
        <f t="shared" si="9"/>
        <v>1</v>
      </c>
      <c r="O30" s="38">
        <f t="shared" si="9"/>
        <v>1</v>
      </c>
      <c r="P30" s="31" t="str">
        <f t="shared" si="9"/>
        <v/>
      </c>
      <c r="Q30" s="31" t="str">
        <f t="shared" si="9"/>
        <v/>
      </c>
      <c r="R30" s="31" t="str">
        <f t="shared" si="9"/>
        <v/>
      </c>
      <c r="S30" s="31" t="str">
        <f t="shared" si="9"/>
        <v/>
      </c>
      <c r="T30" s="39" t="str">
        <f t="shared" si="7"/>
        <v>#N/A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</row>
    <row r="31">
      <c r="A31" s="7"/>
      <c r="B31" s="7"/>
      <c r="C31" s="27" t="str">
        <f t="shared" ref="C31:G31" si="10">C16</f>
        <v>Customer 4</v>
      </c>
      <c r="D31" s="34" t="str">
        <f t="shared" si="10"/>
        <v>May '23</v>
      </c>
      <c r="E31" s="35">
        <f t="shared" si="10"/>
        <v>50000</v>
      </c>
      <c r="F31" s="35" t="str">
        <f t="shared" si="10"/>
        <v>Yes</v>
      </c>
      <c r="G31" s="46">
        <f t="shared" si="10"/>
        <v>100</v>
      </c>
      <c r="H31" s="37">
        <f t="shared" ref="H31:S31" si="11">IF(ISBLANK(H16),"", (IF((H16/$G31)&lt;H$12, 0, 1)))</f>
        <v>0</v>
      </c>
      <c r="I31" s="38">
        <f t="shared" si="11"/>
        <v>1</v>
      </c>
      <c r="J31" s="37">
        <f t="shared" si="11"/>
        <v>0</v>
      </c>
      <c r="K31" s="38">
        <f t="shared" si="11"/>
        <v>1</v>
      </c>
      <c r="L31" s="38">
        <f t="shared" si="11"/>
        <v>1</v>
      </c>
      <c r="M31" s="38">
        <f t="shared" si="11"/>
        <v>1</v>
      </c>
      <c r="N31" s="31" t="str">
        <f t="shared" si="11"/>
        <v/>
      </c>
      <c r="O31" s="31" t="str">
        <f t="shared" si="11"/>
        <v/>
      </c>
      <c r="P31" s="31" t="str">
        <f t="shared" si="11"/>
        <v/>
      </c>
      <c r="Q31" s="31" t="str">
        <f t="shared" si="11"/>
        <v/>
      </c>
      <c r="R31" s="31" t="str">
        <f t="shared" si="11"/>
        <v/>
      </c>
      <c r="S31" s="31" t="str">
        <f t="shared" si="11"/>
        <v/>
      </c>
      <c r="T31" s="39" t="str">
        <f t="shared" si="7"/>
        <v>#N/A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</row>
    <row r="32">
      <c r="A32" s="7"/>
      <c r="B32" s="7"/>
      <c r="C32" s="27" t="str">
        <f t="shared" ref="C32:G32" si="12">C17</f>
        <v>Customer 5</v>
      </c>
      <c r="D32" s="34" t="str">
        <f t="shared" si="12"/>
        <v>May '23</v>
      </c>
      <c r="E32" s="35">
        <f t="shared" si="12"/>
        <v>25000</v>
      </c>
      <c r="F32" s="35" t="str">
        <f t="shared" si="12"/>
        <v>Yes</v>
      </c>
      <c r="G32" s="46">
        <f t="shared" si="12"/>
        <v>40</v>
      </c>
      <c r="H32" s="37">
        <f t="shared" ref="H32:S32" si="13">IF(ISBLANK(H17),"", (IF((H17/$G32)&lt;H$12, 0, 1)))</f>
        <v>0</v>
      </c>
      <c r="I32" s="37">
        <f t="shared" si="13"/>
        <v>0</v>
      </c>
      <c r="J32" s="37">
        <f t="shared" si="13"/>
        <v>0</v>
      </c>
      <c r="K32" s="38">
        <f t="shared" si="13"/>
        <v>1</v>
      </c>
      <c r="L32" s="38">
        <f t="shared" si="13"/>
        <v>1</v>
      </c>
      <c r="M32" s="38">
        <f t="shared" si="13"/>
        <v>1</v>
      </c>
      <c r="N32" s="31" t="str">
        <f t="shared" si="13"/>
        <v/>
      </c>
      <c r="O32" s="31" t="str">
        <f t="shared" si="13"/>
        <v/>
      </c>
      <c r="P32" s="31" t="str">
        <f t="shared" si="13"/>
        <v/>
      </c>
      <c r="Q32" s="31" t="str">
        <f t="shared" si="13"/>
        <v/>
      </c>
      <c r="R32" s="31" t="str">
        <f t="shared" si="13"/>
        <v/>
      </c>
      <c r="S32" s="31" t="str">
        <f t="shared" si="13"/>
        <v/>
      </c>
      <c r="T32" s="39" t="str">
        <f t="shared" si="7"/>
        <v>#N/A</v>
      </c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>
      <c r="A33" s="7"/>
      <c r="B33" s="7"/>
      <c r="C33" s="27" t="str">
        <f t="shared" ref="C33:G33" si="14">C18</f>
        <v>Customer 6</v>
      </c>
      <c r="D33" s="34" t="str">
        <f t="shared" si="14"/>
        <v>June '23</v>
      </c>
      <c r="E33" s="35">
        <f t="shared" si="14"/>
        <v>12000</v>
      </c>
      <c r="F33" s="35" t="str">
        <f t="shared" si="14"/>
        <v>No</v>
      </c>
      <c r="G33" s="46">
        <f t="shared" si="14"/>
        <v>50</v>
      </c>
      <c r="H33" s="37">
        <f t="shared" ref="H33:S33" si="15">IF(ISBLANK(H18),"", (IF((H18/$G33)&lt;H$12, 0, 1)))</f>
        <v>0</v>
      </c>
      <c r="I33" s="37">
        <f t="shared" si="15"/>
        <v>0</v>
      </c>
      <c r="J33" s="37">
        <f t="shared" si="15"/>
        <v>0</v>
      </c>
      <c r="K33" s="37">
        <f t="shared" si="15"/>
        <v>0</v>
      </c>
      <c r="L33" s="37">
        <f t="shared" si="15"/>
        <v>0</v>
      </c>
      <c r="M33" s="31" t="str">
        <f t="shared" si="15"/>
        <v/>
      </c>
      <c r="N33" s="31" t="str">
        <f t="shared" si="15"/>
        <v/>
      </c>
      <c r="O33" s="31" t="str">
        <f t="shared" si="15"/>
        <v/>
      </c>
      <c r="P33" s="31" t="str">
        <f t="shared" si="15"/>
        <v/>
      </c>
      <c r="Q33" s="31" t="str">
        <f t="shared" si="15"/>
        <v/>
      </c>
      <c r="R33" s="31" t="str">
        <f t="shared" si="15"/>
        <v/>
      </c>
      <c r="S33" s="31" t="str">
        <f t="shared" si="15"/>
        <v/>
      </c>
      <c r="T33" s="39" t="str">
        <f t="shared" si="7"/>
        <v>#N/A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</row>
    <row r="34">
      <c r="A34" s="7"/>
      <c r="B34" s="7"/>
      <c r="C34" s="27" t="str">
        <f t="shared" ref="C34:G34" si="16">C19</f>
        <v>Customer 7</v>
      </c>
      <c r="D34" s="34" t="str">
        <f t="shared" si="16"/>
        <v>July '23</v>
      </c>
      <c r="E34" s="35">
        <f t="shared" si="16"/>
        <v>76000</v>
      </c>
      <c r="F34" s="35" t="str">
        <f t="shared" si="16"/>
        <v>Yes</v>
      </c>
      <c r="G34" s="46">
        <f t="shared" si="16"/>
        <v>50</v>
      </c>
      <c r="H34" s="37">
        <f t="shared" ref="H34:S34" si="17">IF(ISBLANK(H19),"", (IF((H19/$G34)&lt;H$12, 0, 1)))</f>
        <v>0</v>
      </c>
      <c r="I34" s="37">
        <f t="shared" si="17"/>
        <v>0</v>
      </c>
      <c r="J34" s="37">
        <f t="shared" si="17"/>
        <v>0</v>
      </c>
      <c r="K34" s="37">
        <f t="shared" si="17"/>
        <v>0</v>
      </c>
      <c r="L34" s="31" t="str">
        <f t="shared" si="17"/>
        <v/>
      </c>
      <c r="M34" s="31" t="str">
        <f t="shared" si="17"/>
        <v/>
      </c>
      <c r="N34" s="31" t="str">
        <f t="shared" si="17"/>
        <v/>
      </c>
      <c r="O34" s="31" t="str">
        <f t="shared" si="17"/>
        <v/>
      </c>
      <c r="P34" s="31" t="str">
        <f t="shared" si="17"/>
        <v/>
      </c>
      <c r="Q34" s="31" t="str">
        <f t="shared" si="17"/>
        <v/>
      </c>
      <c r="R34" s="31" t="str">
        <f t="shared" si="17"/>
        <v/>
      </c>
      <c r="S34" s="31" t="str">
        <f t="shared" si="17"/>
        <v/>
      </c>
      <c r="T34" s="39" t="str">
        <f t="shared" si="7"/>
        <v>#N/A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</row>
    <row r="35">
      <c r="A35" s="7"/>
      <c r="B35" s="7"/>
      <c r="C35" s="27" t="str">
        <f t="shared" ref="C35:G35" si="18">C20</f>
        <v>Customer 8</v>
      </c>
      <c r="D35" s="34" t="str">
        <f t="shared" si="18"/>
        <v>July '23</v>
      </c>
      <c r="E35" s="35">
        <f t="shared" si="18"/>
        <v>90000</v>
      </c>
      <c r="F35" s="35" t="str">
        <f t="shared" si="18"/>
        <v>Yes</v>
      </c>
      <c r="G35" s="46">
        <f t="shared" si="18"/>
        <v>40</v>
      </c>
      <c r="H35" s="38">
        <f t="shared" ref="H35:S35" si="19">IF(ISBLANK(H20),"", (IF((H20/$G35)&lt;H$12, 0, 1)))</f>
        <v>1</v>
      </c>
      <c r="I35" s="38">
        <f t="shared" si="19"/>
        <v>1</v>
      </c>
      <c r="J35" s="37">
        <f t="shared" si="19"/>
        <v>0</v>
      </c>
      <c r="K35" s="38">
        <f t="shared" si="19"/>
        <v>1</v>
      </c>
      <c r="L35" s="31" t="str">
        <f t="shared" si="19"/>
        <v/>
      </c>
      <c r="M35" s="31" t="str">
        <f t="shared" si="19"/>
        <v/>
      </c>
      <c r="N35" s="31" t="str">
        <f t="shared" si="19"/>
        <v/>
      </c>
      <c r="O35" s="31" t="str">
        <f t="shared" si="19"/>
        <v/>
      </c>
      <c r="P35" s="31" t="str">
        <f t="shared" si="19"/>
        <v/>
      </c>
      <c r="Q35" s="31" t="str">
        <f t="shared" si="19"/>
        <v/>
      </c>
      <c r="R35" s="31" t="str">
        <f t="shared" si="19"/>
        <v/>
      </c>
      <c r="S35" s="31" t="str">
        <f t="shared" si="19"/>
        <v/>
      </c>
      <c r="T35" s="39" t="str">
        <f t="shared" si="7"/>
        <v>#N/A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</row>
    <row r="36">
      <c r="A36" s="7"/>
      <c r="B36" s="7"/>
      <c r="C36" s="27" t="str">
        <f t="shared" ref="C36:G36" si="20">C21</f>
        <v>Customer 9</v>
      </c>
      <c r="D36" s="34" t="str">
        <f t="shared" si="20"/>
        <v>Aug '23</v>
      </c>
      <c r="E36" s="35">
        <f t="shared" si="20"/>
        <v>45000</v>
      </c>
      <c r="F36" s="35" t="str">
        <f t="shared" si="20"/>
        <v>Yes</v>
      </c>
      <c r="G36" s="46">
        <f t="shared" si="20"/>
        <v>60</v>
      </c>
      <c r="H36" s="37">
        <f t="shared" ref="H36:S36" si="21">IF(ISBLANK(H21),"", (IF((H21/$G36)&lt;H$12, 0, 1)))</f>
        <v>0</v>
      </c>
      <c r="I36" s="37">
        <f t="shared" si="21"/>
        <v>0</v>
      </c>
      <c r="J36" s="38">
        <f t="shared" si="21"/>
        <v>1</v>
      </c>
      <c r="K36" s="31" t="str">
        <f t="shared" si="21"/>
        <v/>
      </c>
      <c r="L36" s="31" t="str">
        <f t="shared" si="21"/>
        <v/>
      </c>
      <c r="M36" s="31" t="str">
        <f t="shared" si="21"/>
        <v/>
      </c>
      <c r="N36" s="31" t="str">
        <f t="shared" si="21"/>
        <v/>
      </c>
      <c r="O36" s="31" t="str">
        <f t="shared" si="21"/>
        <v/>
      </c>
      <c r="P36" s="31" t="str">
        <f t="shared" si="21"/>
        <v/>
      </c>
      <c r="Q36" s="31" t="str">
        <f t="shared" si="21"/>
        <v/>
      </c>
      <c r="R36" s="31" t="str">
        <f t="shared" si="21"/>
        <v/>
      </c>
      <c r="S36" s="31" t="str">
        <f t="shared" si="21"/>
        <v/>
      </c>
      <c r="T36" s="39" t="str">
        <f t="shared" si="7"/>
        <v>#N/A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>
      <c r="A37" s="7"/>
      <c r="B37" s="7"/>
      <c r="C37" s="27" t="str">
        <f t="shared" ref="C37:G37" si="22">C22</f>
        <v>Customer 10</v>
      </c>
      <c r="D37" s="34" t="str">
        <f t="shared" si="22"/>
        <v>Aug '24</v>
      </c>
      <c r="E37" s="35">
        <f t="shared" si="22"/>
        <v>55000</v>
      </c>
      <c r="F37" s="35" t="str">
        <f t="shared" si="22"/>
        <v>Yes</v>
      </c>
      <c r="G37" s="46">
        <f t="shared" si="22"/>
        <v>75</v>
      </c>
      <c r="H37" s="37">
        <f t="shared" ref="H37:S37" si="23">IF(ISBLANK(H22),"", (IF((H22/$G37)&lt;H$12, 0, 1)))</f>
        <v>0</v>
      </c>
      <c r="I37" s="37">
        <f t="shared" si="23"/>
        <v>0</v>
      </c>
      <c r="J37" s="37">
        <f t="shared" si="23"/>
        <v>0</v>
      </c>
      <c r="K37" s="31" t="str">
        <f t="shared" si="23"/>
        <v/>
      </c>
      <c r="L37" s="31" t="str">
        <f t="shared" si="23"/>
        <v/>
      </c>
      <c r="M37" s="31" t="str">
        <f t="shared" si="23"/>
        <v/>
      </c>
      <c r="N37" s="31" t="str">
        <f t="shared" si="23"/>
        <v/>
      </c>
      <c r="O37" s="31" t="str">
        <f t="shared" si="23"/>
        <v/>
      </c>
      <c r="P37" s="31" t="str">
        <f t="shared" si="23"/>
        <v/>
      </c>
      <c r="Q37" s="31" t="str">
        <f t="shared" si="23"/>
        <v/>
      </c>
      <c r="R37" s="31" t="str">
        <f t="shared" si="23"/>
        <v/>
      </c>
      <c r="S37" s="31" t="str">
        <f t="shared" si="23"/>
        <v/>
      </c>
      <c r="T37" s="39" t="str">
        <f t="shared" si="7"/>
        <v>#N/A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9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40" t="s">
        <v>50</v>
      </c>
      <c r="T39" s="41" t="str">
        <f>SUM(T28:T37)/COUNT(T28:T37)</f>
        <v>#N/A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42" t="s">
        <v>51</v>
      </c>
      <c r="T40" s="43">
        <v>0.7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</row>
  </sheetData>
  <mergeCells count="4">
    <mergeCell ref="A1:Q1"/>
    <mergeCell ref="P6:R6"/>
    <mergeCell ref="A10:Q10"/>
    <mergeCell ref="A25:Q2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2" width="5.43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56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4</v>
      </c>
      <c r="B4" s="9"/>
      <c r="C4" s="9"/>
      <c r="D4" s="9"/>
      <c r="E4" s="9"/>
      <c r="F4" s="9"/>
      <c r="G4" s="9"/>
      <c r="H4" s="9"/>
      <c r="I4" s="9"/>
      <c r="J4" s="9"/>
      <c r="K4" s="9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15" t="s">
        <v>6</v>
      </c>
      <c r="C5" s="8" t="s">
        <v>57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15" t="s">
        <v>6</v>
      </c>
      <c r="C6" s="8" t="s">
        <v>9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23" t="s">
        <v>12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6"/>
      <c r="S8" s="6"/>
      <c r="T8" s="6"/>
      <c r="U8" s="6"/>
      <c r="V8" s="6"/>
      <c r="W8" s="6"/>
      <c r="X8" s="6"/>
      <c r="Y8" s="6"/>
      <c r="Z8" s="6"/>
    </row>
    <row r="9">
      <c r="A9" s="7"/>
      <c r="B9" s="7"/>
      <c r="C9" s="7"/>
      <c r="D9" s="25" t="s">
        <v>58</v>
      </c>
      <c r="E9" s="26" t="s">
        <v>59</v>
      </c>
      <c r="F9" s="26" t="s">
        <v>60</v>
      </c>
      <c r="G9" s="26" t="s">
        <v>61</v>
      </c>
      <c r="H9" s="26" t="s">
        <v>62</v>
      </c>
      <c r="I9" s="26" t="s">
        <v>63</v>
      </c>
      <c r="J9" s="26" t="s">
        <v>64</v>
      </c>
      <c r="K9" s="26" t="s">
        <v>65</v>
      </c>
      <c r="L9" s="26" t="s">
        <v>66</v>
      </c>
      <c r="M9" s="26" t="s">
        <v>67</v>
      </c>
      <c r="N9" s="26" t="s">
        <v>68</v>
      </c>
      <c r="O9" s="26" t="s">
        <v>69</v>
      </c>
      <c r="P9" s="26" t="s">
        <v>70</v>
      </c>
      <c r="Q9" s="33" t="s">
        <v>71</v>
      </c>
      <c r="R9" s="7"/>
      <c r="S9" s="7"/>
      <c r="T9" s="7"/>
      <c r="U9" s="7"/>
      <c r="V9" s="7"/>
      <c r="W9" s="7"/>
      <c r="X9" s="7"/>
      <c r="Y9" s="7"/>
      <c r="Z9" s="7"/>
    </row>
    <row r="10">
      <c r="A10" s="7"/>
      <c r="B10" s="7"/>
      <c r="C10" s="52">
        <v>1.0</v>
      </c>
      <c r="D10" s="28" t="s">
        <v>72</v>
      </c>
      <c r="E10" s="30">
        <v>24.0</v>
      </c>
      <c r="F10" s="30">
        <v>2.0</v>
      </c>
      <c r="G10" s="30">
        <v>3.0</v>
      </c>
      <c r="H10" s="30">
        <v>3.0</v>
      </c>
      <c r="I10" s="30">
        <v>3.0</v>
      </c>
      <c r="J10" s="30">
        <v>4.0</v>
      </c>
      <c r="K10" s="30">
        <v>4.0</v>
      </c>
      <c r="L10" s="30">
        <v>5.0</v>
      </c>
      <c r="M10" s="30">
        <v>5.0</v>
      </c>
      <c r="N10" s="30">
        <v>5.0</v>
      </c>
      <c r="O10" s="30">
        <v>6.0</v>
      </c>
      <c r="P10" s="30">
        <v>6.0</v>
      </c>
      <c r="Q10" s="30">
        <v>7.0</v>
      </c>
      <c r="R10" s="8" t="s">
        <v>73</v>
      </c>
      <c r="S10" s="7"/>
      <c r="T10" s="7"/>
      <c r="U10" s="7"/>
      <c r="V10" s="7"/>
      <c r="W10" s="7"/>
      <c r="X10" s="7"/>
      <c r="Y10" s="7"/>
      <c r="Z10" s="7"/>
    </row>
    <row r="11">
      <c r="A11" s="7"/>
      <c r="B11" s="7"/>
      <c r="C11" s="52">
        <f t="shared" ref="C11:C21" si="1">C10+1</f>
        <v>2</v>
      </c>
      <c r="D11" s="28" t="s">
        <v>74</v>
      </c>
      <c r="E11" s="30">
        <v>26.0</v>
      </c>
      <c r="F11" s="30">
        <v>4.0</v>
      </c>
      <c r="G11" s="30">
        <v>4.0</v>
      </c>
      <c r="H11" s="30">
        <v>5.0</v>
      </c>
      <c r="I11" s="30">
        <v>6.0</v>
      </c>
      <c r="J11" s="30">
        <v>7.0</v>
      </c>
      <c r="K11" s="30">
        <v>9.0</v>
      </c>
      <c r="L11" s="30">
        <v>12.0</v>
      </c>
      <c r="M11" s="30">
        <v>12.0</v>
      </c>
      <c r="N11" s="30">
        <v>15.0</v>
      </c>
      <c r="O11" s="30">
        <v>16.0</v>
      </c>
      <c r="P11" s="30">
        <v>8.0</v>
      </c>
      <c r="Q11" s="31"/>
      <c r="R11" s="7"/>
      <c r="S11" s="7"/>
      <c r="T11" s="7"/>
      <c r="U11" s="7"/>
      <c r="V11" s="7"/>
      <c r="W11" s="7"/>
      <c r="X11" s="7"/>
      <c r="Y11" s="7"/>
      <c r="Z11" s="7"/>
    </row>
    <row r="12">
      <c r="A12" s="7"/>
      <c r="B12" s="7"/>
      <c r="C12" s="52">
        <f t="shared" si="1"/>
        <v>3</v>
      </c>
      <c r="D12" s="28" t="s">
        <v>75</v>
      </c>
      <c r="E12" s="30">
        <v>29.0</v>
      </c>
      <c r="F12" s="30">
        <v>2.0</v>
      </c>
      <c r="G12" s="30">
        <v>3.0</v>
      </c>
      <c r="H12" s="30">
        <v>4.0</v>
      </c>
      <c r="I12" s="30">
        <v>5.0</v>
      </c>
      <c r="J12" s="30">
        <v>7.0</v>
      </c>
      <c r="K12" s="30">
        <v>8.0</v>
      </c>
      <c r="L12" s="30">
        <v>10.0</v>
      </c>
      <c r="M12" s="30">
        <v>10.0</v>
      </c>
      <c r="N12" s="30">
        <v>11.0</v>
      </c>
      <c r="O12" s="30">
        <v>12.0</v>
      </c>
      <c r="P12" s="31"/>
      <c r="Q12" s="31"/>
      <c r="R12" s="7"/>
      <c r="S12" s="7"/>
      <c r="T12" s="7"/>
      <c r="U12" s="7"/>
      <c r="V12" s="7"/>
      <c r="W12" s="7"/>
      <c r="X12" s="7"/>
      <c r="Y12" s="7"/>
      <c r="Z12" s="7"/>
    </row>
    <row r="13">
      <c r="A13" s="7"/>
      <c r="B13" s="7"/>
      <c r="C13" s="52">
        <f t="shared" si="1"/>
        <v>4</v>
      </c>
      <c r="D13" s="28" t="s">
        <v>76</v>
      </c>
      <c r="E13" s="30">
        <v>38.0</v>
      </c>
      <c r="F13" s="30">
        <v>2.0</v>
      </c>
      <c r="G13" s="30">
        <v>3.0</v>
      </c>
      <c r="H13" s="30">
        <v>4.0</v>
      </c>
      <c r="I13" s="30">
        <v>5.0</v>
      </c>
      <c r="J13" s="30">
        <v>7.0</v>
      </c>
      <c r="K13" s="30">
        <v>8.0</v>
      </c>
      <c r="L13" s="30">
        <v>10.0</v>
      </c>
      <c r="M13" s="30">
        <v>10.0</v>
      </c>
      <c r="N13" s="30">
        <v>25.0</v>
      </c>
      <c r="O13" s="31"/>
      <c r="P13" s="31"/>
      <c r="Q13" s="31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52">
        <f t="shared" si="1"/>
        <v>5</v>
      </c>
      <c r="D14" s="28" t="s">
        <v>77</v>
      </c>
      <c r="E14" s="30">
        <v>46.0</v>
      </c>
      <c r="F14" s="30">
        <v>2.0</v>
      </c>
      <c r="G14" s="30">
        <v>17.0</v>
      </c>
      <c r="H14" s="30">
        <v>20.0</v>
      </c>
      <c r="I14" s="30">
        <v>22.0</v>
      </c>
      <c r="J14" s="30">
        <v>25.0</v>
      </c>
      <c r="K14" s="30">
        <v>27.0</v>
      </c>
      <c r="L14" s="30">
        <v>28.0</v>
      </c>
      <c r="M14" s="30">
        <v>30.0</v>
      </c>
      <c r="N14" s="31"/>
      <c r="O14" s="31"/>
      <c r="P14" s="31"/>
      <c r="Q14" s="31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52">
        <f t="shared" si="1"/>
        <v>6</v>
      </c>
      <c r="D15" s="28" t="s">
        <v>78</v>
      </c>
      <c r="E15" s="30">
        <v>41.0</v>
      </c>
      <c r="F15" s="30">
        <v>5.0</v>
      </c>
      <c r="G15" s="30">
        <v>15.0</v>
      </c>
      <c r="H15" s="30">
        <v>16.0</v>
      </c>
      <c r="I15" s="30">
        <v>22.0</v>
      </c>
      <c r="J15" s="30">
        <v>26.0</v>
      </c>
      <c r="K15" s="30">
        <v>27.0</v>
      </c>
      <c r="L15" s="30">
        <v>30.0</v>
      </c>
      <c r="M15" s="31"/>
      <c r="N15" s="31"/>
      <c r="O15" s="31"/>
      <c r="P15" s="31"/>
      <c r="Q15" s="31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52">
        <f t="shared" si="1"/>
        <v>7</v>
      </c>
      <c r="D16" s="28" t="s">
        <v>79</v>
      </c>
      <c r="E16" s="30">
        <v>37.0</v>
      </c>
      <c r="F16" s="30">
        <v>2.0</v>
      </c>
      <c r="G16" s="30">
        <v>3.0</v>
      </c>
      <c r="H16" s="30">
        <v>4.0</v>
      </c>
      <c r="I16" s="30">
        <v>5.0</v>
      </c>
      <c r="J16" s="30">
        <v>7.0</v>
      </c>
      <c r="K16" s="30">
        <v>28.0</v>
      </c>
      <c r="L16" s="31"/>
      <c r="M16" s="31"/>
      <c r="N16" s="31"/>
      <c r="O16" s="31"/>
      <c r="P16" s="31"/>
      <c r="Q16" s="31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52">
        <f t="shared" si="1"/>
        <v>8</v>
      </c>
      <c r="D17" s="28" t="s">
        <v>80</v>
      </c>
      <c r="E17" s="30">
        <v>39.0</v>
      </c>
      <c r="F17" s="30">
        <v>2.0</v>
      </c>
      <c r="G17" s="30">
        <v>3.0</v>
      </c>
      <c r="H17" s="30">
        <v>4.0</v>
      </c>
      <c r="I17" s="30">
        <v>5.0</v>
      </c>
      <c r="J17" s="30">
        <v>32.0</v>
      </c>
      <c r="K17" s="31"/>
      <c r="L17" s="31"/>
      <c r="M17" s="31"/>
      <c r="N17" s="31"/>
      <c r="O17" s="31"/>
      <c r="P17" s="31"/>
      <c r="Q17" s="31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52">
        <f t="shared" si="1"/>
        <v>9</v>
      </c>
      <c r="D18" s="28" t="s">
        <v>81</v>
      </c>
      <c r="E18" s="30">
        <v>50.0</v>
      </c>
      <c r="F18" s="30">
        <v>2.0</v>
      </c>
      <c r="G18" s="30">
        <v>28.0</v>
      </c>
      <c r="H18" s="30">
        <v>36.0</v>
      </c>
      <c r="I18" s="30">
        <v>45.0</v>
      </c>
      <c r="J18" s="31"/>
      <c r="K18" s="31"/>
      <c r="L18" s="31"/>
      <c r="M18" s="31"/>
      <c r="N18" s="31"/>
      <c r="O18" s="31"/>
      <c r="P18" s="31"/>
      <c r="Q18" s="31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52">
        <f t="shared" si="1"/>
        <v>10</v>
      </c>
      <c r="D19" s="28" t="s">
        <v>82</v>
      </c>
      <c r="E19" s="30">
        <v>55.0</v>
      </c>
      <c r="F19" s="30">
        <v>2.0</v>
      </c>
      <c r="G19" s="30">
        <v>30.0</v>
      </c>
      <c r="H19" s="30">
        <v>38.0</v>
      </c>
      <c r="I19" s="31"/>
      <c r="J19" s="31"/>
      <c r="K19" s="31"/>
      <c r="L19" s="31"/>
      <c r="M19" s="31"/>
      <c r="N19" s="31"/>
      <c r="O19" s="31"/>
      <c r="P19" s="31"/>
      <c r="Q19" s="31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52">
        <f t="shared" si="1"/>
        <v>11</v>
      </c>
      <c r="D20" s="28" t="s">
        <v>83</v>
      </c>
      <c r="E20" s="30">
        <v>48.0</v>
      </c>
      <c r="F20" s="30">
        <v>5.0</v>
      </c>
      <c r="G20" s="30">
        <v>36.0</v>
      </c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52">
        <f t="shared" si="1"/>
        <v>12</v>
      </c>
      <c r="D21" s="28" t="s">
        <v>84</v>
      </c>
      <c r="E21" s="30">
        <v>49.0</v>
      </c>
      <c r="F21" s="30">
        <v>5.0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32" t="s">
        <v>48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5"/>
      <c r="R24" s="6"/>
      <c r="S24" s="6"/>
      <c r="T24" s="6"/>
      <c r="U24" s="6"/>
      <c r="V24" s="6"/>
      <c r="W24" s="6"/>
      <c r="X24" s="6"/>
      <c r="Y24" s="6"/>
      <c r="Z24" s="6"/>
    </row>
    <row r="25">
      <c r="A25" s="7"/>
      <c r="B25" s="7"/>
      <c r="C25" s="7"/>
      <c r="D25" s="7"/>
      <c r="E25" s="26" t="str">
        <f t="shared" ref="E25:Q25" si="2">E9</f>
        <v>Quarter 0</v>
      </c>
      <c r="F25" s="26" t="str">
        <f t="shared" si="2"/>
        <v>Quarter 1</v>
      </c>
      <c r="G25" s="26" t="str">
        <f t="shared" si="2"/>
        <v>Quarter 2</v>
      </c>
      <c r="H25" s="26" t="str">
        <f t="shared" si="2"/>
        <v>Quarter 3</v>
      </c>
      <c r="I25" s="26" t="str">
        <f t="shared" si="2"/>
        <v>Quarter 4</v>
      </c>
      <c r="J25" s="26" t="str">
        <f t="shared" si="2"/>
        <v>Quarter 5</v>
      </c>
      <c r="K25" s="26" t="str">
        <f t="shared" si="2"/>
        <v>Quarter 6</v>
      </c>
      <c r="L25" s="26" t="str">
        <f t="shared" si="2"/>
        <v>Quarter 7</v>
      </c>
      <c r="M25" s="26" t="str">
        <f t="shared" si="2"/>
        <v>Quarter 8</v>
      </c>
      <c r="N25" s="26" t="str">
        <f t="shared" si="2"/>
        <v>Quarter 9</v>
      </c>
      <c r="O25" s="26" t="str">
        <f t="shared" si="2"/>
        <v>Quarter 10</v>
      </c>
      <c r="P25" s="26" t="str">
        <f t="shared" si="2"/>
        <v>Quarter 11</v>
      </c>
      <c r="Q25" s="33" t="str">
        <f t="shared" si="2"/>
        <v>Quarter 12</v>
      </c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52">
        <f t="shared" ref="C26:E26" si="3">C10</f>
        <v>1</v>
      </c>
      <c r="D26" s="34" t="str">
        <f t="shared" si="3"/>
        <v>Q1 2021</v>
      </c>
      <c r="E26" s="53">
        <f t="shared" si="3"/>
        <v>24</v>
      </c>
      <c r="F26" s="54">
        <f t="shared" ref="F26:Q26" si="4">F10/$E26</f>
        <v>0.08333333333</v>
      </c>
      <c r="G26" s="55">
        <f t="shared" si="4"/>
        <v>0.125</v>
      </c>
      <c r="H26" s="55">
        <f t="shared" si="4"/>
        <v>0.125</v>
      </c>
      <c r="I26" s="55">
        <f t="shared" si="4"/>
        <v>0.125</v>
      </c>
      <c r="J26" s="56">
        <f t="shared" si="4"/>
        <v>0.1666666667</v>
      </c>
      <c r="K26" s="56">
        <f t="shared" si="4"/>
        <v>0.1666666667</v>
      </c>
      <c r="L26" s="57">
        <f t="shared" si="4"/>
        <v>0.2083333333</v>
      </c>
      <c r="M26" s="57">
        <f t="shared" si="4"/>
        <v>0.2083333333</v>
      </c>
      <c r="N26" s="57">
        <f t="shared" si="4"/>
        <v>0.2083333333</v>
      </c>
      <c r="O26" s="58">
        <f t="shared" si="4"/>
        <v>0.25</v>
      </c>
      <c r="P26" s="58">
        <f t="shared" si="4"/>
        <v>0.25</v>
      </c>
      <c r="Q26" s="59">
        <f t="shared" si="4"/>
        <v>0.2916666667</v>
      </c>
      <c r="R26" s="8" t="s">
        <v>85</v>
      </c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52">
        <f t="shared" ref="C27:E27" si="5">C11</f>
        <v>2</v>
      </c>
      <c r="D27" s="34" t="str">
        <f t="shared" si="5"/>
        <v>Q2 2021</v>
      </c>
      <c r="E27" s="53">
        <f t="shared" si="5"/>
        <v>26</v>
      </c>
      <c r="F27" s="60">
        <f t="shared" ref="F27:P27" si="6">F11/$E27</f>
        <v>0.1538461538</v>
      </c>
      <c r="G27" s="60">
        <f t="shared" si="6"/>
        <v>0.1538461538</v>
      </c>
      <c r="H27" s="61">
        <f t="shared" si="6"/>
        <v>0.1923076923</v>
      </c>
      <c r="I27" s="62">
        <f t="shared" si="6"/>
        <v>0.2307692308</v>
      </c>
      <c r="J27" s="63">
        <f t="shared" si="6"/>
        <v>0.2692307692</v>
      </c>
      <c r="K27" s="64">
        <f t="shared" si="6"/>
        <v>0.3461538462</v>
      </c>
      <c r="L27" s="65">
        <f t="shared" si="6"/>
        <v>0.4615384615</v>
      </c>
      <c r="M27" s="65">
        <f t="shared" si="6"/>
        <v>0.4615384615</v>
      </c>
      <c r="N27" s="66">
        <f t="shared" si="6"/>
        <v>0.5769230769</v>
      </c>
      <c r="O27" s="67">
        <f t="shared" si="6"/>
        <v>0.6153846154</v>
      </c>
      <c r="P27" s="68">
        <f t="shared" si="6"/>
        <v>0.3076923077</v>
      </c>
      <c r="Q27" s="69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52">
        <f t="shared" ref="C28:E28" si="7">C12</f>
        <v>3</v>
      </c>
      <c r="D28" s="34" t="str">
        <f t="shared" si="7"/>
        <v>Q3 2021</v>
      </c>
      <c r="E28" s="53">
        <f t="shared" si="7"/>
        <v>29</v>
      </c>
      <c r="F28" s="70">
        <f t="shared" ref="F28:O28" si="8">F12/$E28</f>
        <v>0.06896551724</v>
      </c>
      <c r="G28" s="71">
        <f t="shared" si="8"/>
        <v>0.1034482759</v>
      </c>
      <c r="H28" s="72">
        <f t="shared" si="8"/>
        <v>0.1379310345</v>
      </c>
      <c r="I28" s="73">
        <f t="shared" si="8"/>
        <v>0.1724137931</v>
      </c>
      <c r="J28" s="74">
        <f t="shared" si="8"/>
        <v>0.2413793103</v>
      </c>
      <c r="K28" s="75">
        <f t="shared" si="8"/>
        <v>0.275862069</v>
      </c>
      <c r="L28" s="64">
        <f t="shared" si="8"/>
        <v>0.3448275862</v>
      </c>
      <c r="M28" s="64">
        <f t="shared" si="8"/>
        <v>0.3448275862</v>
      </c>
      <c r="N28" s="76">
        <f t="shared" si="8"/>
        <v>0.3793103448</v>
      </c>
      <c r="O28" s="77">
        <f t="shared" si="8"/>
        <v>0.4137931034</v>
      </c>
      <c r="P28" s="69"/>
      <c r="Q28" s="69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52">
        <f t="shared" ref="C29:E29" si="9">C13</f>
        <v>4</v>
      </c>
      <c r="D29" s="34" t="str">
        <f t="shared" si="9"/>
        <v>Q4 2021</v>
      </c>
      <c r="E29" s="53">
        <f t="shared" si="9"/>
        <v>38</v>
      </c>
      <c r="F29" s="78">
        <f t="shared" ref="F29:N29" si="10">F13/$E29</f>
        <v>0.05263157895</v>
      </c>
      <c r="G29" s="79">
        <f t="shared" si="10"/>
        <v>0.07894736842</v>
      </c>
      <c r="H29" s="80">
        <f t="shared" si="10"/>
        <v>0.1052631579</v>
      </c>
      <c r="I29" s="81">
        <f t="shared" si="10"/>
        <v>0.1315789474</v>
      </c>
      <c r="J29" s="82">
        <f t="shared" si="10"/>
        <v>0.1842105263</v>
      </c>
      <c r="K29" s="83">
        <f t="shared" si="10"/>
        <v>0.2105263158</v>
      </c>
      <c r="L29" s="84">
        <f t="shared" si="10"/>
        <v>0.2631578947</v>
      </c>
      <c r="M29" s="84">
        <f t="shared" si="10"/>
        <v>0.2631578947</v>
      </c>
      <c r="N29" s="85">
        <f t="shared" si="10"/>
        <v>0.6578947368</v>
      </c>
      <c r="O29" s="69"/>
      <c r="P29" s="69"/>
      <c r="Q29" s="69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52">
        <f t="shared" ref="C30:E30" si="11">C14</f>
        <v>5</v>
      </c>
      <c r="D30" s="34" t="str">
        <f t="shared" si="11"/>
        <v>Q1 2022</v>
      </c>
      <c r="E30" s="53">
        <f t="shared" si="11"/>
        <v>46</v>
      </c>
      <c r="F30" s="86">
        <f t="shared" ref="F30:M30" si="12">F14/$E30</f>
        <v>0.04347826087</v>
      </c>
      <c r="G30" s="87">
        <f t="shared" si="12"/>
        <v>0.3695652174</v>
      </c>
      <c r="H30" s="88">
        <f t="shared" si="12"/>
        <v>0.4347826087</v>
      </c>
      <c r="I30" s="89">
        <f t="shared" si="12"/>
        <v>0.4782608696</v>
      </c>
      <c r="J30" s="90">
        <f t="shared" si="12"/>
        <v>0.5434782609</v>
      </c>
      <c r="K30" s="91">
        <f t="shared" si="12"/>
        <v>0.5869565217</v>
      </c>
      <c r="L30" s="92">
        <f t="shared" si="12"/>
        <v>0.6086956522</v>
      </c>
      <c r="M30" s="93">
        <f t="shared" si="12"/>
        <v>0.652173913</v>
      </c>
      <c r="N30" s="69"/>
      <c r="O30" s="69"/>
      <c r="P30" s="69"/>
      <c r="Q30" s="69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52">
        <f t="shared" ref="C31:E31" si="13">C15</f>
        <v>6</v>
      </c>
      <c r="D31" s="34" t="str">
        <f t="shared" si="13"/>
        <v>Q2 2022</v>
      </c>
      <c r="E31" s="53">
        <f t="shared" si="13"/>
        <v>41</v>
      </c>
      <c r="F31" s="94">
        <f t="shared" ref="F31:L31" si="14">F15/$E31</f>
        <v>0.1219512195</v>
      </c>
      <c r="G31" s="95">
        <f t="shared" si="14"/>
        <v>0.3658536585</v>
      </c>
      <c r="H31" s="96">
        <f t="shared" si="14"/>
        <v>0.3902439024</v>
      </c>
      <c r="I31" s="97">
        <f t="shared" si="14"/>
        <v>0.5365853659</v>
      </c>
      <c r="J31" s="98">
        <f t="shared" si="14"/>
        <v>0.6341463415</v>
      </c>
      <c r="K31" s="85">
        <f t="shared" si="14"/>
        <v>0.6585365854</v>
      </c>
      <c r="L31" s="99">
        <f t="shared" si="14"/>
        <v>0.7317073171</v>
      </c>
      <c r="M31" s="69"/>
      <c r="N31" s="69"/>
      <c r="O31" s="69"/>
      <c r="P31" s="69"/>
      <c r="Q31" s="69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52">
        <f t="shared" ref="C32:E32" si="15">C16</f>
        <v>7</v>
      </c>
      <c r="D32" s="34" t="str">
        <f t="shared" si="15"/>
        <v>Q3 2022</v>
      </c>
      <c r="E32" s="53">
        <f t="shared" si="15"/>
        <v>37</v>
      </c>
      <c r="F32" s="100">
        <f t="shared" ref="F32:K32" si="16">F16/$E32</f>
        <v>0.05405405405</v>
      </c>
      <c r="G32" s="101">
        <f t="shared" si="16"/>
        <v>0.08108108108</v>
      </c>
      <c r="H32" s="102">
        <f t="shared" si="16"/>
        <v>0.1081081081</v>
      </c>
      <c r="I32" s="103">
        <f t="shared" si="16"/>
        <v>0.1351351351</v>
      </c>
      <c r="J32" s="104">
        <f t="shared" si="16"/>
        <v>0.1891891892</v>
      </c>
      <c r="K32" s="105">
        <f t="shared" si="16"/>
        <v>0.7567567568</v>
      </c>
      <c r="L32" s="69"/>
      <c r="M32" s="69"/>
      <c r="N32" s="69"/>
      <c r="O32" s="69"/>
      <c r="P32" s="69"/>
      <c r="Q32" s="69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52">
        <f t="shared" ref="C33:E33" si="17">C17</f>
        <v>8</v>
      </c>
      <c r="D33" s="34" t="str">
        <f t="shared" si="17"/>
        <v>Q4 2022</v>
      </c>
      <c r="E33" s="53">
        <f t="shared" si="17"/>
        <v>39</v>
      </c>
      <c r="F33" s="106">
        <f t="shared" ref="F33:J33" si="18">F17/$E33</f>
        <v>0.05128205128</v>
      </c>
      <c r="G33" s="107">
        <f t="shared" si="18"/>
        <v>0.07692307692</v>
      </c>
      <c r="H33" s="108">
        <f t="shared" si="18"/>
        <v>0.1025641026</v>
      </c>
      <c r="I33" s="109">
        <f t="shared" si="18"/>
        <v>0.1282051282</v>
      </c>
      <c r="J33" s="110">
        <f t="shared" si="18"/>
        <v>0.8205128205</v>
      </c>
      <c r="K33" s="69"/>
      <c r="L33" s="69"/>
      <c r="M33" s="69"/>
      <c r="N33" s="69"/>
      <c r="O33" s="69"/>
      <c r="P33" s="69"/>
      <c r="Q33" s="69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52">
        <f t="shared" ref="C34:E34" si="19">C18</f>
        <v>9</v>
      </c>
      <c r="D34" s="34" t="str">
        <f t="shared" si="19"/>
        <v>Q1 2023</v>
      </c>
      <c r="E34" s="53">
        <f t="shared" si="19"/>
        <v>50</v>
      </c>
      <c r="F34" s="111">
        <f t="shared" ref="F34:I34" si="20">F18/$E34</f>
        <v>0.04</v>
      </c>
      <c r="G34" s="112">
        <f t="shared" si="20"/>
        <v>0.56</v>
      </c>
      <c r="H34" s="113">
        <f t="shared" si="20"/>
        <v>0.72</v>
      </c>
      <c r="I34" s="114">
        <f t="shared" si="20"/>
        <v>0.9</v>
      </c>
      <c r="J34" s="69"/>
      <c r="K34" s="69"/>
      <c r="L34" s="69"/>
      <c r="M34" s="69"/>
      <c r="N34" s="69"/>
      <c r="O34" s="69"/>
      <c r="P34" s="69"/>
      <c r="Q34" s="69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52">
        <f t="shared" ref="C35:E35" si="21">C19</f>
        <v>10</v>
      </c>
      <c r="D35" s="34" t="str">
        <f t="shared" si="21"/>
        <v>Q2 2023</v>
      </c>
      <c r="E35" s="53">
        <f t="shared" si="21"/>
        <v>55</v>
      </c>
      <c r="F35" s="115">
        <f t="shared" ref="F35:H35" si="22">F19/$E35</f>
        <v>0.03636363636</v>
      </c>
      <c r="G35" s="116">
        <f t="shared" si="22"/>
        <v>0.5454545455</v>
      </c>
      <c r="H35" s="117">
        <f t="shared" si="22"/>
        <v>0.6909090909</v>
      </c>
      <c r="I35" s="69"/>
      <c r="J35" s="69"/>
      <c r="K35" s="69"/>
      <c r="L35" s="69"/>
      <c r="M35" s="69"/>
      <c r="N35" s="69"/>
      <c r="O35" s="69"/>
      <c r="P35" s="69"/>
      <c r="Q35" s="69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52">
        <f t="shared" ref="C36:E36" si="23">C20</f>
        <v>11</v>
      </c>
      <c r="D36" s="34" t="str">
        <f t="shared" si="23"/>
        <v>Q3 2023</v>
      </c>
      <c r="E36" s="53">
        <f t="shared" si="23"/>
        <v>48</v>
      </c>
      <c r="F36" s="80">
        <f t="shared" ref="F36:G36" si="24">F20/$E36</f>
        <v>0.1041666667</v>
      </c>
      <c r="G36" s="118">
        <f t="shared" si="24"/>
        <v>0.75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119">
        <f t="shared" ref="C37:E37" si="25">C21</f>
        <v>12</v>
      </c>
      <c r="D37" s="34" t="str">
        <f t="shared" si="25"/>
        <v>Q4 2023</v>
      </c>
      <c r="E37" s="120">
        <f t="shared" si="25"/>
        <v>49</v>
      </c>
      <c r="F37" s="121">
        <f>F21/$E37</f>
        <v>0.1020408163</v>
      </c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3">
    <mergeCell ref="A1:Q1"/>
    <mergeCell ref="A8:Q8"/>
    <mergeCell ref="A24:Q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.71"/>
    <col customWidth="1" min="2" max="2" width="2.29"/>
    <col customWidth="1" min="3" max="3" width="10.86"/>
    <col customWidth="1" min="4" max="4" width="16.43"/>
    <col customWidth="1" min="5" max="17" width="10.71"/>
    <col customWidth="1" min="18" max="26" width="8.71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122" t="s">
        <v>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3" t="s">
        <v>4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</row>
    <row r="5">
      <c r="A5" s="6"/>
      <c r="B5" s="6" t="s">
        <v>6</v>
      </c>
      <c r="C5" s="6" t="s">
        <v>86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 t="s">
        <v>6</v>
      </c>
      <c r="C6" s="6" t="s">
        <v>9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 t="s">
        <v>6</v>
      </c>
      <c r="C7" s="6" t="s">
        <v>87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 t="s">
        <v>88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 t="s">
        <v>89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 t="s">
        <v>90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23" t="s">
        <v>12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125" t="s">
        <v>91</v>
      </c>
      <c r="E13" s="126">
        <v>0.0</v>
      </c>
      <c r="F13" s="126">
        <f t="shared" ref="F13:Q13" si="1">E13+1</f>
        <v>1</v>
      </c>
      <c r="G13" s="126">
        <f t="shared" si="1"/>
        <v>2</v>
      </c>
      <c r="H13" s="126">
        <f t="shared" si="1"/>
        <v>3</v>
      </c>
      <c r="I13" s="126">
        <f t="shared" si="1"/>
        <v>4</v>
      </c>
      <c r="J13" s="126">
        <f t="shared" si="1"/>
        <v>5</v>
      </c>
      <c r="K13" s="126">
        <f t="shared" si="1"/>
        <v>6</v>
      </c>
      <c r="L13" s="126">
        <f t="shared" si="1"/>
        <v>7</v>
      </c>
      <c r="M13" s="126">
        <f t="shared" si="1"/>
        <v>8</v>
      </c>
      <c r="N13" s="126">
        <f t="shared" si="1"/>
        <v>9</v>
      </c>
      <c r="O13" s="126">
        <f t="shared" si="1"/>
        <v>10</v>
      </c>
      <c r="P13" s="126">
        <f t="shared" si="1"/>
        <v>11</v>
      </c>
      <c r="Q13" s="126">
        <f t="shared" si="1"/>
        <v>12</v>
      </c>
      <c r="R13" s="6"/>
      <c r="S13" s="6"/>
      <c r="T13" s="6"/>
      <c r="U13" s="6"/>
      <c r="V13" s="6"/>
      <c r="W13" s="6"/>
      <c r="X13" s="6"/>
      <c r="Y13" s="6"/>
    </row>
    <row r="14">
      <c r="A14" s="6"/>
      <c r="B14" s="6"/>
      <c r="C14" s="127">
        <v>1.0</v>
      </c>
      <c r="D14" s="128">
        <v>44927.0</v>
      </c>
      <c r="E14" s="129">
        <v>24.0</v>
      </c>
      <c r="F14" s="130">
        <v>2.0</v>
      </c>
      <c r="G14" s="130">
        <v>3.0</v>
      </c>
      <c r="H14" s="130">
        <v>3.0</v>
      </c>
      <c r="I14" s="130">
        <v>3.0</v>
      </c>
      <c r="J14" s="130">
        <v>4.0</v>
      </c>
      <c r="K14" s="130">
        <v>4.0</v>
      </c>
      <c r="L14" s="130">
        <v>5.0</v>
      </c>
      <c r="M14" s="130">
        <v>5.0</v>
      </c>
      <c r="N14" s="130">
        <v>5.0</v>
      </c>
      <c r="O14" s="130">
        <v>6.0</v>
      </c>
      <c r="P14" s="130">
        <v>6.0</v>
      </c>
      <c r="Q14" s="130">
        <v>7.0</v>
      </c>
      <c r="R14" s="131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132">
        <f t="shared" ref="C15:C25" si="2">C14+1</f>
        <v>2</v>
      </c>
      <c r="D15" s="133">
        <f t="shared" ref="D15:D25" si="3">EOMONTH(D14,1)</f>
        <v>44985</v>
      </c>
      <c r="E15" s="134">
        <v>26.0</v>
      </c>
      <c r="F15" s="135">
        <v>4.0</v>
      </c>
      <c r="G15" s="135">
        <v>4.0</v>
      </c>
      <c r="H15" s="135">
        <v>5.0</v>
      </c>
      <c r="I15" s="135">
        <v>6.0</v>
      </c>
      <c r="J15" s="135">
        <v>7.0</v>
      </c>
      <c r="K15" s="135">
        <v>9.0</v>
      </c>
      <c r="L15" s="135">
        <v>12.0</v>
      </c>
      <c r="M15" s="135">
        <v>12.0</v>
      </c>
      <c r="N15" s="135">
        <v>15.0</v>
      </c>
      <c r="O15" s="135">
        <v>16.0</v>
      </c>
      <c r="P15" s="135">
        <v>8.0</v>
      </c>
      <c r="Q15" s="135"/>
      <c r="R15" s="131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132">
        <f t="shared" si="2"/>
        <v>3</v>
      </c>
      <c r="D16" s="133">
        <f t="shared" si="3"/>
        <v>45016</v>
      </c>
      <c r="E16" s="134">
        <v>29.0</v>
      </c>
      <c r="F16" s="135">
        <v>2.0</v>
      </c>
      <c r="G16" s="135">
        <v>3.0</v>
      </c>
      <c r="H16" s="135">
        <v>4.0</v>
      </c>
      <c r="I16" s="135">
        <v>5.0</v>
      </c>
      <c r="J16" s="135">
        <v>7.0</v>
      </c>
      <c r="K16" s="135">
        <v>8.0</v>
      </c>
      <c r="L16" s="135">
        <v>10.0</v>
      </c>
      <c r="M16" s="135">
        <v>10.0</v>
      </c>
      <c r="N16" s="135">
        <v>11.0</v>
      </c>
      <c r="O16" s="135">
        <v>12.0</v>
      </c>
      <c r="P16" s="135"/>
      <c r="Q16" s="135"/>
      <c r="R16" s="131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132">
        <f t="shared" si="2"/>
        <v>4</v>
      </c>
      <c r="D17" s="133">
        <f t="shared" si="3"/>
        <v>45046</v>
      </c>
      <c r="E17" s="134">
        <v>38.0</v>
      </c>
      <c r="F17" s="135">
        <v>2.0</v>
      </c>
      <c r="G17" s="135">
        <v>3.0</v>
      </c>
      <c r="H17" s="135">
        <v>4.0</v>
      </c>
      <c r="I17" s="135">
        <v>5.0</v>
      </c>
      <c r="J17" s="135">
        <v>7.0</v>
      </c>
      <c r="K17" s="135">
        <v>8.0</v>
      </c>
      <c r="L17" s="135">
        <v>10.0</v>
      </c>
      <c r="M17" s="135">
        <v>10.0</v>
      </c>
      <c r="N17" s="135">
        <v>25.0</v>
      </c>
      <c r="O17" s="135"/>
      <c r="P17" s="135"/>
      <c r="Q17" s="135"/>
      <c r="R17" s="131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132">
        <f t="shared" si="2"/>
        <v>5</v>
      </c>
      <c r="D18" s="133">
        <f t="shared" si="3"/>
        <v>45077</v>
      </c>
      <c r="E18" s="134">
        <v>46.0</v>
      </c>
      <c r="F18" s="135">
        <v>2.0</v>
      </c>
      <c r="G18" s="135">
        <v>17.0</v>
      </c>
      <c r="H18" s="135">
        <v>20.0</v>
      </c>
      <c r="I18" s="135">
        <v>22.0</v>
      </c>
      <c r="J18" s="135">
        <v>25.0</v>
      </c>
      <c r="K18" s="135">
        <v>27.0</v>
      </c>
      <c r="L18" s="135">
        <v>28.0</v>
      </c>
      <c r="M18" s="135">
        <v>30.0</v>
      </c>
      <c r="N18" s="135"/>
      <c r="O18" s="135"/>
      <c r="P18" s="135"/>
      <c r="Q18" s="135"/>
      <c r="R18" s="131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132">
        <f t="shared" si="2"/>
        <v>6</v>
      </c>
      <c r="D19" s="133">
        <f t="shared" si="3"/>
        <v>45107</v>
      </c>
      <c r="E19" s="134">
        <v>41.0</v>
      </c>
      <c r="F19" s="135">
        <v>5.0</v>
      </c>
      <c r="G19" s="135">
        <v>15.0</v>
      </c>
      <c r="H19" s="135">
        <v>16.0</v>
      </c>
      <c r="I19" s="135">
        <v>22.0</v>
      </c>
      <c r="J19" s="135">
        <v>26.0</v>
      </c>
      <c r="K19" s="135">
        <v>27.0</v>
      </c>
      <c r="L19" s="135">
        <v>30.0</v>
      </c>
      <c r="M19" s="135"/>
      <c r="N19" s="135"/>
      <c r="O19" s="135"/>
      <c r="P19" s="135"/>
      <c r="Q19" s="135"/>
      <c r="R19" s="131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132">
        <f t="shared" si="2"/>
        <v>7</v>
      </c>
      <c r="D20" s="133">
        <f t="shared" si="3"/>
        <v>45138</v>
      </c>
      <c r="E20" s="134">
        <v>37.0</v>
      </c>
      <c r="F20" s="135">
        <v>2.0</v>
      </c>
      <c r="G20" s="135">
        <v>3.0</v>
      </c>
      <c r="H20" s="135">
        <v>4.0</v>
      </c>
      <c r="I20" s="135">
        <v>5.0</v>
      </c>
      <c r="J20" s="135">
        <v>7.0</v>
      </c>
      <c r="K20" s="135">
        <v>28.0</v>
      </c>
      <c r="L20" s="135"/>
      <c r="M20" s="135"/>
      <c r="N20" s="135"/>
      <c r="O20" s="135"/>
      <c r="P20" s="135"/>
      <c r="Q20" s="135"/>
      <c r="R20" s="131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132">
        <f t="shared" si="2"/>
        <v>8</v>
      </c>
      <c r="D21" s="133">
        <f t="shared" si="3"/>
        <v>45169</v>
      </c>
      <c r="E21" s="134">
        <v>39.0</v>
      </c>
      <c r="F21" s="135">
        <v>2.0</v>
      </c>
      <c r="G21" s="135">
        <v>3.0</v>
      </c>
      <c r="H21" s="135">
        <v>4.0</v>
      </c>
      <c r="I21" s="135">
        <v>5.0</v>
      </c>
      <c r="J21" s="135">
        <v>32.0</v>
      </c>
      <c r="K21" s="135"/>
      <c r="L21" s="135"/>
      <c r="M21" s="135"/>
      <c r="N21" s="135"/>
      <c r="O21" s="135"/>
      <c r="P21" s="135"/>
      <c r="Q21" s="135"/>
      <c r="R21" s="131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132">
        <f t="shared" si="2"/>
        <v>9</v>
      </c>
      <c r="D22" s="133">
        <f t="shared" si="3"/>
        <v>45199</v>
      </c>
      <c r="E22" s="134">
        <v>50.0</v>
      </c>
      <c r="F22" s="134">
        <v>50.0</v>
      </c>
      <c r="G22" s="134">
        <v>50.0</v>
      </c>
      <c r="H22" s="134">
        <v>50.0</v>
      </c>
      <c r="I22" s="134">
        <v>50.0</v>
      </c>
      <c r="J22" s="135"/>
      <c r="K22" s="135"/>
      <c r="L22" s="135"/>
      <c r="M22" s="135"/>
      <c r="N22" s="135"/>
      <c r="O22" s="135"/>
      <c r="P22" s="135"/>
      <c r="Q22" s="135"/>
      <c r="R22" s="131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132">
        <f t="shared" si="2"/>
        <v>10</v>
      </c>
      <c r="D23" s="133">
        <f t="shared" si="3"/>
        <v>45230</v>
      </c>
      <c r="E23" s="134">
        <v>55.0</v>
      </c>
      <c r="F23" s="135">
        <v>2.0</v>
      </c>
      <c r="G23" s="135">
        <v>30.0</v>
      </c>
      <c r="H23" s="135">
        <v>38.0</v>
      </c>
      <c r="I23" s="135"/>
      <c r="J23" s="135"/>
      <c r="K23" s="135"/>
      <c r="L23" s="135"/>
      <c r="M23" s="135"/>
      <c r="N23" s="135"/>
      <c r="O23" s="135"/>
      <c r="P23" s="135"/>
      <c r="Q23" s="135"/>
      <c r="R23" s="131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132">
        <f t="shared" si="2"/>
        <v>11</v>
      </c>
      <c r="D24" s="133">
        <f t="shared" si="3"/>
        <v>45260</v>
      </c>
      <c r="E24" s="134">
        <v>48.0</v>
      </c>
      <c r="F24" s="135">
        <v>5.0</v>
      </c>
      <c r="G24" s="135">
        <v>36.0</v>
      </c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1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136">
        <f t="shared" si="2"/>
        <v>12</v>
      </c>
      <c r="D25" s="137">
        <f t="shared" si="3"/>
        <v>45291</v>
      </c>
      <c r="E25" s="138">
        <v>49.0</v>
      </c>
      <c r="F25" s="139">
        <v>5.0</v>
      </c>
      <c r="G25" s="139"/>
      <c r="H25" s="139"/>
      <c r="I25" s="139"/>
      <c r="J25" s="139"/>
      <c r="K25" s="139"/>
      <c r="L25" s="139"/>
      <c r="M25" s="139"/>
      <c r="N25" s="139"/>
      <c r="O25" s="139"/>
      <c r="P25" s="139"/>
      <c r="Q25" s="139"/>
      <c r="R25" s="131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2" t="s">
        <v>48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5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126">
        <f t="shared" ref="E29:Q29" si="4">E13</f>
        <v>0</v>
      </c>
      <c r="F29" s="126">
        <f t="shared" si="4"/>
        <v>1</v>
      </c>
      <c r="G29" s="126">
        <f t="shared" si="4"/>
        <v>2</v>
      </c>
      <c r="H29" s="126">
        <f t="shared" si="4"/>
        <v>3</v>
      </c>
      <c r="I29" s="126">
        <f t="shared" si="4"/>
        <v>4</v>
      </c>
      <c r="J29" s="126">
        <f t="shared" si="4"/>
        <v>5</v>
      </c>
      <c r="K29" s="126">
        <f t="shared" si="4"/>
        <v>6</v>
      </c>
      <c r="L29" s="126">
        <f t="shared" si="4"/>
        <v>7</v>
      </c>
      <c r="M29" s="126">
        <f t="shared" si="4"/>
        <v>8</v>
      </c>
      <c r="N29" s="126">
        <f t="shared" si="4"/>
        <v>9</v>
      </c>
      <c r="O29" s="126">
        <f t="shared" si="4"/>
        <v>10</v>
      </c>
      <c r="P29" s="126">
        <f t="shared" si="4"/>
        <v>11</v>
      </c>
      <c r="Q29" s="126">
        <f t="shared" si="4"/>
        <v>12</v>
      </c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127">
        <f t="shared" ref="C30:E30" si="5">C14</f>
        <v>1</v>
      </c>
      <c r="D30" s="140">
        <f t="shared" si="5"/>
        <v>44927</v>
      </c>
      <c r="E30" s="141">
        <f t="shared" si="5"/>
        <v>24</v>
      </c>
      <c r="F30" s="142">
        <f t="shared" ref="F30:Q30" si="6">F14/$E30</f>
        <v>0.08333333333</v>
      </c>
      <c r="G30" s="143">
        <f t="shared" si="6"/>
        <v>0.125</v>
      </c>
      <c r="H30" s="143">
        <f t="shared" si="6"/>
        <v>0.125</v>
      </c>
      <c r="I30" s="143">
        <f t="shared" si="6"/>
        <v>0.125</v>
      </c>
      <c r="J30" s="143">
        <f t="shared" si="6"/>
        <v>0.1666666667</v>
      </c>
      <c r="K30" s="143">
        <f t="shared" si="6"/>
        <v>0.1666666667</v>
      </c>
      <c r="L30" s="143">
        <f t="shared" si="6"/>
        <v>0.2083333333</v>
      </c>
      <c r="M30" s="143">
        <f t="shared" si="6"/>
        <v>0.2083333333</v>
      </c>
      <c r="N30" s="143">
        <f t="shared" si="6"/>
        <v>0.2083333333</v>
      </c>
      <c r="O30" s="143">
        <f t="shared" si="6"/>
        <v>0.25</v>
      </c>
      <c r="P30" s="143">
        <f t="shared" si="6"/>
        <v>0.25</v>
      </c>
      <c r="Q30" s="143">
        <f t="shared" si="6"/>
        <v>0.2916666667</v>
      </c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132">
        <f t="shared" ref="C31:E31" si="7">C15</f>
        <v>2</v>
      </c>
      <c r="D31" s="144">
        <f t="shared" si="7"/>
        <v>44985</v>
      </c>
      <c r="E31" s="145">
        <f t="shared" si="7"/>
        <v>26</v>
      </c>
      <c r="F31" s="146">
        <f t="shared" ref="F31:P31" si="8">F15/$E31</f>
        <v>0.1538461538</v>
      </c>
      <c r="G31" s="147">
        <f t="shared" si="8"/>
        <v>0.1538461538</v>
      </c>
      <c r="H31" s="147">
        <f t="shared" si="8"/>
        <v>0.1923076923</v>
      </c>
      <c r="I31" s="147">
        <f t="shared" si="8"/>
        <v>0.2307692308</v>
      </c>
      <c r="J31" s="147">
        <f t="shared" si="8"/>
        <v>0.2692307692</v>
      </c>
      <c r="K31" s="147">
        <f t="shared" si="8"/>
        <v>0.3461538462</v>
      </c>
      <c r="L31" s="147">
        <f t="shared" si="8"/>
        <v>0.4615384615</v>
      </c>
      <c r="M31" s="147">
        <f t="shared" si="8"/>
        <v>0.4615384615</v>
      </c>
      <c r="N31" s="147">
        <f t="shared" si="8"/>
        <v>0.5769230769</v>
      </c>
      <c r="O31" s="147">
        <f t="shared" si="8"/>
        <v>0.6153846154</v>
      </c>
      <c r="P31" s="147">
        <f t="shared" si="8"/>
        <v>0.3076923077</v>
      </c>
      <c r="Q31" s="147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132">
        <f t="shared" ref="C32:E32" si="9">C16</f>
        <v>3</v>
      </c>
      <c r="D32" s="144">
        <f t="shared" si="9"/>
        <v>45016</v>
      </c>
      <c r="E32" s="145">
        <f t="shared" si="9"/>
        <v>29</v>
      </c>
      <c r="F32" s="146">
        <f t="shared" ref="F32:O32" si="10">F16/$E32</f>
        <v>0.06896551724</v>
      </c>
      <c r="G32" s="147">
        <f t="shared" si="10"/>
        <v>0.1034482759</v>
      </c>
      <c r="H32" s="147">
        <f t="shared" si="10"/>
        <v>0.1379310345</v>
      </c>
      <c r="I32" s="147">
        <f t="shared" si="10"/>
        <v>0.1724137931</v>
      </c>
      <c r="J32" s="147">
        <f t="shared" si="10"/>
        <v>0.2413793103</v>
      </c>
      <c r="K32" s="147">
        <f t="shared" si="10"/>
        <v>0.275862069</v>
      </c>
      <c r="L32" s="147">
        <f t="shared" si="10"/>
        <v>0.3448275862</v>
      </c>
      <c r="M32" s="147">
        <f t="shared" si="10"/>
        <v>0.3448275862</v>
      </c>
      <c r="N32" s="147">
        <f t="shared" si="10"/>
        <v>0.3793103448</v>
      </c>
      <c r="O32" s="147">
        <f t="shared" si="10"/>
        <v>0.4137931034</v>
      </c>
      <c r="P32" s="147"/>
      <c r="Q32" s="147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132">
        <f t="shared" ref="C33:E33" si="11">C17</f>
        <v>4</v>
      </c>
      <c r="D33" s="144">
        <f t="shared" si="11"/>
        <v>45046</v>
      </c>
      <c r="E33" s="145">
        <f t="shared" si="11"/>
        <v>38</v>
      </c>
      <c r="F33" s="146">
        <f t="shared" ref="F33:N33" si="12">F17/$E33</f>
        <v>0.05263157895</v>
      </c>
      <c r="G33" s="147">
        <f t="shared" si="12"/>
        <v>0.07894736842</v>
      </c>
      <c r="H33" s="147">
        <f t="shared" si="12"/>
        <v>0.1052631579</v>
      </c>
      <c r="I33" s="147">
        <f t="shared" si="12"/>
        <v>0.1315789474</v>
      </c>
      <c r="J33" s="147">
        <f t="shared" si="12"/>
        <v>0.1842105263</v>
      </c>
      <c r="K33" s="147">
        <f t="shared" si="12"/>
        <v>0.2105263158</v>
      </c>
      <c r="L33" s="147">
        <f t="shared" si="12"/>
        <v>0.2631578947</v>
      </c>
      <c r="M33" s="147">
        <f t="shared" si="12"/>
        <v>0.2631578947</v>
      </c>
      <c r="N33" s="147">
        <f t="shared" si="12"/>
        <v>0.6578947368</v>
      </c>
      <c r="O33" s="147"/>
      <c r="P33" s="147"/>
      <c r="Q33" s="147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132">
        <f t="shared" ref="C34:E34" si="13">C18</f>
        <v>5</v>
      </c>
      <c r="D34" s="144">
        <f t="shared" si="13"/>
        <v>45077</v>
      </c>
      <c r="E34" s="145">
        <f t="shared" si="13"/>
        <v>46</v>
      </c>
      <c r="F34" s="146">
        <f t="shared" ref="F34:M34" si="14">F18/$E34</f>
        <v>0.04347826087</v>
      </c>
      <c r="G34" s="147">
        <f t="shared" si="14"/>
        <v>0.3695652174</v>
      </c>
      <c r="H34" s="147">
        <f t="shared" si="14"/>
        <v>0.4347826087</v>
      </c>
      <c r="I34" s="147">
        <f t="shared" si="14"/>
        <v>0.4782608696</v>
      </c>
      <c r="J34" s="147">
        <f t="shared" si="14"/>
        <v>0.5434782609</v>
      </c>
      <c r="K34" s="147">
        <f t="shared" si="14"/>
        <v>0.5869565217</v>
      </c>
      <c r="L34" s="147">
        <f t="shared" si="14"/>
        <v>0.6086956522</v>
      </c>
      <c r="M34" s="147">
        <f t="shared" si="14"/>
        <v>0.652173913</v>
      </c>
      <c r="N34" s="147"/>
      <c r="O34" s="147"/>
      <c r="P34" s="147"/>
      <c r="Q34" s="147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132">
        <f t="shared" ref="C35:E35" si="15">C19</f>
        <v>6</v>
      </c>
      <c r="D35" s="144">
        <f t="shared" si="15"/>
        <v>45107</v>
      </c>
      <c r="E35" s="145">
        <f t="shared" si="15"/>
        <v>41</v>
      </c>
      <c r="F35" s="146">
        <f t="shared" ref="F35:L35" si="16">F19/$E35</f>
        <v>0.1219512195</v>
      </c>
      <c r="G35" s="147">
        <f t="shared" si="16"/>
        <v>0.3658536585</v>
      </c>
      <c r="H35" s="147">
        <f t="shared" si="16"/>
        <v>0.3902439024</v>
      </c>
      <c r="I35" s="147">
        <f t="shared" si="16"/>
        <v>0.5365853659</v>
      </c>
      <c r="J35" s="147">
        <f t="shared" si="16"/>
        <v>0.6341463415</v>
      </c>
      <c r="K35" s="147">
        <f t="shared" si="16"/>
        <v>0.6585365854</v>
      </c>
      <c r="L35" s="147">
        <f t="shared" si="16"/>
        <v>0.7317073171</v>
      </c>
      <c r="M35" s="147"/>
      <c r="N35" s="147"/>
      <c r="O35" s="147"/>
      <c r="P35" s="147"/>
      <c r="Q35" s="147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132">
        <f t="shared" ref="C36:E36" si="17">C20</f>
        <v>7</v>
      </c>
      <c r="D36" s="144">
        <f t="shared" si="17"/>
        <v>45138</v>
      </c>
      <c r="E36" s="145">
        <f t="shared" si="17"/>
        <v>37</v>
      </c>
      <c r="F36" s="146">
        <f t="shared" ref="F36:K36" si="18">F20/$E36</f>
        <v>0.05405405405</v>
      </c>
      <c r="G36" s="147">
        <f t="shared" si="18"/>
        <v>0.08108108108</v>
      </c>
      <c r="H36" s="147">
        <f t="shared" si="18"/>
        <v>0.1081081081</v>
      </c>
      <c r="I36" s="147">
        <f t="shared" si="18"/>
        <v>0.1351351351</v>
      </c>
      <c r="J36" s="147">
        <f t="shared" si="18"/>
        <v>0.1891891892</v>
      </c>
      <c r="K36" s="147">
        <f t="shared" si="18"/>
        <v>0.7567567568</v>
      </c>
      <c r="L36" s="147"/>
      <c r="M36" s="147"/>
      <c r="N36" s="147"/>
      <c r="O36" s="147"/>
      <c r="P36" s="147"/>
      <c r="Q36" s="147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132">
        <f t="shared" ref="C37:E37" si="19">C21</f>
        <v>8</v>
      </c>
      <c r="D37" s="144">
        <f t="shared" si="19"/>
        <v>45169</v>
      </c>
      <c r="E37" s="145">
        <f t="shared" si="19"/>
        <v>39</v>
      </c>
      <c r="F37" s="146">
        <f t="shared" ref="F37:J37" si="20">F21/$E37</f>
        <v>0.05128205128</v>
      </c>
      <c r="G37" s="147">
        <f t="shared" si="20"/>
        <v>0.07692307692</v>
      </c>
      <c r="H37" s="147">
        <f t="shared" si="20"/>
        <v>0.1025641026</v>
      </c>
      <c r="I37" s="147">
        <f t="shared" si="20"/>
        <v>0.1282051282</v>
      </c>
      <c r="J37" s="147">
        <f t="shared" si="20"/>
        <v>0.8205128205</v>
      </c>
      <c r="K37" s="147"/>
      <c r="L37" s="147"/>
      <c r="M37" s="147"/>
      <c r="N37" s="147"/>
      <c r="O37" s="147"/>
      <c r="P37" s="147"/>
      <c r="Q37" s="147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132">
        <f t="shared" ref="C38:E38" si="21">C22</f>
        <v>9</v>
      </c>
      <c r="D38" s="144">
        <f t="shared" si="21"/>
        <v>45199</v>
      </c>
      <c r="E38" s="145">
        <f t="shared" si="21"/>
        <v>50</v>
      </c>
      <c r="F38" s="146">
        <f t="shared" ref="F38:I38" si="22">F22/$E38</f>
        <v>1</v>
      </c>
      <c r="G38" s="147">
        <f t="shared" si="22"/>
        <v>1</v>
      </c>
      <c r="H38" s="147">
        <f t="shared" si="22"/>
        <v>1</v>
      </c>
      <c r="I38" s="147">
        <f t="shared" si="22"/>
        <v>1</v>
      </c>
      <c r="J38" s="147"/>
      <c r="K38" s="147"/>
      <c r="L38" s="147"/>
      <c r="M38" s="147"/>
      <c r="N38" s="147"/>
      <c r="O38" s="147"/>
      <c r="P38" s="147"/>
      <c r="Q38" s="147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132">
        <f t="shared" ref="C39:E39" si="23">C23</f>
        <v>10</v>
      </c>
      <c r="D39" s="144">
        <f t="shared" si="23"/>
        <v>45230</v>
      </c>
      <c r="E39" s="145">
        <f t="shared" si="23"/>
        <v>55</v>
      </c>
      <c r="F39" s="146">
        <f t="shared" ref="F39:H39" si="24">F23/$E39</f>
        <v>0.03636363636</v>
      </c>
      <c r="G39" s="147">
        <f t="shared" si="24"/>
        <v>0.5454545455</v>
      </c>
      <c r="H39" s="147">
        <f t="shared" si="24"/>
        <v>0.6909090909</v>
      </c>
      <c r="I39" s="147"/>
      <c r="J39" s="147"/>
      <c r="K39" s="147"/>
      <c r="L39" s="147"/>
      <c r="M39" s="147"/>
      <c r="N39" s="147"/>
      <c r="O39" s="147"/>
      <c r="P39" s="147"/>
      <c r="Q39" s="147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132">
        <f t="shared" ref="C40:E40" si="25">C24</f>
        <v>11</v>
      </c>
      <c r="D40" s="144">
        <f t="shared" si="25"/>
        <v>45260</v>
      </c>
      <c r="E40" s="145">
        <f t="shared" si="25"/>
        <v>48</v>
      </c>
      <c r="F40" s="146">
        <f t="shared" ref="F40:G40" si="26">F24/$E40</f>
        <v>0.1041666667</v>
      </c>
      <c r="G40" s="147">
        <f t="shared" si="26"/>
        <v>0.75</v>
      </c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136">
        <f t="shared" ref="C41:E41" si="27">C25</f>
        <v>12</v>
      </c>
      <c r="D41" s="148">
        <f t="shared" si="27"/>
        <v>45291</v>
      </c>
      <c r="E41" s="149">
        <f t="shared" si="27"/>
        <v>49</v>
      </c>
      <c r="F41" s="150">
        <f>F25/$E41</f>
        <v>0.1020408163</v>
      </c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6"/>
      <c r="V42" s="6"/>
      <c r="W42" s="6"/>
      <c r="X42" s="6"/>
      <c r="Y42" s="6"/>
      <c r="Z42" s="6"/>
    </row>
    <row r="43" ht="15.75" customHeight="1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6"/>
      <c r="V43" s="6"/>
      <c r="W43" s="6"/>
      <c r="X43" s="6"/>
      <c r="Y43" s="6"/>
      <c r="Z43" s="6"/>
    </row>
    <row r="44" ht="15.75" customHeight="1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6"/>
      <c r="V44" s="6"/>
      <c r="W44" s="6"/>
      <c r="X44" s="6"/>
      <c r="Y44" s="6"/>
      <c r="Z44" s="6"/>
    </row>
    <row r="45" ht="15.75" customHeight="1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6"/>
      <c r="V45" s="6"/>
      <c r="W45" s="6"/>
      <c r="X45" s="6"/>
      <c r="Y45" s="6"/>
      <c r="Z45" s="6"/>
    </row>
    <row r="46" ht="15.75" customHeight="1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6"/>
      <c r="V46" s="6"/>
      <c r="W46" s="6"/>
      <c r="X46" s="6"/>
      <c r="Y46" s="6"/>
      <c r="Z46" s="6"/>
    </row>
    <row r="47" ht="15.75" customHeight="1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3">
    <mergeCell ref="A1:Q1"/>
    <mergeCell ref="A12:Q12"/>
    <mergeCell ref="A28:Q28"/>
  </mergeCells>
  <conditionalFormatting sqref="F30:Q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0:Q41">
    <cfRule type="colorScale" priority="2">
      <colorScale>
        <cfvo type="percent" val="0"/>
        <cfvo type="percent" val="100"/>
        <color rgb="FFF7CAAC"/>
        <color rgb="FFC5E0B3"/>
      </colorScale>
    </cfRule>
  </conditionalFormatting>
  <printOptions/>
  <pageMargins bottom="0.75" footer="0.0" header="0.0" left="0.7" right="0.7" top="0.75"/>
  <pageSetup scale="53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2021-06-30T18:09:12Z</dcterms:created>
  <dc:creator>Sean (ELS)</dc:creator>
</cp:coreProperties>
</file>